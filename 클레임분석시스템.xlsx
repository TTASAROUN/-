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방법" sheetId="1" state="visible" r:id="rId3"/>
    <sheet name="클레임목록" sheetId="2" state="visible" r:id="rId4"/>
    <sheet name="분석보고서" sheetId="3" state="visible" r:id="rId5"/>
    <sheet name="클레임조회" sheetId="4" state="visible" r:id="rId6"/>
    <sheet name="기준정보" sheetId="5" state="visible" r:id="rId7"/>
    <sheet name="자동목록" sheetId="6" state="visible" r:id="rId8"/>
  </sheets>
  <definedNames>
    <definedName function="false" hidden="true" localSheetId="1" name="_xlnm._FilterDatabase" vbProcedure="false">클레임목록!$A$1:$N$2000</definedName>
    <definedName function="false" hidden="false" name="기준연도" vbProcedure="false">분석보고서!$C$3</definedName>
    <definedName function="false" hidden="false" name="내용목록" vbProcedure="false">OFFSET(자동목록!$E$4,0,0,MAX(1,SUMPRODUCT(--(자동목록!$E$4:$E$103&lt;&gt;""))),1)</definedName>
    <definedName function="false" hidden="false" name="데이터_경과구간" vbProcedure="false">클레임목록!$N$2:$N$2000</definedName>
    <definedName function="false" hidden="false" name="데이터_날짜" vbProcedure="false">클레임목록!$B$2:$B$2000</definedName>
    <definedName function="false" hidden="false" name="데이터_내용" vbProcedure="false">클레임목록!$F$2:$F$2000</definedName>
    <definedName function="false" hidden="false" name="데이터_분류" vbProcedure="false">클레임목록!$E$2:$E$2000</definedName>
    <definedName function="false" hidden="false" name="데이터_연도" vbProcedure="false">클레임목록!$K$2:$K$2000</definedName>
    <definedName function="false" hidden="false" name="데이터_월" vbProcedure="false">클레임목록!$L$2:$L$2000</definedName>
    <definedName function="false" hidden="false" name="데이터_제공인력" vbProcedure="false">클레임목록!$C$2:$C$2000</definedName>
    <definedName function="false" hidden="false" name="데이터_조치" vbProcedure="false">클레임목록!$J$2:$J$2000</definedName>
    <definedName function="false" hidden="false" name="데이터_품목류" vbProcedure="false">클레임목록!$D$2:$D$2000</definedName>
    <definedName function="false" hidden="false" name="분류목록" vbProcedure="false">OFFSET(기준정보!$B$4,0,0,MAX(1,COUNTA(기준정보!$B$4:$B$43)),1)</definedName>
    <definedName function="false" hidden="false" name="비교연도" vbProcedure="false">분석보고서!$E$3</definedName>
    <definedName function="false" hidden="false" name="제공인력목록" vbProcedure="false">OFFSET(자동목록!$A$4,0,0,MAX(1,SUMPRODUCT(--(자동목록!$A$4:$A$203&lt;&gt;""))),1)</definedName>
    <definedName function="false" hidden="false" name="조치목록" vbProcedure="false">OFFSET(기준정보!$C$4,0,0,MAX(1,COUNTA(기준정보!$C$4:$C$43)),1)</definedName>
    <definedName function="false" hidden="false" name="품목류목록" vbProcedure="false">OFFSET(기준정보!$A$4,0,0,MAX(1,COUNTA(기준정보!$A$4:$A$43)),1)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<sst xmlns="http://schemas.openxmlformats.org/spreadsheetml/2006/main" count="165" uniqueCount="126">
  <si>
    <t xml:space="preserve">클레임 분석 시스템 사용방법</t>
  </si>
  <si>
    <t xml:space="preserve">시트 구성</t>
  </si>
  <si>
    <t xml:space="preserve">클레임목록</t>
  </si>
  <si>
    <r>
      <rPr>
        <sz val="11"/>
        <color theme="1"/>
        <rFont val="WenQuanYi Zen Hei"/>
        <family val="2"/>
      </rPr>
      <t xml:space="preserve">클레임을 한 줄에 한 건씩 입력하는 시트입니다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WenQuanYi Zen Hei"/>
        <family val="2"/>
      </rPr>
      <t xml:space="preserve">흰 칸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입력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회색 칸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자동계산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건드리지 마세요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최대 </t>
    </r>
    <r>
      <rPr>
        <sz val="11"/>
        <color theme="1"/>
        <rFont val="Calibri"/>
        <family val="2"/>
        <charset val="1"/>
      </rPr>
      <t xml:space="preserve">1,999</t>
    </r>
    <r>
      <rPr>
        <sz val="11"/>
        <color theme="1"/>
        <rFont val="WenQuanYi Zen Hei"/>
        <family val="2"/>
      </rPr>
      <t xml:space="preserve">건까지 입력할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</si>
  <si>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분석보고서</t>
  </si>
  <si>
    <r>
      <rPr>
        <sz val="11"/>
        <color theme="1"/>
        <rFont val="WenQuanYi Zen Hei"/>
        <family val="2"/>
      </rPr>
      <t xml:space="preserve">입력하면 자동으로 집계됩니다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상단 노란 칸의 기준연도만 바꾸면 전년 대비가 자동으로 바뀝니다</t>
    </r>
    <r>
      <rPr>
        <sz val="11"/>
        <color theme="1"/>
        <rFont val="Calibri"/>
        <family val="2"/>
        <charset val="1"/>
      </rPr>
      <t xml:space="preserve">.</t>
    </r>
  </si>
  <si>
    <t xml:space="preserve">클레임조회</t>
  </si>
  <si>
    <r>
      <rPr>
        <sz val="11"/>
        <color theme="1"/>
        <rFont val="WenQuanYi Zen Hei"/>
        <family val="2"/>
      </rPr>
      <t xml:space="preserve">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제공인력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품목류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분류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내용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키워드로 원하는 건만 골라 볼 수 있는 필터 시트입니다</t>
    </r>
    <r>
      <rPr>
        <sz val="11"/>
        <color theme="1"/>
        <rFont val="Calibri"/>
        <family val="2"/>
        <charset val="1"/>
      </rPr>
      <t xml:space="preserve">.</t>
    </r>
  </si>
  <si>
    <t xml:space="preserve">기준정보</t>
  </si>
  <si>
    <r>
      <rPr>
        <sz val="11"/>
        <color theme="1"/>
        <rFont val="WenQuanYi Zen Hei"/>
        <family val="2"/>
      </rPr>
      <t xml:space="preserve">품목류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클레임분류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조치 항목을 관리합니다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새 종류가 생기면 여기 노란 칸 맨 아래에 추가하세요</t>
    </r>
    <r>
      <rPr>
        <sz val="11"/>
        <color theme="1"/>
        <rFont val="Calibri"/>
        <family val="2"/>
        <charset val="1"/>
      </rPr>
      <t xml:space="preserve">.</t>
    </r>
  </si>
  <si>
    <t xml:space="preserve">자동목록</t>
  </si>
  <si>
    <r>
      <rPr>
        <sz val="11"/>
        <color theme="1"/>
        <rFont val="WenQuanYi Zen Hei"/>
        <family val="2"/>
      </rPr>
      <t xml:space="preserve">계산용 시트입니다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수정하지 마세요</t>
    </r>
    <r>
      <rPr>
        <sz val="11"/>
        <color theme="1"/>
        <rFont val="Calibri"/>
        <family val="2"/>
        <charset val="1"/>
      </rPr>
      <t xml:space="preserve">.</t>
    </r>
  </si>
  <si>
    <t xml:space="preserve">입력 방법</t>
  </si>
  <si>
    <t xml:space="preserve">① 클레임 입력</t>
  </si>
  <si>
    <r>
      <rPr>
        <sz val="11"/>
        <color theme="1"/>
        <rFont val="WenQuanYi Zen Hei"/>
        <family val="2"/>
      </rPr>
      <t xml:space="preserve">클레임목록의 </t>
    </r>
    <r>
      <rPr>
        <sz val="11"/>
        <color theme="1"/>
        <rFont val="Calibri"/>
        <family val="2"/>
        <charset val="1"/>
      </rPr>
      <t xml:space="preserve">A~J</t>
    </r>
    <r>
      <rPr>
        <sz val="11"/>
        <color theme="1"/>
        <rFont val="WenQuanYi Zen Hei"/>
        <family val="2"/>
      </rPr>
      <t xml:space="preserve">열에 입력합니다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품목류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클레임분류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조치는 드롭다운에서 선택합니다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날짜는 </t>
    </r>
    <r>
      <rPr>
        <sz val="11"/>
        <color theme="1"/>
        <rFont val="Calibri"/>
        <family val="2"/>
        <charset val="1"/>
      </rPr>
      <t xml:space="preserve">2026-03-15 </t>
    </r>
    <r>
      <rPr>
        <sz val="11"/>
        <color theme="1"/>
        <rFont val="WenQuanYi Zen Hei"/>
        <family val="2"/>
      </rPr>
      <t xml:space="preserve">형식입니다</t>
    </r>
    <r>
      <rPr>
        <sz val="11"/>
        <color theme="1"/>
        <rFont val="Calibri"/>
        <family val="2"/>
        <charset val="1"/>
      </rPr>
      <t xml:space="preserve">.</t>
    </r>
  </si>
  <si>
    <t xml:space="preserve">② 새 분류가 생기면</t>
  </si>
  <si>
    <r>
      <rPr>
        <sz val="11"/>
        <color theme="1"/>
        <rFont val="WenQuanYi Zen Hei"/>
        <family val="2"/>
      </rPr>
      <t xml:space="preserve">기준정보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WenQuanYi Zen Hei"/>
        <family val="2"/>
      </rPr>
      <t xml:space="preserve">클레임분류 목록 맨 아래에 추가 → 클레임목록 드롭다운과 보고서에 바로 나타납니다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WenQuanYi Zen Hei"/>
        <family val="2"/>
      </rPr>
      <t xml:space="preserve">분류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품목류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조치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개까지 보고서에 표시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</si>
  <si>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③ 제공인력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내용</t>
    </r>
  </si>
  <si>
    <r>
      <rPr>
        <sz val="11"/>
        <color theme="1"/>
        <rFont val="WenQuanYi Zen Hei"/>
        <family val="2"/>
      </rPr>
      <t xml:space="preserve">드롭다운에 없는 이름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내용도 그냥 입력하면 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자동으로 목록에 추가되고 보고서 </t>
    </r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WenQuanYi Zen Hei"/>
        <family val="2"/>
      </rPr>
      <t xml:space="preserve">순위에 반영됩니다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오타가 있으면 다른 항목으로 집계되니 가능하면 드롭다운을 사용하세요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</si>
  <si>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④ 서비스시작일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조치</t>
    </r>
  </si>
  <si>
    <r>
      <rPr>
        <sz val="11"/>
        <color theme="1"/>
        <rFont val="WenQuanYi Zen Hei"/>
        <family val="2"/>
      </rPr>
      <t xml:space="preserve">입력하면 보고서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WenQuanYi Zen Hei"/>
        <family val="2"/>
      </rPr>
      <t xml:space="preserve">서비스 시작 후 경과일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조치별 현황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WenQuanYi Zen Hei"/>
        <family val="2"/>
      </rPr>
      <t xml:space="preserve">이 채워집니다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WenQuanYi Zen Hei"/>
        <family val="2"/>
      </rPr>
      <t xml:space="preserve">선택 입력</t>
    </r>
    <r>
      <rPr>
        <sz val="11"/>
        <color theme="1"/>
        <rFont val="Calibri"/>
        <family val="2"/>
        <charset val="1"/>
      </rPr>
      <t xml:space="preserve">)</t>
    </r>
  </si>
  <si>
    <t xml:space="preserve">⑤ 데이터 필터</t>
  </si>
  <si>
    <r>
      <rPr>
        <sz val="11"/>
        <color theme="1"/>
        <rFont val="WenQuanYi Zen Hei"/>
        <family val="2"/>
      </rPr>
      <t xml:space="preserve">방법 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WenQuanYi Zen Hei"/>
        <family val="2"/>
      </rPr>
      <t xml:space="preserve">클레임목록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행의 ▼ 버튼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엑셀 기본 필터</t>
    </r>
    <r>
      <rPr>
        <sz val="11"/>
        <color theme="1"/>
        <rFont val="Calibri"/>
        <family val="2"/>
        <charset val="1"/>
      </rPr>
      <t xml:space="preserve">)  </t>
    </r>
    <r>
      <rPr>
        <sz val="11"/>
        <color theme="1"/>
        <rFont val="WenQuanYi Zen Hei"/>
        <family val="2"/>
      </rPr>
      <t xml:space="preserve">방법 </t>
    </r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WenQuanYi Zen Hei"/>
        <family val="2"/>
      </rPr>
      <t xml:space="preserve">클레임조회 시트에서 조건 입력</t>
    </r>
    <r>
      <rPr>
        <sz val="11"/>
        <color theme="1"/>
        <rFont val="Calibri"/>
        <family val="2"/>
        <charset val="1"/>
      </rPr>
      <t xml:space="preserve">.</t>
    </r>
  </si>
  <si>
    <t xml:space="preserve">색상 안내</t>
  </si>
  <si>
    <t xml:space="preserve">노란 칸</t>
  </si>
  <si>
    <r>
      <rPr>
        <sz val="11"/>
        <color theme="1"/>
        <rFont val="WenQuanYi Zen Hei"/>
        <family val="2"/>
      </rPr>
      <t xml:space="preserve">직접 입력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수정하는 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기준연도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조회조건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기준정보 목록</t>
    </r>
    <r>
      <rPr>
        <sz val="11"/>
        <color theme="1"/>
        <rFont val="Calibri"/>
        <family val="2"/>
        <charset val="1"/>
      </rPr>
      <t xml:space="preserve">)</t>
    </r>
  </si>
  <si>
    <t xml:space="preserve">회색 칸</t>
  </si>
  <si>
    <t xml:space="preserve">자동 계산 — 수정 금지</t>
  </si>
  <si>
    <t xml:space="preserve">주의</t>
  </si>
  <si>
    <t xml:space="preserve">보고서 확인</t>
  </si>
  <si>
    <r>
      <rPr>
        <sz val="11"/>
        <color theme="1"/>
        <rFont val="WenQuanYi Zen Hei"/>
        <family val="2"/>
      </rPr>
      <t xml:space="preserve">보고서 상단 초록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빨간 문구가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WenQuanYi Zen Hei"/>
        <family val="2"/>
      </rPr>
      <t xml:space="preserve">집계 누락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WenQuanYi Zen Hei"/>
        <family val="2"/>
      </rPr>
      <t xml:space="preserve">을 알려줍니다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분류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품목류를 비우거나 기준정보에 없는 값을 쓰면 집계에서 빠집니다</t>
    </r>
    <r>
      <rPr>
        <sz val="11"/>
        <color theme="1"/>
        <rFont val="Calibri"/>
        <family val="2"/>
        <charset val="1"/>
      </rPr>
      <t xml:space="preserve">.</t>
    </r>
  </si>
  <si>
    <t xml:space="preserve">입력 예시</t>
  </si>
  <si>
    <r>
      <rPr>
        <sz val="11"/>
        <color theme="1"/>
        <rFont val="WenQuanYi Zen Hei"/>
        <family val="2"/>
      </rPr>
      <t xml:space="preserve">클레임목록 </t>
    </r>
    <r>
      <rPr>
        <sz val="11"/>
        <color theme="1"/>
        <rFont val="Calibri"/>
        <family val="2"/>
        <charset val="1"/>
      </rPr>
      <t xml:space="preserve">2~3</t>
    </r>
    <r>
      <rPr>
        <sz val="11"/>
        <color theme="1"/>
        <rFont val="WenQuanYi Zen Hei"/>
        <family val="2"/>
      </rPr>
      <t xml:space="preserve">행에 입력 예시가 들어 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실제 데이터를 입력하시거나 덮어써서 사용하세요</t>
    </r>
    <r>
      <rPr>
        <sz val="11"/>
        <color theme="1"/>
        <rFont val="Calibri"/>
        <family val="2"/>
        <charset val="1"/>
      </rPr>
      <t xml:space="preserve">.</t>
    </r>
  </si>
  <si>
    <t xml:space="preserve">관리번호</t>
  </si>
  <si>
    <t xml:space="preserve">날짜</t>
  </si>
  <si>
    <t xml:space="preserve">제공인력</t>
  </si>
  <si>
    <t xml:space="preserve">품목류</t>
  </si>
  <si>
    <t xml:space="preserve">클레임분류</t>
  </si>
  <si>
    <t xml:space="preserve">내용</t>
  </si>
  <si>
    <t xml:space="preserve">점검결과</t>
  </si>
  <si>
    <t xml:space="preserve">이용자</t>
  </si>
  <si>
    <t xml:space="preserve">서비스시작일</t>
  </si>
  <si>
    <t xml:space="preserve">조치</t>
  </si>
  <si>
    <t xml:space="preserve">연도</t>
  </si>
  <si>
    <t xml:space="preserve">월</t>
  </si>
  <si>
    <t xml:space="preserve">시작후 경과일</t>
  </si>
  <si>
    <t xml:space="preserve">경과구간</t>
  </si>
  <si>
    <t xml:space="preserve">조회순번</t>
  </si>
  <si>
    <t xml:space="preserve">인력순번</t>
  </si>
  <si>
    <t xml:space="preserve">내용순번</t>
  </si>
  <si>
    <t xml:space="preserve">유은영</t>
  </si>
  <si>
    <t xml:space="preserve">산모신생아</t>
  </si>
  <si>
    <t xml:space="preserve">전문성</t>
  </si>
  <si>
    <t xml:space="preserve">조기퇴근</t>
  </si>
  <si>
    <r>
      <rPr>
        <sz val="10"/>
        <color rgb="FF000000"/>
        <rFont val="WenQuanYi Zen Hei"/>
        <family val="2"/>
      </rPr>
      <t xml:space="preserve">말이 많으심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성향 안맞아</t>
    </r>
  </si>
  <si>
    <r>
      <rPr>
        <sz val="10"/>
        <color rgb="FF000000"/>
        <rFont val="맑은 고딕"/>
        <family val="0"/>
        <charset val="1"/>
      </rPr>
      <t xml:space="preserve">26-03 </t>
    </r>
    <r>
      <rPr>
        <sz val="10"/>
        <color rgb="FF000000"/>
        <rFont val="WenQuanYi Zen Hei"/>
        <family val="2"/>
      </rPr>
      <t xml:space="preserve">윤푸름</t>
    </r>
  </si>
  <si>
    <t xml:space="preserve">영유아</t>
  </si>
  <si>
    <t xml:space="preserve">성실성</t>
  </si>
  <si>
    <t xml:space="preserve">휴대폰사용</t>
  </si>
  <si>
    <r>
      <rPr>
        <sz val="10"/>
        <color rgb="FF000000"/>
        <rFont val="맑은 고딕"/>
        <family val="0"/>
        <charset val="1"/>
      </rPr>
      <t xml:space="preserve">26-42 </t>
    </r>
    <r>
      <rPr>
        <sz val="10"/>
        <color rgb="FF000000"/>
        <rFont val="WenQuanYi Zen Hei"/>
        <family val="2"/>
      </rPr>
      <t xml:space="preserve">변영애</t>
    </r>
  </si>
  <si>
    <t xml:space="preserve">클레임 접수 현황 분석 보고서</t>
  </si>
  <si>
    <t xml:space="preserve">기준연도</t>
  </si>
  <si>
    <t xml:space="preserve">비교연도</t>
  </si>
  <si>
    <r>
      <rPr>
        <sz val="10"/>
        <color rgb="FF666666"/>
        <rFont val="WenQuanYi Zen Hei"/>
        <family val="2"/>
      </rPr>
      <t xml:space="preserve">← 노란 칸의 연도를 바꾸면 보고서 전체가 그 연도 기준으로 바뀝니다</t>
    </r>
    <r>
      <rPr>
        <sz val="10"/>
        <color rgb="FF666666"/>
        <rFont val="맑은 고딕"/>
        <family val="0"/>
        <charset val="1"/>
      </rPr>
      <t xml:space="preserve">.</t>
    </r>
  </si>
  <si>
    <t xml:space="preserve">올해 총 건수</t>
  </si>
  <si>
    <t xml:space="preserve">전년 총 건수</t>
  </si>
  <si>
    <t xml:space="preserve">전년 대비 증감률</t>
  </si>
  <si>
    <t xml:space="preserve">최다 클레임분류</t>
  </si>
  <si>
    <t xml:space="preserve">최다 제공인력</t>
  </si>
  <si>
    <r>
      <rPr>
        <b val="true"/>
        <sz val="9"/>
        <color rgb="FFFFFFFF"/>
        <rFont val="WenQuanYi Zen Hei"/>
        <family val="2"/>
      </rPr>
      <t xml:space="preserve">재발 제공인력</t>
    </r>
    <r>
      <rPr>
        <b val="true"/>
        <sz val="9"/>
        <color rgb="FFFFFFFF"/>
        <rFont val="맑은 고딕"/>
        <family val="0"/>
        <charset val="1"/>
      </rPr>
      <t xml:space="preserve">(2</t>
    </r>
    <r>
      <rPr>
        <b val="true"/>
        <sz val="9"/>
        <color rgb="FFFFFFFF"/>
        <rFont val="WenQuanYi Zen Hei"/>
        <family val="2"/>
      </rPr>
      <t xml:space="preserve">건↑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</si>
  <si>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12"/>
        <color rgb="FF1F3A5F"/>
        <rFont val="맑은 고딕"/>
        <family val="0"/>
        <charset val="1"/>
      </rPr>
      <t xml:space="preserve">1. </t>
    </r>
    <r>
      <rPr>
        <b val="true"/>
        <sz val="12"/>
        <color rgb="FF1F3A5F"/>
        <rFont val="WenQuanYi Zen Hei"/>
        <family val="2"/>
      </rPr>
      <t xml:space="preserve">전년 대비 클레임 접수 건수 </t>
    </r>
    <r>
      <rPr>
        <b val="true"/>
        <sz val="12"/>
        <color rgb="FF1F3A5F"/>
        <rFont val="맑은 고딕"/>
        <family val="0"/>
        <charset val="1"/>
      </rPr>
      <t xml:space="preserve">(</t>
    </r>
    <r>
      <rPr>
        <b val="true"/>
        <sz val="12"/>
        <color rgb="FF1F3A5F"/>
        <rFont val="WenQuanYi Zen Hei"/>
        <family val="2"/>
      </rPr>
      <t xml:space="preserve">클레임분류별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</si>
  <si>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t xml:space="preserve">구분</t>
  </si>
  <si>
    <t xml:space="preserve">증감건수</t>
  </si>
  <si>
    <t xml:space="preserve">증감률</t>
  </si>
  <si>
    <t xml:space="preserve">합계</t>
  </si>
  <si>
    <r>
      <rPr>
        <b val="true"/>
        <sz val="12"/>
        <color rgb="FF1F3A5F"/>
        <rFont val="맑은 고딕"/>
        <family val="0"/>
        <charset val="1"/>
      </rPr>
      <t xml:space="preserve">2. </t>
    </r>
    <r>
      <rPr>
        <b val="true"/>
        <sz val="12"/>
        <color rgb="FF1F3A5F"/>
        <rFont val="WenQuanYi Zen Hei"/>
        <family val="2"/>
      </rPr>
      <t xml:space="preserve">월별 클레임 추이</t>
    </r>
  </si>
  <si>
    <r>
      <rPr>
        <b val="true"/>
        <sz val="12"/>
        <color rgb="FF1F3A5F"/>
        <rFont val="맑은 고딕"/>
        <family val="0"/>
        <charset val="1"/>
      </rPr>
      <t xml:space="preserve">3. </t>
    </r>
    <r>
      <rPr>
        <b val="true"/>
        <sz val="12"/>
        <color rgb="FF1F3A5F"/>
        <rFont val="WenQuanYi Zen Hei"/>
        <family val="2"/>
      </rPr>
      <t xml:space="preserve">제공인력별 클레임 발생 건수 </t>
    </r>
    <r>
      <rPr>
        <b val="true"/>
        <sz val="12"/>
        <color rgb="FF1F3A5F"/>
        <rFont val="맑은 고딕"/>
        <family val="0"/>
        <charset val="1"/>
      </rPr>
      <t xml:space="preserve">(</t>
    </r>
    <r>
      <rPr>
        <b val="true"/>
        <sz val="12"/>
        <color rgb="FF1F3A5F"/>
        <rFont val="WenQuanYi Zen Hei"/>
        <family val="2"/>
      </rPr>
      <t xml:space="preserve">기준연도 상위 </t>
    </r>
    <r>
      <rPr>
        <b val="true"/>
        <sz val="12"/>
        <color rgb="FF1F3A5F"/>
        <rFont val="맑은 고딕"/>
        <family val="0"/>
        <charset val="1"/>
      </rPr>
      <t xml:space="preserve">10</t>
    </r>
    <r>
      <rPr>
        <b val="true"/>
        <sz val="12"/>
        <color rgb="FF1F3A5F"/>
        <rFont val="WenQuanYi Zen Hei"/>
        <family val="2"/>
      </rPr>
      <t xml:space="preserve">명 </t>
    </r>
    <r>
      <rPr>
        <b val="true"/>
        <sz val="12"/>
        <color rgb="FF1F3A5F"/>
        <rFont val="맑은 고딕"/>
        <family val="0"/>
        <charset val="1"/>
      </rPr>
      <t xml:space="preserve">× </t>
    </r>
    <r>
      <rPr>
        <b val="true"/>
        <sz val="12"/>
        <color rgb="FF1F3A5F"/>
        <rFont val="WenQuanYi Zen Hei"/>
        <family val="2"/>
      </rPr>
      <t xml:space="preserve">품목류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</si>
  <si>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t xml:space="preserve">순위</t>
  </si>
  <si>
    <r>
      <rPr>
        <b val="true"/>
        <sz val="10"/>
        <color rgb="FFFFFFFF"/>
        <rFont val="WenQuanYi Zen Hei"/>
        <family val="2"/>
      </rPr>
      <t xml:space="preserve">비율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</si>
  <si>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r>
      <rPr>
        <sz val="9"/>
        <color rgb="FF666666"/>
        <rFont val="WenQuanYi Zen Hei"/>
        <family val="2"/>
      </rPr>
      <t xml:space="preserve">※ 상위 </t>
    </r>
    <r>
      <rPr>
        <sz val="9"/>
        <color rgb="FF666666"/>
        <rFont val="맑은 고딕"/>
        <family val="0"/>
        <charset val="1"/>
      </rPr>
      <t xml:space="preserve">10</t>
    </r>
    <r>
      <rPr>
        <sz val="9"/>
        <color rgb="FF666666"/>
        <rFont val="WenQuanYi Zen Hei"/>
        <family val="2"/>
      </rPr>
      <t xml:space="preserve">명 합계입니다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전체 인력별 건수는 자동목록 시트에서 확인할 수 있습니다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</si>
  <si>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2"/>
        <color rgb="FF1F3A5F"/>
        <rFont val="맑은 고딕"/>
        <family val="0"/>
        <charset val="1"/>
      </rPr>
      <t xml:space="preserve">4. </t>
    </r>
    <r>
      <rPr>
        <b val="true"/>
        <sz val="12"/>
        <color rgb="FF1F3A5F"/>
        <rFont val="WenQuanYi Zen Hei"/>
        <family val="2"/>
      </rPr>
      <t xml:space="preserve">품목류별 클레임 건수 </t>
    </r>
    <r>
      <rPr>
        <b val="true"/>
        <sz val="12"/>
        <color rgb="FF1F3A5F"/>
        <rFont val="맑은 고딕"/>
        <family val="0"/>
        <charset val="1"/>
      </rPr>
      <t xml:space="preserve">(</t>
    </r>
    <r>
      <rPr>
        <b val="true"/>
        <sz val="12"/>
        <color rgb="FF1F3A5F"/>
        <rFont val="WenQuanYi Zen Hei"/>
        <family val="2"/>
      </rPr>
      <t xml:space="preserve">기준연도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</si>
  <si>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t xml:space="preserve">건수</t>
  </si>
  <si>
    <r>
      <rPr>
        <b val="true"/>
        <sz val="12"/>
        <color rgb="FF1F3A5F"/>
        <rFont val="맑은 고딕"/>
        <family val="0"/>
        <charset val="1"/>
      </rPr>
      <t xml:space="preserve">5. </t>
    </r>
    <r>
      <rPr>
        <b val="true"/>
        <sz val="12"/>
        <color rgb="FF1F3A5F"/>
        <rFont val="WenQuanYi Zen Hei"/>
        <family val="2"/>
      </rPr>
      <t xml:space="preserve">클레임 내용 </t>
    </r>
    <r>
      <rPr>
        <b val="true"/>
        <sz val="12"/>
        <color rgb="FF1F3A5F"/>
        <rFont val="맑은 고딕"/>
        <family val="0"/>
        <charset val="1"/>
      </rPr>
      <t xml:space="preserve">TOP 10 (</t>
    </r>
    <r>
      <rPr>
        <b val="true"/>
        <sz val="12"/>
        <color rgb="FF1F3A5F"/>
        <rFont val="WenQuanYi Zen Hei"/>
        <family val="2"/>
      </rPr>
      <t xml:space="preserve">기준연도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</si>
  <si>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r>
      <rPr>
        <b val="true"/>
        <sz val="12"/>
        <color rgb="FF1F3A5F"/>
        <rFont val="맑은 고딕"/>
        <family val="0"/>
        <charset val="1"/>
      </rPr>
      <t xml:space="preserve">6. </t>
    </r>
    <r>
      <rPr>
        <b val="true"/>
        <sz val="12"/>
        <color rgb="FF1F3A5F"/>
        <rFont val="WenQuanYi Zen Hei"/>
        <family val="2"/>
      </rPr>
      <t xml:space="preserve">서비스 시작 후 경과일 </t>
    </r>
    <r>
      <rPr>
        <b val="true"/>
        <sz val="12"/>
        <color rgb="FF1F3A5F"/>
        <rFont val="맑은 고딕"/>
        <family val="0"/>
        <charset val="1"/>
      </rPr>
      <t xml:space="preserve">· </t>
    </r>
    <r>
      <rPr>
        <b val="true"/>
        <sz val="12"/>
        <color rgb="FF1F3A5F"/>
        <rFont val="WenQuanYi Zen Hei"/>
        <family val="2"/>
      </rPr>
      <t xml:space="preserve">조치별 현황 </t>
    </r>
    <r>
      <rPr>
        <b val="true"/>
        <sz val="12"/>
        <color rgb="FF1F3A5F"/>
        <rFont val="맑은 고딕"/>
        <family val="0"/>
        <charset val="1"/>
      </rPr>
      <t xml:space="preserve">(</t>
    </r>
    <r>
      <rPr>
        <b val="true"/>
        <sz val="12"/>
        <color rgb="FF1F3A5F"/>
        <rFont val="WenQuanYi Zen Hei"/>
        <family val="2"/>
      </rPr>
      <t xml:space="preserve">기준연도</t>
    </r>
    <r>
      <rPr>
        <b val="true"/>
        <sz val="12"/>
        <color rgb="FF1F3A5F"/>
        <rFont val="맑은 고딕"/>
        <family val="0"/>
        <charset val="1"/>
      </rPr>
      <t xml:space="preserve">)</t>
    </r>
  </si>
  <si>
    <t xml:space="preserve">전체 클레임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</si>
  <si>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일째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</si>
  <si>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일째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</si>
  <si>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일째</t>
    </r>
  </si>
  <si>
    <t xml:space="preserve">일주일 이내</t>
  </si>
  <si>
    <t xml:space="preserve">이주일 이내</t>
  </si>
  <si>
    <r>
      <rPr>
        <sz val="10"/>
        <color rgb="FF000000"/>
        <rFont val="맑은 고딕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일 이후</t>
    </r>
  </si>
  <si>
    <r>
      <rPr>
        <sz val="10"/>
        <color rgb="FF000000"/>
        <rFont val="WenQuanYi Zen Hei"/>
        <family val="2"/>
      </rPr>
      <t xml:space="preserve">시작일 이전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</si>
  <si>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시작일 미입력</t>
  </si>
  <si>
    <r>
      <rPr>
        <sz val="9"/>
        <color rgb="FF666666"/>
        <rFont val="WenQuanYi Zen Hei"/>
        <family val="2"/>
      </rPr>
      <t xml:space="preserve">※ 경과일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날짜 − 서비스시작일 </t>
    </r>
    <r>
      <rPr>
        <sz val="9"/>
        <color rgb="FF666666"/>
        <rFont val="맑은 고딕"/>
        <family val="0"/>
        <charset val="1"/>
      </rPr>
      <t xml:space="preserve">+ 1 (</t>
    </r>
    <r>
      <rPr>
        <sz val="9"/>
        <color rgb="FF666666"/>
        <rFont val="WenQuanYi Zen Hei"/>
        <family val="2"/>
      </rPr>
      <t xml:space="preserve">시작일 당일이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일째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WenQuanYi Zen Hei"/>
        <family val="2"/>
      </rPr>
      <t xml:space="preserve">클레임목록에 서비스시작일을 입력해야 집계됩니다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</si>
  <si>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6"/>
        <color rgb="FFFFFFFF"/>
        <rFont val="WenQuanYi Zen Hei"/>
        <family val="2"/>
      </rPr>
      <t xml:space="preserve">클레임 조회 </t>
    </r>
    <r>
      <rPr>
        <b val="true"/>
        <sz val="16"/>
        <color rgb="FFFFFFFF"/>
        <rFont val="맑은 고딕"/>
        <family val="0"/>
        <charset val="1"/>
      </rPr>
      <t xml:space="preserve">(</t>
    </r>
    <r>
      <rPr>
        <b val="true"/>
        <sz val="16"/>
        <color rgb="FFFFFFFF"/>
        <rFont val="WenQuanYi Zen Hei"/>
        <family val="2"/>
      </rPr>
      <t xml:space="preserve">데이터 필터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</si>
  <si>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10"/>
        <color rgb="FF666666"/>
        <rFont val="WenQuanYi Zen Hei"/>
        <family val="2"/>
      </rPr>
      <t xml:space="preserve">조건을 고르거나 입력하면 아래에 일치하는 클레임만 나타납니다</t>
    </r>
    <r>
      <rPr>
        <sz val="10"/>
        <color rgb="FF666666"/>
        <rFont val="맑은 고딕"/>
        <family val="0"/>
        <charset val="1"/>
      </rPr>
      <t xml:space="preserve">. </t>
    </r>
    <r>
      <rPr>
        <sz val="10"/>
        <color rgb="FF666666"/>
        <rFont val="WenQuanYi Zen Hei"/>
        <family val="2"/>
      </rPr>
      <t xml:space="preserve">비워 두면 전체이며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WenQuanYi Zen Hei"/>
        <family val="2"/>
      </rPr>
      <t xml:space="preserve">조건을 지우면</t>
    </r>
    <r>
      <rPr>
        <sz val="10"/>
        <color rgb="FF666666"/>
        <rFont val="맑은 고딕"/>
        <family val="0"/>
        <charset val="1"/>
      </rPr>
      <t xml:space="preserve">(Delete) </t>
    </r>
    <r>
      <rPr>
        <sz val="10"/>
        <color rgb="FF666666"/>
        <rFont val="WenQuanYi Zen Hei"/>
        <family val="2"/>
      </rPr>
      <t xml:space="preserve">해제됩니다</t>
    </r>
    <r>
      <rPr>
        <sz val="10"/>
        <color rgb="FF666666"/>
        <rFont val="맑은 고딕"/>
        <family val="0"/>
        <charset val="1"/>
      </rPr>
      <t xml:space="preserve">.</t>
    </r>
  </si>
  <si>
    <t xml:space="preserve">시작일</t>
  </si>
  <si>
    <r>
      <rPr>
        <sz val="9"/>
        <color rgb="FF666666"/>
        <rFont val="WenQuanYi Zen Hei"/>
        <family val="2"/>
      </rPr>
      <t xml:space="preserve">날짜 예</t>
    </r>
    <r>
      <rPr>
        <sz val="9"/>
        <color rgb="FF666666"/>
        <rFont val="맑은 고딕"/>
        <family val="0"/>
        <charset val="1"/>
      </rPr>
      <t xml:space="preserve">: 2026-03-01</t>
    </r>
  </si>
  <si>
    <t xml:space="preserve">종료일</t>
  </si>
  <si>
    <t xml:space="preserve">목록에 없어도 직접 입력 가능</t>
  </si>
  <si>
    <t xml:space="preserve">키워드</t>
  </si>
  <si>
    <r>
      <rPr>
        <sz val="9"/>
        <color rgb="FF666666"/>
        <rFont val="WenQuanYi Zen Hei"/>
        <family val="2"/>
      </rPr>
      <t xml:space="preserve">제공인력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내용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점검결과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이용자 안에서 검색</t>
    </r>
  </si>
  <si>
    <t xml:space="preserve">일치 건수</t>
  </si>
  <si>
    <t xml:space="preserve">번호</t>
  </si>
  <si>
    <r>
      <rPr>
        <b val="true"/>
        <sz val="14"/>
        <color rgb="FF1F3A5F"/>
        <rFont val="WenQuanYi Zen Hei"/>
        <family val="2"/>
      </rPr>
      <t xml:space="preserve">기준정보 </t>
    </r>
    <r>
      <rPr>
        <b val="true"/>
        <sz val="14"/>
        <color rgb="FF1F3A5F"/>
        <rFont val="맑은 고딕"/>
        <family val="0"/>
        <charset val="1"/>
      </rPr>
      <t xml:space="preserve">(</t>
    </r>
    <r>
      <rPr>
        <b val="true"/>
        <sz val="14"/>
        <color rgb="FF1F3A5F"/>
        <rFont val="WenQuanYi Zen Hei"/>
        <family val="2"/>
      </rPr>
      <t xml:space="preserve">드롭다운 목록</t>
    </r>
    <r>
      <rPr>
        <b val="true"/>
        <sz val="14"/>
        <color rgb="FF1F3A5F"/>
        <rFont val="맑은 고딕"/>
        <family val="0"/>
        <charset val="1"/>
      </rPr>
      <t xml:space="preserve">)</t>
    </r>
  </si>
  <si>
    <r>
      <rPr>
        <sz val="10"/>
        <color rgb="FF666666"/>
        <rFont val="WenQuanYi Zen Hei"/>
        <family val="2"/>
      </rPr>
      <t xml:space="preserve">노란 칸 아래에 항목을 계속 추가하면 됩니다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빈 칸 없이 위에서부터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WenQuanYi Zen Hei"/>
        <family val="2"/>
      </rPr>
      <t xml:space="preserve">최대 </t>
    </r>
    <r>
      <rPr>
        <sz val="10"/>
        <color rgb="FF666666"/>
        <rFont val="맑은 고딕"/>
        <family val="0"/>
        <charset val="1"/>
      </rPr>
      <t xml:space="preserve">40</t>
    </r>
    <r>
      <rPr>
        <sz val="10"/>
        <color rgb="FF666666"/>
        <rFont val="WenQuanYi Zen Hei"/>
        <family val="2"/>
      </rPr>
      <t xml:space="preserve">개</t>
    </r>
    <r>
      <rPr>
        <sz val="10"/>
        <color rgb="FF666666"/>
        <rFont val="맑은 고딕"/>
        <family val="0"/>
        <charset val="1"/>
      </rPr>
      <t xml:space="preserve">). </t>
    </r>
    <r>
      <rPr>
        <sz val="10"/>
        <color rgb="FF666666"/>
        <rFont val="WenQuanYi Zen Hei"/>
        <family val="2"/>
      </rPr>
      <t xml:space="preserve">추가한 항목은 클레임목록 드롭다운과 분석보고서에 자동 반영됩니다</t>
    </r>
    <r>
      <rPr>
        <sz val="10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</si>
  <si>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조치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처리결과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</si>
  <si>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참고</t>
  </si>
  <si>
    <t xml:space="preserve">제공인력 교체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</si>
  <si>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분석보고서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클레임분류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품목류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조치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개까지 표시됩니다</t>
    </r>
    <r>
      <rPr>
        <sz val="10"/>
        <rFont val="맑은 고딕"/>
        <family val="0"/>
        <charset val="1"/>
      </rPr>
      <t xml:space="preserve">.</t>
    </r>
  </si>
  <si>
    <t xml:space="preserve">서비스 중지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</si>
  <si>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제공인력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내용 목록은 클레임목록에 입력하면 자동으로 만들어집니다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자동목록 시트</t>
    </r>
    <r>
      <rPr>
        <sz val="10"/>
        <rFont val="맑은 고딕"/>
        <family val="0"/>
        <charset val="1"/>
      </rPr>
      <t xml:space="preserve">).</t>
    </r>
  </si>
  <si>
    <t xml:space="preserve">가사서비스</t>
  </si>
  <si>
    <t xml:space="preserve">책임감</t>
  </si>
  <si>
    <r>
      <rPr>
        <sz val="10"/>
        <rFont val="WenQuanYi Zen Hei"/>
        <family val="2"/>
      </rPr>
      <t xml:space="preserve">주의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교육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</si>
  <si>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항목명을 바꾸면 이미 입력한 데이터와 달라져 집계에서 빠집니다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이름 변경 시 클레임목록도 같이 수정하세요</t>
    </r>
    <r>
      <rPr>
        <sz val="10"/>
        <rFont val="맑은 고딕"/>
        <family val="0"/>
        <charset val="1"/>
      </rPr>
      <t xml:space="preserve">.</t>
    </r>
  </si>
  <si>
    <t xml:space="preserve">정리수납</t>
  </si>
  <si>
    <t xml:space="preserve">청결성</t>
  </si>
  <si>
    <t xml:space="preserve">기타 조치</t>
  </si>
  <si>
    <t xml:space="preserve">이유식전문가</t>
  </si>
  <si>
    <r>
      <rPr>
        <sz val="10"/>
        <rFont val="WenQuanYi Zen Hei"/>
        <family val="2"/>
      </rPr>
      <t xml:space="preserve">배려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존중</t>
    </r>
  </si>
  <si>
    <t xml:space="preserve">기타</t>
  </si>
  <si>
    <r>
      <rPr>
        <b val="true"/>
        <sz val="14"/>
        <color rgb="FF7F8C8D"/>
        <rFont val="WenQuanYi Zen Hei"/>
        <family val="2"/>
      </rPr>
      <t xml:space="preserve">자동목록 </t>
    </r>
    <r>
      <rPr>
        <b val="true"/>
        <sz val="14"/>
        <color rgb="FF7F8C8D"/>
        <rFont val="맑은 고딕"/>
        <family val="0"/>
        <charset val="1"/>
      </rPr>
      <t xml:space="preserve">(</t>
    </r>
    <r>
      <rPr>
        <b val="true"/>
        <sz val="14"/>
        <color rgb="FF7F8C8D"/>
        <rFont val="WenQuanYi Zen Hei"/>
        <family val="2"/>
      </rPr>
      <t xml:space="preserve">계산용 — 수정하지 마세요</t>
    </r>
    <r>
      <rPr>
        <b val="true"/>
        <sz val="14"/>
        <color rgb="FF7F8C8D"/>
        <rFont val="맑은 고딕"/>
        <family val="0"/>
        <charset val="1"/>
      </rPr>
      <t xml:space="preserve">)</t>
    </r>
  </si>
  <si>
    <r>
      <rPr>
        <sz val="10"/>
        <color rgb="FF666666"/>
        <rFont val="WenQuanYi Zen Hei"/>
        <family val="2"/>
      </rPr>
      <t xml:space="preserve">클레임목록에 입력한 제공인력</t>
    </r>
    <r>
      <rPr>
        <sz val="10"/>
        <color rgb="FF666666"/>
        <rFont val="맑은 고딕"/>
        <family val="0"/>
        <charset val="1"/>
      </rPr>
      <t xml:space="preserve">·</t>
    </r>
    <r>
      <rPr>
        <sz val="10"/>
        <color rgb="FF666666"/>
        <rFont val="WenQuanYi Zen Hei"/>
        <family val="2"/>
      </rPr>
      <t xml:space="preserve">내용이 자동으로 나열되고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WenQuanYi Zen Hei"/>
        <family val="2"/>
      </rPr>
      <t xml:space="preserve">기준연도의 건수가 계산됩니다</t>
    </r>
    <r>
      <rPr>
        <sz val="10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</si>
  <si>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건수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기준연도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</si>
  <si>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순위키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</si>
</sst>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General"/>
    <numFmt numFmtId="167" formatCode="#,##0\건"/>
    <numFmt numFmtId="168" formatCode="\+0.0%;\-0.0%;0.0%"/>
    <numFmt numFmtId="169" formatCode="#,##0\명"/>
    <numFmt numFmtId="170" formatCode="#,##0;\-#,##0;\-"/>
    <numFmt numFmtId="171" formatCode="\+#,##0;\-#,##0;\-"/>
    <numFmt numFmtId="172" formatCode="0\월"/>
    <numFmt numFmtId="173" formatCode="#,##0"/>
    <numFmt numFmtId="174" formatCode="0.0%"/>
    <numFmt numFmtId="175" formatCode="0.00000"/>
  </numFmts>
  <fonts count="40">
    <font>
      <sz val="1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0"/>
      <name val="WenQuanYi Zen Hei"/>
      <family val="2"/>
    </font>
    <font>
      <sz val="11"/>
      <color theme="1"/>
      <name val="WenQuanYi Zen Hei"/>
      <family val="2"/>
    </font>
    <font>
      <sz val="11"/>
      <color theme="1"/>
      <name val="Calibri"/>
      <family val="2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sz val="10"/>
      <color rgb="FF595959"/>
      <name val="맑은 고딕"/>
      <family val="0"/>
      <charset val="1"/>
    </font>
    <font>
      <sz val="10"/>
      <color rgb="FF595959"/>
      <name val="WenQuanYi Zen Hei"/>
      <family val="2"/>
    </font>
    <font>
      <b val="true"/>
      <sz val="12"/>
      <color rgb="FF0000FF"/>
      <name val="맑은 고딕"/>
      <family val="0"/>
      <charset val="1"/>
    </font>
    <font>
      <sz val="10"/>
      <color rgb="FF666666"/>
      <name val="WenQuanYi Zen Hei"/>
      <family val="2"/>
    </font>
    <font>
      <sz val="10"/>
      <color rgb="FF666666"/>
      <name val="맑은 고딕"/>
      <family val="0"/>
      <charset val="1"/>
    </font>
    <font>
      <b val="true"/>
      <sz val="9"/>
      <color rgb="FFFFFFFF"/>
      <name val="WenQuanYi Zen Hei"/>
      <family val="2"/>
    </font>
    <font>
      <b val="true"/>
      <sz val="9"/>
      <color rgb="FFFFFFFF"/>
      <name val="맑은 고딕"/>
      <family val="0"/>
      <charset val="1"/>
    </font>
    <font>
      <b val="true"/>
      <sz val="16"/>
      <color rgb="FF1F3A5F"/>
      <name val="맑은 고딕"/>
      <family val="0"/>
      <charset val="1"/>
    </font>
    <font>
      <b val="true"/>
      <sz val="16"/>
      <color rgb="FF1F3A5F"/>
      <name val="WenQuanYi Zen Hei"/>
      <family val="2"/>
    </font>
    <font>
      <b val="true"/>
      <sz val="10"/>
      <color rgb="FFC0504D"/>
      <name val="WenQuanYi Zen Hei"/>
      <family val="2"/>
    </font>
    <font>
      <b val="true"/>
      <sz val="12"/>
      <color rgb="FF1F3A5F"/>
      <name val="맑은 고딕"/>
      <family val="0"/>
      <charset val="1"/>
    </font>
    <font>
      <b val="true"/>
      <sz val="12"/>
      <color rgb="FF1F3A5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666666"/>
      <name val="WenQuanYi Zen Hei"/>
      <family val="2"/>
    </font>
    <font>
      <sz val="9"/>
      <color rgb="FF666666"/>
      <name val="맑은 고딕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6"/>
      <color rgb="FFFFFFFF"/>
      <name val="WenQuanYi Zen Hei"/>
      <family val="2"/>
    </font>
    <font>
      <b val="true"/>
      <sz val="16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0"/>
      <color rgb="FFC0504D"/>
      <name val="맑은 고딕"/>
      <family val="0"/>
      <charset val="1"/>
    </font>
    <font>
      <b val="true"/>
      <sz val="14"/>
      <color rgb="FF1F3A5F"/>
      <name val="WenQuanYi Zen Hei"/>
      <family val="2"/>
    </font>
    <font>
      <b val="true"/>
      <sz val="14"/>
      <color rgb="FF1F3A5F"/>
      <name val="맑은 고딕"/>
      <family val="0"/>
      <charset val="1"/>
    </font>
    <font>
      <sz val="10"/>
      <name val="WenQuanYi Zen Hei"/>
      <family val="2"/>
    </font>
    <font>
      <b val="true"/>
      <sz val="14"/>
      <color rgb="FF7F8C8D"/>
      <name val="WenQuanYi Zen Hei"/>
      <family val="2"/>
    </font>
    <font>
      <b val="true"/>
      <sz val="14"/>
      <color rgb="FF7F8C8D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A7F8E"/>
        <bgColor rgb="FF2E75B6"/>
      </patternFill>
    </fill>
    <fill>
      <patternFill patternType="solid">
        <fgColor rgb="FFFFF2A8"/>
        <bgColor rgb="FFF5F5F5"/>
      </patternFill>
    </fill>
    <fill>
      <patternFill patternType="solid">
        <fgColor rgb="FFF5F5F5"/>
        <bgColor rgb="FFE8F1F4"/>
      </patternFill>
    </fill>
    <fill>
      <patternFill patternType="solid">
        <fgColor rgb="FF7F8C8D"/>
        <bgColor rgb="FF878787"/>
      </patternFill>
    </fill>
    <fill>
      <patternFill patternType="solid">
        <fgColor rgb="FFE8F1F4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0D6"/>
      </left>
      <right style="thin">
        <color rgb="FFC8D0D6"/>
      </right>
      <top style="thin">
        <color rgb="FFC8D0D6"/>
      </top>
      <bottom style="thin">
        <color rgb="FFC8D0D6"/>
      </bottom>
      <diagonal/>
    </border>
    <border diagonalUp="false" diagonalDown="false">
      <left/>
      <right/>
      <top/>
      <bottom style="medium">
        <color rgb="FF2A7F8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맑은 고딕"/>
        <charset val="1"/>
        <family val="0"/>
        <b val="1"/>
        <color rgb="FFC0504D"/>
      </font>
    </dxf>
    <dxf>
      <font>
        <name val="맑은 고딕"/>
        <charset val="1"/>
        <family val="0"/>
        <b val="1"/>
        <color rgb="FF2E75B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F8E"/>
      <rgbColor rgb="FFD9D9D9"/>
      <rgbColor rgb="FF878787"/>
      <rgbColor rgb="FF7F8C8D"/>
      <rgbColor rgb="FFC0504D"/>
      <rgbColor rgb="FFF5F5F5"/>
      <rgbColor rgb="FFE8F1F4"/>
      <rgbColor rgb="FF660066"/>
      <rgbColor rgb="FFFF8080"/>
      <rgbColor rgb="FF0066CC"/>
      <rgbColor rgb="FFC8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AA5B1"/>
      <rgbColor rgb="FF1F3A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클레임분류별 전년 대비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분석보고서!C9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9aa5b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분석보고서!$B$10:$B$21</c:f>
              <c:strCache>
                <c:ptCount val="12"/>
                <c:pt idx="0">
                  <c:v>전문성</c:v>
                </c:pt>
                <c:pt idx="1">
                  <c:v>성실성</c:v>
                </c:pt>
                <c:pt idx="2">
                  <c:v>책임감</c:v>
                </c:pt>
                <c:pt idx="3">
                  <c:v>청결성</c:v>
                </c:pt>
                <c:pt idx="4">
                  <c:v>배려·존중</c:v>
                </c:pt>
                <c:pt idx="5">
                  <c:v>기타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분석보고서!$C$10:$C$21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분석보고서!D9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분석보고서!$B$10:$B$21</c:f>
              <c:strCache>
                <c:ptCount val="12"/>
                <c:pt idx="0">
                  <c:v>전문성</c:v>
                </c:pt>
                <c:pt idx="1">
                  <c:v>성실성</c:v>
                </c:pt>
                <c:pt idx="2">
                  <c:v>책임감</c:v>
                </c:pt>
                <c:pt idx="3">
                  <c:v>청결성</c:v>
                </c:pt>
                <c:pt idx="4">
                  <c:v>배려·존중</c:v>
                </c:pt>
                <c:pt idx="5">
                  <c:v>기타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분석보고서!$D$10:$D$21</c:f>
              <c:numCache>
                <c:formatCode>#,##0;\-#,##0;\-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8493320"/>
        <c:axId val="90478665"/>
      </c:barChart>
      <c:catAx>
        <c:axId val="9849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78665"/>
        <c:crosses val="autoZero"/>
        <c:auto val="1"/>
        <c:lblAlgn val="ctr"/>
        <c:lblOffset val="100"/>
        <c:noMultiLvlLbl val="0"/>
      </c:catAx>
      <c:valAx>
        <c:axId val="90478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33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분석보고서!C25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9aa5b1"/>
            </a:solidFill>
            <a:ln w="28440">
              <a:solidFill>
                <a:srgbClr val="9aa5b1"/>
              </a:solidFill>
              <a:round/>
            </a:ln>
          </c:spPr>
          <c:marker>
            <c:symbol val="circle"/>
            <c:size val="5"/>
            <c:spPr>
              <a:solidFill>
                <a:srgbClr val="9aa5b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분석보고서!$B$26:$B$37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분석보고서!$C$26:$C$37</c:f>
              <c:numCache>
                <c:formatCode>#,##0;\-#,##0;\-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분석보고서!D25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2a7f8e"/>
            </a:solidFill>
            <a:ln w="28440">
              <a:solidFill>
                <a:srgbClr val="2a7f8e"/>
              </a:solidFill>
              <a:round/>
            </a:ln>
          </c:spPr>
          <c:marker>
            <c:symbol val="circle"/>
            <c:size val="5"/>
            <c:spPr>
              <a:solidFill>
                <a:srgbClr val="2a7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분석보고서!$B$26:$B$37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분석보고서!$D$26:$D$37</c:f>
              <c:numCache>
                <c:formatCode>#,##0;\-#,##0;\-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651516"/>
        <c:axId val="15565659"/>
      </c:lineChart>
      <c:catAx>
        <c:axId val="53651516"/>
        <c:scaling>
          <c:orientation val="minMax"/>
        </c:scaling>
        <c:delete val="0"/>
        <c:axPos val="b"/>
        <c:numFmt formatCode="0\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65659"/>
        <c:crosses val="autoZero"/>
        <c:auto val="1"/>
        <c:lblAlgn val="ctr"/>
        <c:lblOffset val="100"/>
        <c:noMultiLvlLbl val="0"/>
      </c:catAx>
      <c:valAx>
        <c:axId val="15565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515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품목류별 건수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분석보고서!C56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분석보고서!$B$57:$B$64</c:f>
              <c:strCache>
                <c:ptCount val="8"/>
                <c:pt idx="0">
                  <c:v>산모신생아</c:v>
                </c:pt>
                <c:pt idx="1">
                  <c:v>영유아</c:v>
                </c:pt>
                <c:pt idx="2">
                  <c:v>가사서비스</c:v>
                </c:pt>
                <c:pt idx="3">
                  <c:v>정리수납</c:v>
                </c:pt>
                <c:pt idx="4">
                  <c:v>이유식전문가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분석보고서!$C$57:$C$64</c:f>
              <c:numCache>
                <c:formatCode>#,##0;\-#,##0;\-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715984"/>
        <c:axId val="17188645"/>
      </c:barChart>
      <c:catAx>
        <c:axId val="67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88645"/>
        <c:crosses val="autoZero"/>
        <c:auto val="1"/>
        <c:lblAlgn val="ctr"/>
        <c:lblOffset val="100"/>
        <c:noMultiLvlLbl val="0"/>
      </c:catAx>
      <c:valAx>
        <c:axId val="17188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5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190440</xdr:rowOff>
    </xdr:from>
    <xdr:to>
      <xdr:col>14</xdr:col>
      <xdr:colOff>104400</xdr:colOff>
      <xdr:row>22</xdr:row>
      <xdr:rowOff>50760</xdr:rowOff>
    </xdr:to>
    <xdr:graphicFrame>
      <xdr:nvGraphicFramePr>
        <xdr:cNvPr id="0" name="Chart 1"/>
        <xdr:cNvGraphicFramePr/>
      </xdr:nvGraphicFramePr>
      <xdr:xfrm>
        <a:off x="5967720" y="200016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172800</xdr:rowOff>
    </xdr:from>
    <xdr:to>
      <xdr:col>12</xdr:col>
      <xdr:colOff>797040</xdr:colOff>
      <xdr:row>38</xdr:row>
      <xdr:rowOff>33120</xdr:rowOff>
    </xdr:to>
    <xdr:graphicFrame>
      <xdr:nvGraphicFramePr>
        <xdr:cNvPr id="1" name="Chart 2"/>
        <xdr:cNvGraphicFramePr/>
      </xdr:nvGraphicFramePr>
      <xdr:xfrm>
        <a:off x="5080680" y="504828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54</xdr:row>
      <xdr:rowOff>137160</xdr:rowOff>
    </xdr:from>
    <xdr:to>
      <xdr:col>10</xdr:col>
      <xdr:colOff>604440</xdr:colOff>
      <xdr:row>66</xdr:row>
      <xdr:rowOff>173160</xdr:rowOff>
    </xdr:to>
    <xdr:graphicFrame>
      <xdr:nvGraphicFramePr>
        <xdr:cNvPr id="2" name="Chart 3"/>
        <xdr:cNvGraphicFramePr/>
      </xdr:nvGraphicFramePr>
      <xdr:xfrm>
        <a:off x="4193640" y="10953720"/>
        <a:ext cx="50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33.7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3" t="s">
        <v>4</v>
      </c>
      <c r="C6" s="4" t="s">
        <v>5</v>
      </c>
    </row>
    <row r="7" customFormat="false" ht="18" hidden="false" customHeight="true" outlineLevel="0" collapsed="false">
      <c r="B7" s="3" t="s">
        <v>6</v>
      </c>
      <c r="C7" s="4" t="s">
        <v>7</v>
      </c>
    </row>
    <row r="8" customFormat="false" ht="18" hidden="false" customHeight="true" outlineLevel="0" collapsed="false">
      <c r="B8" s="3" t="s">
        <v>8</v>
      </c>
      <c r="C8" s="4" t="s">
        <v>9</v>
      </c>
    </row>
    <row r="9" customFormat="false" ht="18" hidden="false" customHeight="tru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2" t="s">
        <v>12</v>
      </c>
      <c r="C10" s="2"/>
    </row>
    <row r="11" customFormat="false" ht="30" hidden="false" customHeight="true" outlineLevel="0" collapsed="false">
      <c r="B11" s="3" t="s">
        <v>13</v>
      </c>
      <c r="C11" s="4" t="s">
        <v>14</v>
      </c>
    </row>
    <row r="12" customFormat="false" ht="30" hidden="false" customHeight="true" outlineLevel="0" collapsed="false">
      <c r="B12" s="3" t="s">
        <v>15</v>
      </c>
      <c r="C12" s="4" t="s">
        <v>16</v>
      </c>
    </row>
    <row r="13" customFormat="false" ht="30" hidden="false" customHeight="true" outlineLevel="0" collapsed="false">
      <c r="B13" s="3" t="s">
        <v>17</v>
      </c>
      <c r="C13" s="4" t="s">
        <v>18</v>
      </c>
    </row>
    <row r="14" customFormat="false" ht="18" hidden="false" customHeight="true" outlineLevel="0" collapsed="false">
      <c r="B14" s="3" t="s">
        <v>19</v>
      </c>
      <c r="C14" s="4" t="s">
        <v>20</v>
      </c>
    </row>
    <row r="15" customFormat="false" ht="18" hidden="false" customHeight="true" outlineLevel="0" collapsed="false">
      <c r="B15" s="3" t="s">
        <v>21</v>
      </c>
      <c r="C15" s="4" t="s">
        <v>22</v>
      </c>
    </row>
    <row r="16" customFormat="false" ht="15" hidden="false" customHeight="false" outlineLevel="0" collapsed="false">
      <c r="B16" s="2" t="s">
        <v>23</v>
      </c>
      <c r="C16" s="2"/>
    </row>
    <row r="17" customFormat="false" ht="18" hidden="false" customHeight="true" outlineLevel="0" collapsed="false">
      <c r="B17" s="5" t="s">
        <v>24</v>
      </c>
      <c r="C17" s="4" t="s">
        <v>25</v>
      </c>
    </row>
    <row r="18" customFormat="false" ht="18" hidden="false" customHeight="true" outlineLevel="0" collapsed="false">
      <c r="B18" s="6" t="s">
        <v>26</v>
      </c>
      <c r="C18" s="4" t="s">
        <v>27</v>
      </c>
    </row>
    <row r="19" customFormat="false" ht="15" hidden="false" customHeight="false" outlineLevel="0" collapsed="false">
      <c r="B19" s="2" t="s">
        <v>28</v>
      </c>
      <c r="C19" s="2"/>
    </row>
    <row r="20" customFormat="false" ht="30" hidden="false" customHeight="true" outlineLevel="0" collapsed="false">
      <c r="B20" s="3" t="s">
        <v>29</v>
      </c>
      <c r="C20" s="4" t="s">
        <v>30</v>
      </c>
    </row>
    <row r="21" customFormat="false" ht="18" hidden="false" customHeight="true" outlineLevel="0" collapsed="false">
      <c r="B21" s="3" t="s">
        <v>31</v>
      </c>
      <c r="C21" s="4" t="s">
        <v>32</v>
      </c>
    </row>
  </sheetData>
  <mergeCells count="5">
    <mergeCell ref="B2:C2"/>
    <mergeCell ref="B4:C4"/>
    <mergeCell ref="B10:C10"/>
    <mergeCell ref="B16:C16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6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true" outlineLevel="0" max="17" min="15" style="0" width="8"/>
  </cols>
  <sheetData>
    <row r="1" customFormat="false" ht="30" hidden="false" customHeight="true" outlineLevel="0" collapsed="false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</row>
    <row r="2" customFormat="false" ht="15" hidden="false" customHeight="false" outlineLevel="0" collapsed="false">
      <c r="A2" s="9" t="n">
        <v>240624</v>
      </c>
      <c r="B2" s="10" t="n">
        <v>46036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2" t="s">
        <v>55</v>
      </c>
      <c r="I2" s="10"/>
      <c r="J2" s="12"/>
      <c r="K2" s="13" t="n">
        <f aca="false">IF(ISNUMBER(B2),YEAR(B2),"")</f>
        <v>2026</v>
      </c>
      <c r="L2" s="13" t="n">
        <f aca="false">IF(ISNUMBER(B2),MONTH(B2),"")</f>
        <v>1</v>
      </c>
      <c r="M2" s="13" t="str">
        <f aca="false">IF(AND(ISNUMBER(B2),ISNUMBER(I2)),B2-I2+1,"")</f>
        <v/>
      </c>
      <c r="N2" s="14" t="str">
        <f aca="false">IF(B2="","",IF(M2="","시작일 미입력",IF(M2&lt;1,"시작일 이전(확인)",IF(M2=1,"1일째",IF(M2=2,"2일째",IF(M2=3,"3일째",IF(M2&lt;=7,"일주일 이내",IF(M2&lt;=14,"이주일 이내","15일 이후"))))))))</f>
        <v>시작일 미입력</v>
      </c>
      <c r="O2" s="15" t="n">
        <f aca="false">IF(AND(COUNTA($A2:$J2)&gt;0,OR(클레임조회!$C$4="",AND(ISNUMBER($B2),$B2&gt;=클레임조회!$C$4)),OR(클레임조회!$C$5="",AND(ISNUMBER($B2),$B2&lt;=클레임조회!$C$5)),OR(클레임조회!$C$6="",$C2=클레임조회!$C$6),OR(클레임조회!$C$7="",$D2=클레임조회!$C$7),OR(클레임조회!$C$8="",$E2=클레임조회!$C$8),OR(클레임조회!$C$9="",$F2=클레임조회!$C$9),OR(클레임조회!$C$10="",ISNUMBER(SEARCH(클레임조회!$C$10,$C2&amp;" "&amp;$F2&amp;" "&amp;$G2&amp;" "&amp;$H2)))),COUNT(O$1:O1)+1,"")</f>
        <v>1</v>
      </c>
      <c r="P2" s="15" t="n">
        <f aca="false">IF(AND(TRIM(C2)&lt;&gt;"",COUNTIF(C$2:C2,C2)=1),MAX(P$1:P1)+1,"")</f>
        <v>1</v>
      </c>
      <c r="Q2" s="15" t="n">
        <f aca="false">IF(AND(TRIM(F2)&lt;&gt;"",COUNTIF(F$2:F2,F2)=1),MAX(Q$1:Q1)+1,"")</f>
        <v>1</v>
      </c>
    </row>
    <row r="3" customFormat="false" ht="15" hidden="false" customHeight="false" outlineLevel="0" collapsed="false">
      <c r="A3" s="9" t="n">
        <v>102004</v>
      </c>
      <c r="B3" s="10" t="n">
        <v>46037</v>
      </c>
      <c r="C3" s="11"/>
      <c r="D3" s="11" t="s">
        <v>56</v>
      </c>
      <c r="E3" s="11" t="s">
        <v>57</v>
      </c>
      <c r="F3" s="11" t="s">
        <v>58</v>
      </c>
      <c r="G3" s="12"/>
      <c r="H3" s="12" t="s">
        <v>59</v>
      </c>
      <c r="I3" s="10"/>
      <c r="J3" s="12"/>
      <c r="K3" s="13" t="n">
        <f aca="false">IF(ISNUMBER(B3),YEAR(B3),"")</f>
        <v>2026</v>
      </c>
      <c r="L3" s="13" t="n">
        <f aca="false">IF(ISNUMBER(B3),MONTH(B3),"")</f>
        <v>1</v>
      </c>
      <c r="M3" s="13" t="str">
        <f aca="false">IF(AND(ISNUMBER(B3),ISNUMBER(I3)),B3-I3+1,"")</f>
        <v/>
      </c>
      <c r="N3" s="14" t="str">
        <f aca="false">IF(B3="","",IF(M3="","시작일 미입력",IF(M3&lt;1,"시작일 이전(확인)",IF(M3=1,"1일째",IF(M3=2,"2일째",IF(M3=3,"3일째",IF(M3&lt;=7,"일주일 이내",IF(M3&lt;=14,"이주일 이내","15일 이후"))))))))</f>
        <v>시작일 미입력</v>
      </c>
      <c r="O3" s="15" t="n">
        <f aca="false">IF(AND(COUNTA($A3:$J3)&gt;0,OR(클레임조회!$C$4="",AND(ISNUMBER($B3),$B3&gt;=클레임조회!$C$4)),OR(클레임조회!$C$5="",AND(ISNUMBER($B3),$B3&lt;=클레임조회!$C$5)),OR(클레임조회!$C$6="",$C3=클레임조회!$C$6),OR(클레임조회!$C$7="",$D3=클레임조회!$C$7),OR(클레임조회!$C$8="",$E3=클레임조회!$C$8),OR(클레임조회!$C$9="",$F3=클레임조회!$C$9),OR(클레임조회!$C$10="",ISNUMBER(SEARCH(클레임조회!$C$10,$C3&amp;" "&amp;$F3&amp;" "&amp;$G3&amp;" "&amp;$H3)))),COUNT(O$1:O2)+1,"")</f>
        <v>2</v>
      </c>
      <c r="P3" s="0" t="str">
        <f aca="false">IF(AND(TRIM(C3)&lt;&gt;"",COUNTIF(C$2:C3,C3)=1),MAX(P$1:P2)+1,"")</f>
        <v/>
      </c>
      <c r="Q3" s="15" t="n">
        <f aca="false">IF(AND(TRIM(F3)&lt;&gt;"",COUNTIF(F$2:F3,F3)=1),MAX(Q$1:Q2)+1,"")</f>
        <v>2</v>
      </c>
    </row>
    <row r="4" customFormat="false" ht="15" hidden="false" customHeight="false" outlineLevel="0" collapsed="false">
      <c r="A4" s="9"/>
      <c r="B4" s="10"/>
      <c r="C4" s="11"/>
      <c r="D4" s="11"/>
      <c r="E4" s="11"/>
      <c r="F4" s="11"/>
      <c r="G4" s="12"/>
      <c r="H4" s="12"/>
      <c r="I4" s="10"/>
      <c r="J4" s="12"/>
      <c r="K4" s="13" t="str">
        <f aca="false">IF(ISNUMBER(B4),YEAR(B4),"")</f>
        <v/>
      </c>
      <c r="L4" s="13" t="str">
        <f aca="false">IF(ISNUMBER(B4),MONTH(B4),"")</f>
        <v/>
      </c>
      <c r="M4" s="13" t="str">
        <f aca="false">IF(AND(ISNUMBER(B4),ISNUMBER(I4)),B4-I4+1,"")</f>
        <v/>
      </c>
      <c r="N4" s="14" t="str">
        <f aca="false">IF(B4="","",IF(M4="","시작일 미입력",IF(M4&lt;1,"시작일 이전(확인)",IF(M4=1,"1일째",IF(M4=2,"2일째",IF(M4=3,"3일째",IF(M4&lt;=7,"일주일 이내",IF(M4&lt;=14,"이주일 이내","15일 이후"))))))))</f>
        <v/>
      </c>
      <c r="O4" s="0" t="str">
        <f aca="false">IF(AND(COUNTA($A4:$J4)&gt;0,OR(클레임조회!$C$4="",AND(ISNUMBER($B4),$B4&gt;=클레임조회!$C$4)),OR(클레임조회!$C$5="",AND(ISNUMBER($B4),$B4&lt;=클레임조회!$C$5)),OR(클레임조회!$C$6="",$C4=클레임조회!$C$6),OR(클레임조회!$C$7="",$D4=클레임조회!$C$7),OR(클레임조회!$C$8="",$E4=클레임조회!$C$8),OR(클레임조회!$C$9="",$F4=클레임조회!$C$9),OR(클레임조회!$C$10="",ISNUMBER(SEARCH(클레임조회!$C$10,$C4&amp;" "&amp;$F4&amp;" "&amp;$G4&amp;" "&amp;$H4)))),COUNT(O$1:O3)+1,"")</f>
        <v/>
      </c>
      <c r="P4" s="0" t="str">
        <f aca="false">IF(AND(TRIM(C4)&lt;&gt;"",COUNTIF(C$2:C4,C4)=1),MAX(P$1:P3)+1,"")</f>
        <v/>
      </c>
      <c r="Q4" s="0" t="str">
        <f aca="false">IF(AND(TRIM(F4)&lt;&gt;"",COUNTIF(F$2:F4,F4)=1),MAX(Q$1:Q3)+1,"")</f>
        <v/>
      </c>
    </row>
    <row r="5" customFormat="false" ht="15" hidden="false" customHeight="false" outlineLevel="0" collapsed="false">
      <c r="A5" s="9"/>
      <c r="B5" s="10"/>
      <c r="C5" s="11"/>
      <c r="D5" s="11"/>
      <c r="E5" s="11"/>
      <c r="F5" s="11"/>
      <c r="G5" s="12"/>
      <c r="H5" s="12"/>
      <c r="I5" s="10"/>
      <c r="J5" s="12"/>
      <c r="K5" s="13" t="str">
        <f aca="false">IF(ISNUMBER(B5),YEAR(B5),"")</f>
        <v/>
      </c>
      <c r="L5" s="13" t="str">
        <f aca="false">IF(ISNUMBER(B5),MONTH(B5),"")</f>
        <v/>
      </c>
      <c r="M5" s="13" t="str">
        <f aca="false">IF(AND(ISNUMBER(B5),ISNUMBER(I5)),B5-I5+1,"")</f>
        <v/>
      </c>
      <c r="N5" s="14" t="str">
        <f aca="false">IF(B5="","",IF(M5="","시작일 미입력",IF(M5&lt;1,"시작일 이전(확인)",IF(M5=1,"1일째",IF(M5=2,"2일째",IF(M5=3,"3일째",IF(M5&lt;=7,"일주일 이내",IF(M5&lt;=14,"이주일 이내","15일 이후"))))))))</f>
        <v/>
      </c>
      <c r="O5" s="0" t="str">
        <f aca="false">IF(AND(COUNTA($A5:$J5)&gt;0,OR(클레임조회!$C$4="",AND(ISNUMBER($B5),$B5&gt;=클레임조회!$C$4)),OR(클레임조회!$C$5="",AND(ISNUMBER($B5),$B5&lt;=클레임조회!$C$5)),OR(클레임조회!$C$6="",$C5=클레임조회!$C$6),OR(클레임조회!$C$7="",$D5=클레임조회!$C$7),OR(클레임조회!$C$8="",$E5=클레임조회!$C$8),OR(클레임조회!$C$9="",$F5=클레임조회!$C$9),OR(클레임조회!$C$10="",ISNUMBER(SEARCH(클레임조회!$C$10,$C5&amp;" "&amp;$F5&amp;" "&amp;$G5&amp;" "&amp;$H5)))),COUNT(O$1:O4)+1,"")</f>
        <v/>
      </c>
      <c r="P5" s="0" t="str">
        <f aca="false">IF(AND(TRIM(C5)&lt;&gt;"",COUNTIF(C$2:C5,C5)=1),MAX(P$1:P4)+1,"")</f>
        <v/>
      </c>
      <c r="Q5" s="0" t="str">
        <f aca="false">IF(AND(TRIM(F5)&lt;&gt;"",COUNTIF(F$2:F5,F5)=1),MAX(Q$1:Q4)+1,"")</f>
        <v/>
      </c>
    </row>
    <row r="6" customFormat="false" ht="15" hidden="false" customHeight="false" outlineLevel="0" collapsed="false">
      <c r="A6" s="9"/>
      <c r="B6" s="10"/>
      <c r="C6" s="11"/>
      <c r="D6" s="11"/>
      <c r="E6" s="11"/>
      <c r="F6" s="11"/>
      <c r="G6" s="12"/>
      <c r="H6" s="12"/>
      <c r="I6" s="10"/>
      <c r="J6" s="12"/>
      <c r="K6" s="13" t="str">
        <f aca="false">IF(ISNUMBER(B6),YEAR(B6),"")</f>
        <v/>
      </c>
      <c r="L6" s="13" t="str">
        <f aca="false">IF(ISNUMBER(B6),MONTH(B6),"")</f>
        <v/>
      </c>
      <c r="M6" s="13" t="str">
        <f aca="false">IF(AND(ISNUMBER(B6),ISNUMBER(I6)),B6-I6+1,"")</f>
        <v/>
      </c>
      <c r="N6" s="14" t="str">
        <f aca="false">IF(B6="","",IF(M6="","시작일 미입력",IF(M6&lt;1,"시작일 이전(확인)",IF(M6=1,"1일째",IF(M6=2,"2일째",IF(M6=3,"3일째",IF(M6&lt;=7,"일주일 이내",IF(M6&lt;=14,"이주일 이내","15일 이후"))))))))</f>
        <v/>
      </c>
      <c r="O6" s="0" t="str">
        <f aca="false">IF(AND(COUNTA($A6:$J6)&gt;0,OR(클레임조회!$C$4="",AND(ISNUMBER($B6),$B6&gt;=클레임조회!$C$4)),OR(클레임조회!$C$5="",AND(ISNUMBER($B6),$B6&lt;=클레임조회!$C$5)),OR(클레임조회!$C$6="",$C6=클레임조회!$C$6),OR(클레임조회!$C$7="",$D6=클레임조회!$C$7),OR(클레임조회!$C$8="",$E6=클레임조회!$C$8),OR(클레임조회!$C$9="",$F6=클레임조회!$C$9),OR(클레임조회!$C$10="",ISNUMBER(SEARCH(클레임조회!$C$10,$C6&amp;" "&amp;$F6&amp;" "&amp;$G6&amp;" "&amp;$H6)))),COUNT(O$1:O5)+1,"")</f>
        <v/>
      </c>
      <c r="P6" s="0" t="str">
        <f aca="false">IF(AND(TRIM(C6)&lt;&gt;"",COUNTIF(C$2:C6,C6)=1),MAX(P$1:P5)+1,"")</f>
        <v/>
      </c>
      <c r="Q6" s="0" t="str">
        <f aca="false">IF(AND(TRIM(F6)&lt;&gt;"",COUNTIF(F$2:F6,F6)=1),MAX(Q$1:Q5)+1,"")</f>
        <v/>
      </c>
    </row>
    <row r="7" customFormat="false" ht="15" hidden="false" customHeight="false" outlineLevel="0" collapsed="false">
      <c r="A7" s="9"/>
      <c r="B7" s="10"/>
      <c r="C7" s="11"/>
      <c r="D7" s="11"/>
      <c r="E7" s="11"/>
      <c r="F7" s="11"/>
      <c r="G7" s="12"/>
      <c r="H7" s="12"/>
      <c r="I7" s="10"/>
      <c r="J7" s="12"/>
      <c r="K7" s="13" t="str">
        <f aca="false">IF(ISNUMBER(B7),YEAR(B7),"")</f>
        <v/>
      </c>
      <c r="L7" s="13" t="str">
        <f aca="false">IF(ISNUMBER(B7),MONTH(B7),"")</f>
        <v/>
      </c>
      <c r="M7" s="13" t="str">
        <f aca="false">IF(AND(ISNUMBER(B7),ISNUMBER(I7)),B7-I7+1,"")</f>
        <v/>
      </c>
      <c r="N7" s="14" t="str">
        <f aca="false">IF(B7="","",IF(M7="","시작일 미입력",IF(M7&lt;1,"시작일 이전(확인)",IF(M7=1,"1일째",IF(M7=2,"2일째",IF(M7=3,"3일째",IF(M7&lt;=7,"일주일 이내",IF(M7&lt;=14,"이주일 이내","15일 이후"))))))))</f>
        <v/>
      </c>
      <c r="O7" s="0" t="str">
        <f aca="false">IF(AND(COUNTA($A7:$J7)&gt;0,OR(클레임조회!$C$4="",AND(ISNUMBER($B7),$B7&gt;=클레임조회!$C$4)),OR(클레임조회!$C$5="",AND(ISNUMBER($B7),$B7&lt;=클레임조회!$C$5)),OR(클레임조회!$C$6="",$C7=클레임조회!$C$6),OR(클레임조회!$C$7="",$D7=클레임조회!$C$7),OR(클레임조회!$C$8="",$E7=클레임조회!$C$8),OR(클레임조회!$C$9="",$F7=클레임조회!$C$9),OR(클레임조회!$C$10="",ISNUMBER(SEARCH(클레임조회!$C$10,$C7&amp;" "&amp;$F7&amp;" "&amp;$G7&amp;" "&amp;$H7)))),COUNT(O$1:O6)+1,"")</f>
        <v/>
      </c>
      <c r="P7" s="0" t="str">
        <f aca="false">IF(AND(TRIM(C7)&lt;&gt;"",COUNTIF(C$2:C7,C7)=1),MAX(P$1:P6)+1,"")</f>
        <v/>
      </c>
      <c r="Q7" s="0" t="str">
        <f aca="false">IF(AND(TRIM(F7)&lt;&gt;"",COUNTIF(F$2:F7,F7)=1),MAX(Q$1:Q6)+1,"")</f>
        <v/>
      </c>
    </row>
    <row r="8" customFormat="false" ht="15" hidden="false" customHeight="false" outlineLevel="0" collapsed="false">
      <c r="A8" s="9"/>
      <c r="B8" s="10"/>
      <c r="C8" s="11"/>
      <c r="D8" s="11"/>
      <c r="E8" s="11"/>
      <c r="F8" s="11"/>
      <c r="G8" s="12"/>
      <c r="H8" s="12"/>
      <c r="I8" s="10"/>
      <c r="J8" s="12"/>
      <c r="K8" s="13" t="str">
        <f aca="false">IF(ISNUMBER(B8),YEAR(B8),"")</f>
        <v/>
      </c>
      <c r="L8" s="13" t="str">
        <f aca="false">IF(ISNUMBER(B8),MONTH(B8),"")</f>
        <v/>
      </c>
      <c r="M8" s="13" t="str">
        <f aca="false">IF(AND(ISNUMBER(B8),ISNUMBER(I8)),B8-I8+1,"")</f>
        <v/>
      </c>
      <c r="N8" s="14" t="str">
        <f aca="false">IF(B8="","",IF(M8="","시작일 미입력",IF(M8&lt;1,"시작일 이전(확인)",IF(M8=1,"1일째",IF(M8=2,"2일째",IF(M8=3,"3일째",IF(M8&lt;=7,"일주일 이내",IF(M8&lt;=14,"이주일 이내","15일 이후"))))))))</f>
        <v/>
      </c>
      <c r="O8" s="0" t="str">
        <f aca="false">IF(AND(COUNTA($A8:$J8)&gt;0,OR(클레임조회!$C$4="",AND(ISNUMBER($B8),$B8&gt;=클레임조회!$C$4)),OR(클레임조회!$C$5="",AND(ISNUMBER($B8),$B8&lt;=클레임조회!$C$5)),OR(클레임조회!$C$6="",$C8=클레임조회!$C$6),OR(클레임조회!$C$7="",$D8=클레임조회!$C$7),OR(클레임조회!$C$8="",$E8=클레임조회!$C$8),OR(클레임조회!$C$9="",$F8=클레임조회!$C$9),OR(클레임조회!$C$10="",ISNUMBER(SEARCH(클레임조회!$C$10,$C8&amp;" "&amp;$F8&amp;" "&amp;$G8&amp;" "&amp;$H8)))),COUNT(O$1:O7)+1,"")</f>
        <v/>
      </c>
      <c r="P8" s="0" t="str">
        <f aca="false">IF(AND(TRIM(C8)&lt;&gt;"",COUNTIF(C$2:C8,C8)=1),MAX(P$1:P7)+1,"")</f>
        <v/>
      </c>
      <c r="Q8" s="0" t="str">
        <f aca="false">IF(AND(TRIM(F8)&lt;&gt;"",COUNTIF(F$2:F8,F8)=1),MAX(Q$1:Q7)+1,"")</f>
        <v/>
      </c>
    </row>
    <row r="9" customFormat="false" ht="15" hidden="false" customHeight="false" outlineLevel="0" collapsed="false">
      <c r="A9" s="9"/>
      <c r="B9" s="10"/>
      <c r="C9" s="11"/>
      <c r="D9" s="11"/>
      <c r="E9" s="11"/>
      <c r="F9" s="11"/>
      <c r="G9" s="12"/>
      <c r="H9" s="12"/>
      <c r="I9" s="10"/>
      <c r="J9" s="12"/>
      <c r="K9" s="13" t="str">
        <f aca="false">IF(ISNUMBER(B9),YEAR(B9),"")</f>
        <v/>
      </c>
      <c r="L9" s="13" t="str">
        <f aca="false">IF(ISNUMBER(B9),MONTH(B9),"")</f>
        <v/>
      </c>
      <c r="M9" s="13" t="str">
        <f aca="false">IF(AND(ISNUMBER(B9),ISNUMBER(I9)),B9-I9+1,"")</f>
        <v/>
      </c>
      <c r="N9" s="14" t="str">
        <f aca="false">IF(B9="","",IF(M9="","시작일 미입력",IF(M9&lt;1,"시작일 이전(확인)",IF(M9=1,"1일째",IF(M9=2,"2일째",IF(M9=3,"3일째",IF(M9&lt;=7,"일주일 이내",IF(M9&lt;=14,"이주일 이내","15일 이후"))))))))</f>
        <v/>
      </c>
      <c r="O9" s="0" t="str">
        <f aca="false">IF(AND(COUNTA($A9:$J9)&gt;0,OR(클레임조회!$C$4="",AND(ISNUMBER($B9),$B9&gt;=클레임조회!$C$4)),OR(클레임조회!$C$5="",AND(ISNUMBER($B9),$B9&lt;=클레임조회!$C$5)),OR(클레임조회!$C$6="",$C9=클레임조회!$C$6),OR(클레임조회!$C$7="",$D9=클레임조회!$C$7),OR(클레임조회!$C$8="",$E9=클레임조회!$C$8),OR(클레임조회!$C$9="",$F9=클레임조회!$C$9),OR(클레임조회!$C$10="",ISNUMBER(SEARCH(클레임조회!$C$10,$C9&amp;" "&amp;$F9&amp;" "&amp;$G9&amp;" "&amp;$H9)))),COUNT(O$1:O8)+1,"")</f>
        <v/>
      </c>
      <c r="P9" s="0" t="str">
        <f aca="false">IF(AND(TRIM(C9)&lt;&gt;"",COUNTIF(C$2:C9,C9)=1),MAX(P$1:P8)+1,"")</f>
        <v/>
      </c>
      <c r="Q9" s="0" t="str">
        <f aca="false">IF(AND(TRIM(F9)&lt;&gt;"",COUNTIF(F$2:F9,F9)=1),MAX(Q$1:Q8)+1,"")</f>
        <v/>
      </c>
    </row>
    <row r="10" customFormat="false" ht="15" hidden="false" customHeight="false" outlineLevel="0" collapsed="false">
      <c r="A10" s="9"/>
      <c r="B10" s="10"/>
      <c r="C10" s="11"/>
      <c r="D10" s="11"/>
      <c r="E10" s="11"/>
      <c r="F10" s="11"/>
      <c r="G10" s="12"/>
      <c r="H10" s="12"/>
      <c r="I10" s="10"/>
      <c r="J10" s="12"/>
      <c r="K10" s="13" t="str">
        <f aca="false">IF(ISNUMBER(B10),YEAR(B10),"")</f>
        <v/>
      </c>
      <c r="L10" s="13" t="str">
        <f aca="false">IF(ISNUMBER(B10),MONTH(B10),"")</f>
        <v/>
      </c>
      <c r="M10" s="13" t="str">
        <f aca="false">IF(AND(ISNUMBER(B10),ISNUMBER(I10)),B10-I10+1,"")</f>
        <v/>
      </c>
      <c r="N10" s="14" t="str">
        <f aca="false">IF(B10="","",IF(M10="","시작일 미입력",IF(M10&lt;1,"시작일 이전(확인)",IF(M10=1,"1일째",IF(M10=2,"2일째",IF(M10=3,"3일째",IF(M10&lt;=7,"일주일 이내",IF(M10&lt;=14,"이주일 이내","15일 이후"))))))))</f>
        <v/>
      </c>
      <c r="O10" s="0" t="str">
        <f aca="false">IF(AND(COUNTA($A10:$J10)&gt;0,OR(클레임조회!$C$4="",AND(ISNUMBER($B10),$B10&gt;=클레임조회!$C$4)),OR(클레임조회!$C$5="",AND(ISNUMBER($B10),$B10&lt;=클레임조회!$C$5)),OR(클레임조회!$C$6="",$C10=클레임조회!$C$6),OR(클레임조회!$C$7="",$D10=클레임조회!$C$7),OR(클레임조회!$C$8="",$E10=클레임조회!$C$8),OR(클레임조회!$C$9="",$F10=클레임조회!$C$9),OR(클레임조회!$C$10="",ISNUMBER(SEARCH(클레임조회!$C$10,$C10&amp;" "&amp;$F10&amp;" "&amp;$G10&amp;" "&amp;$H10)))),COUNT(O$1:O9)+1,"")</f>
        <v/>
      </c>
      <c r="P10" s="0" t="str">
        <f aca="false">IF(AND(TRIM(C10)&lt;&gt;"",COUNTIF(C$2:C10,C10)=1),MAX(P$1:P9)+1,"")</f>
        <v/>
      </c>
      <c r="Q10" s="0" t="str">
        <f aca="false">IF(AND(TRIM(F10)&lt;&gt;"",COUNTIF(F$2:F10,F10)=1),MAX(Q$1:Q9)+1,"")</f>
        <v/>
      </c>
    </row>
    <row r="11" customFormat="false" ht="15" hidden="false" customHeight="false" outlineLevel="0" collapsed="false">
      <c r="A11" s="9"/>
      <c r="B11" s="10"/>
      <c r="C11" s="11"/>
      <c r="D11" s="11"/>
      <c r="E11" s="11"/>
      <c r="F11" s="11"/>
      <c r="G11" s="12"/>
      <c r="H11" s="12"/>
      <c r="I11" s="10"/>
      <c r="J11" s="12"/>
      <c r="K11" s="13" t="str">
        <f aca="false">IF(ISNUMBER(B11),YEAR(B11),"")</f>
        <v/>
      </c>
      <c r="L11" s="13" t="str">
        <f aca="false">IF(ISNUMBER(B11),MONTH(B11),"")</f>
        <v/>
      </c>
      <c r="M11" s="13" t="str">
        <f aca="false">IF(AND(ISNUMBER(B11),ISNUMBER(I11)),B11-I11+1,"")</f>
        <v/>
      </c>
      <c r="N11" s="14" t="str">
        <f aca="false">IF(B11="","",IF(M11="","시작일 미입력",IF(M11&lt;1,"시작일 이전(확인)",IF(M11=1,"1일째",IF(M11=2,"2일째",IF(M11=3,"3일째",IF(M11&lt;=7,"일주일 이내",IF(M11&lt;=14,"이주일 이내","15일 이후"))))))))</f>
        <v/>
      </c>
      <c r="O11" s="0" t="str">
        <f aca="false">IF(AND(COUNTA($A11:$J11)&gt;0,OR(클레임조회!$C$4="",AND(ISNUMBER($B11),$B11&gt;=클레임조회!$C$4)),OR(클레임조회!$C$5="",AND(ISNUMBER($B11),$B11&lt;=클레임조회!$C$5)),OR(클레임조회!$C$6="",$C11=클레임조회!$C$6),OR(클레임조회!$C$7="",$D11=클레임조회!$C$7),OR(클레임조회!$C$8="",$E11=클레임조회!$C$8),OR(클레임조회!$C$9="",$F11=클레임조회!$C$9),OR(클레임조회!$C$10="",ISNUMBER(SEARCH(클레임조회!$C$10,$C11&amp;" "&amp;$F11&amp;" "&amp;$G11&amp;" "&amp;$H11)))),COUNT(O$1:O10)+1,"")</f>
        <v/>
      </c>
      <c r="P11" s="0" t="str">
        <f aca="false">IF(AND(TRIM(C11)&lt;&gt;"",COUNTIF(C$2:C11,C11)=1),MAX(P$1:P10)+1,"")</f>
        <v/>
      </c>
      <c r="Q11" s="0" t="str">
        <f aca="false">IF(AND(TRIM(F11)&lt;&gt;"",COUNTIF(F$2:F11,F11)=1),MAX(Q$1:Q10)+1,"")</f>
        <v/>
      </c>
    </row>
    <row r="12" customFormat="false" ht="15" hidden="false" customHeight="false" outlineLevel="0" collapsed="false">
      <c r="A12" s="9"/>
      <c r="B12" s="10"/>
      <c r="C12" s="11"/>
      <c r="D12" s="11"/>
      <c r="E12" s="11"/>
      <c r="F12" s="11"/>
      <c r="G12" s="12"/>
      <c r="H12" s="12"/>
      <c r="I12" s="10"/>
      <c r="J12" s="12"/>
      <c r="K12" s="13" t="str">
        <f aca="false">IF(ISNUMBER(B12),YEAR(B12),"")</f>
        <v/>
      </c>
      <c r="L12" s="13" t="str">
        <f aca="false">IF(ISNUMBER(B12),MONTH(B12),"")</f>
        <v/>
      </c>
      <c r="M12" s="13" t="str">
        <f aca="false">IF(AND(ISNUMBER(B12),ISNUMBER(I12)),B12-I12+1,"")</f>
        <v/>
      </c>
      <c r="N12" s="14" t="str">
        <f aca="false">IF(B12="","",IF(M12="","시작일 미입력",IF(M12&lt;1,"시작일 이전(확인)",IF(M12=1,"1일째",IF(M12=2,"2일째",IF(M12=3,"3일째",IF(M12&lt;=7,"일주일 이내",IF(M12&lt;=14,"이주일 이내","15일 이후"))))))))</f>
        <v/>
      </c>
      <c r="O12" s="0" t="str">
        <f aca="false">IF(AND(COUNTA($A12:$J12)&gt;0,OR(클레임조회!$C$4="",AND(ISNUMBER($B12),$B12&gt;=클레임조회!$C$4)),OR(클레임조회!$C$5="",AND(ISNUMBER($B12),$B12&lt;=클레임조회!$C$5)),OR(클레임조회!$C$6="",$C12=클레임조회!$C$6),OR(클레임조회!$C$7="",$D12=클레임조회!$C$7),OR(클레임조회!$C$8="",$E12=클레임조회!$C$8),OR(클레임조회!$C$9="",$F12=클레임조회!$C$9),OR(클레임조회!$C$10="",ISNUMBER(SEARCH(클레임조회!$C$10,$C12&amp;" "&amp;$F12&amp;" "&amp;$G12&amp;" "&amp;$H12)))),COUNT(O$1:O11)+1,"")</f>
        <v/>
      </c>
      <c r="P12" s="0" t="str">
        <f aca="false">IF(AND(TRIM(C12)&lt;&gt;"",COUNTIF(C$2:C12,C12)=1),MAX(P$1:P11)+1,"")</f>
        <v/>
      </c>
      <c r="Q12" s="0" t="str">
        <f aca="false">IF(AND(TRIM(F12)&lt;&gt;"",COUNTIF(F$2:F12,F12)=1),MAX(Q$1:Q11)+1,"")</f>
        <v/>
      </c>
    </row>
    <row r="13" customFormat="false" ht="15" hidden="false" customHeight="false" outlineLevel="0" collapsed="false">
      <c r="A13" s="9"/>
      <c r="B13" s="10"/>
      <c r="C13" s="11"/>
      <c r="D13" s="11"/>
      <c r="E13" s="11"/>
      <c r="F13" s="11"/>
      <c r="G13" s="12"/>
      <c r="H13" s="12"/>
      <c r="I13" s="10"/>
      <c r="J13" s="12"/>
      <c r="K13" s="13" t="str">
        <f aca="false">IF(ISNUMBER(B13),YEAR(B13),"")</f>
        <v/>
      </c>
      <c r="L13" s="13" t="str">
        <f aca="false">IF(ISNUMBER(B13),MONTH(B13),"")</f>
        <v/>
      </c>
      <c r="M13" s="13" t="str">
        <f aca="false">IF(AND(ISNUMBER(B13),ISNUMBER(I13)),B13-I13+1,"")</f>
        <v/>
      </c>
      <c r="N13" s="14" t="str">
        <f aca="false">IF(B13="","",IF(M13="","시작일 미입력",IF(M13&lt;1,"시작일 이전(확인)",IF(M13=1,"1일째",IF(M13=2,"2일째",IF(M13=3,"3일째",IF(M13&lt;=7,"일주일 이내",IF(M13&lt;=14,"이주일 이내","15일 이후"))))))))</f>
        <v/>
      </c>
      <c r="O13" s="0" t="str">
        <f aca="false">IF(AND(COUNTA($A13:$J13)&gt;0,OR(클레임조회!$C$4="",AND(ISNUMBER($B13),$B13&gt;=클레임조회!$C$4)),OR(클레임조회!$C$5="",AND(ISNUMBER($B13),$B13&lt;=클레임조회!$C$5)),OR(클레임조회!$C$6="",$C13=클레임조회!$C$6),OR(클레임조회!$C$7="",$D13=클레임조회!$C$7),OR(클레임조회!$C$8="",$E13=클레임조회!$C$8),OR(클레임조회!$C$9="",$F13=클레임조회!$C$9),OR(클레임조회!$C$10="",ISNUMBER(SEARCH(클레임조회!$C$10,$C13&amp;" "&amp;$F13&amp;" "&amp;$G13&amp;" "&amp;$H13)))),COUNT(O$1:O12)+1,"")</f>
        <v/>
      </c>
      <c r="P13" s="0" t="str">
        <f aca="false">IF(AND(TRIM(C13)&lt;&gt;"",COUNTIF(C$2:C13,C13)=1),MAX(P$1:P12)+1,"")</f>
        <v/>
      </c>
      <c r="Q13" s="0" t="str">
        <f aca="false">IF(AND(TRIM(F13)&lt;&gt;"",COUNTIF(F$2:F13,F13)=1),MAX(Q$1:Q12)+1,"")</f>
        <v/>
      </c>
    </row>
    <row r="14" customFormat="false" ht="15" hidden="false" customHeight="false" outlineLevel="0" collapsed="false">
      <c r="A14" s="9"/>
      <c r="B14" s="10"/>
      <c r="C14" s="11"/>
      <c r="D14" s="11"/>
      <c r="E14" s="11"/>
      <c r="F14" s="11"/>
      <c r="G14" s="12"/>
      <c r="H14" s="12"/>
      <c r="I14" s="10"/>
      <c r="J14" s="12"/>
      <c r="K14" s="13" t="str">
        <f aca="false">IF(ISNUMBER(B14),YEAR(B14),"")</f>
        <v/>
      </c>
      <c r="L14" s="13" t="str">
        <f aca="false">IF(ISNUMBER(B14),MONTH(B14),"")</f>
        <v/>
      </c>
      <c r="M14" s="13" t="str">
        <f aca="false">IF(AND(ISNUMBER(B14),ISNUMBER(I14)),B14-I14+1,"")</f>
        <v/>
      </c>
      <c r="N14" s="14" t="str">
        <f aca="false">IF(B14="","",IF(M14="","시작일 미입력",IF(M14&lt;1,"시작일 이전(확인)",IF(M14=1,"1일째",IF(M14=2,"2일째",IF(M14=3,"3일째",IF(M14&lt;=7,"일주일 이내",IF(M14&lt;=14,"이주일 이내","15일 이후"))))))))</f>
        <v/>
      </c>
      <c r="O14" s="0" t="str">
        <f aca="false">IF(AND(COUNTA($A14:$J14)&gt;0,OR(클레임조회!$C$4="",AND(ISNUMBER($B14),$B14&gt;=클레임조회!$C$4)),OR(클레임조회!$C$5="",AND(ISNUMBER($B14),$B14&lt;=클레임조회!$C$5)),OR(클레임조회!$C$6="",$C14=클레임조회!$C$6),OR(클레임조회!$C$7="",$D14=클레임조회!$C$7),OR(클레임조회!$C$8="",$E14=클레임조회!$C$8),OR(클레임조회!$C$9="",$F14=클레임조회!$C$9),OR(클레임조회!$C$10="",ISNUMBER(SEARCH(클레임조회!$C$10,$C14&amp;" "&amp;$F14&amp;" "&amp;$G14&amp;" "&amp;$H14)))),COUNT(O$1:O13)+1,"")</f>
        <v/>
      </c>
      <c r="P14" s="0" t="str">
        <f aca="false">IF(AND(TRIM(C14)&lt;&gt;"",COUNTIF(C$2:C14,C14)=1),MAX(P$1:P13)+1,"")</f>
        <v/>
      </c>
      <c r="Q14" s="0" t="str">
        <f aca="false">IF(AND(TRIM(F14)&lt;&gt;"",COUNTIF(F$2:F14,F14)=1),MAX(Q$1:Q13)+1,"")</f>
        <v/>
      </c>
    </row>
    <row r="15" customFormat="false" ht="15" hidden="false" customHeight="false" outlineLevel="0" collapsed="false">
      <c r="A15" s="9"/>
      <c r="B15" s="10"/>
      <c r="C15" s="11"/>
      <c r="D15" s="11"/>
      <c r="E15" s="11"/>
      <c r="F15" s="11"/>
      <c r="G15" s="12"/>
      <c r="H15" s="12"/>
      <c r="I15" s="10"/>
      <c r="J15" s="12"/>
      <c r="K15" s="13" t="str">
        <f aca="false">IF(ISNUMBER(B15),YEAR(B15),"")</f>
        <v/>
      </c>
      <c r="L15" s="13" t="str">
        <f aca="false">IF(ISNUMBER(B15),MONTH(B15),"")</f>
        <v/>
      </c>
      <c r="M15" s="13" t="str">
        <f aca="false">IF(AND(ISNUMBER(B15),ISNUMBER(I15)),B15-I15+1,"")</f>
        <v/>
      </c>
      <c r="N15" s="14" t="str">
        <f aca="false">IF(B15="","",IF(M15="","시작일 미입력",IF(M15&lt;1,"시작일 이전(확인)",IF(M15=1,"1일째",IF(M15=2,"2일째",IF(M15=3,"3일째",IF(M15&lt;=7,"일주일 이내",IF(M15&lt;=14,"이주일 이내","15일 이후"))))))))</f>
        <v/>
      </c>
      <c r="O15" s="0" t="str">
        <f aca="false">IF(AND(COUNTA($A15:$J15)&gt;0,OR(클레임조회!$C$4="",AND(ISNUMBER($B15),$B15&gt;=클레임조회!$C$4)),OR(클레임조회!$C$5="",AND(ISNUMBER($B15),$B15&lt;=클레임조회!$C$5)),OR(클레임조회!$C$6="",$C15=클레임조회!$C$6),OR(클레임조회!$C$7="",$D15=클레임조회!$C$7),OR(클레임조회!$C$8="",$E15=클레임조회!$C$8),OR(클레임조회!$C$9="",$F15=클레임조회!$C$9),OR(클레임조회!$C$10="",ISNUMBER(SEARCH(클레임조회!$C$10,$C15&amp;" "&amp;$F15&amp;" "&amp;$G15&amp;" "&amp;$H15)))),COUNT(O$1:O14)+1,"")</f>
        <v/>
      </c>
      <c r="P15" s="0" t="str">
        <f aca="false">IF(AND(TRIM(C15)&lt;&gt;"",COUNTIF(C$2:C15,C15)=1),MAX(P$1:P14)+1,"")</f>
        <v/>
      </c>
      <c r="Q15" s="0" t="str">
        <f aca="false">IF(AND(TRIM(F15)&lt;&gt;"",COUNTIF(F$2:F15,F15)=1),MAX(Q$1:Q14)+1,"")</f>
        <v/>
      </c>
    </row>
    <row r="16" customFormat="false" ht="15" hidden="false" customHeight="false" outlineLevel="0" collapsed="false">
      <c r="A16" s="9"/>
      <c r="B16" s="10"/>
      <c r="C16" s="11"/>
      <c r="D16" s="11"/>
      <c r="E16" s="11"/>
      <c r="F16" s="11"/>
      <c r="G16" s="12"/>
      <c r="H16" s="12"/>
      <c r="I16" s="10"/>
      <c r="J16" s="12"/>
      <c r="K16" s="13" t="str">
        <f aca="false">IF(ISNUMBER(B16),YEAR(B16),"")</f>
        <v/>
      </c>
      <c r="L16" s="13" t="str">
        <f aca="false">IF(ISNUMBER(B16),MONTH(B16),"")</f>
        <v/>
      </c>
      <c r="M16" s="13" t="str">
        <f aca="false">IF(AND(ISNUMBER(B16),ISNUMBER(I16)),B16-I16+1,"")</f>
        <v/>
      </c>
      <c r="N16" s="14" t="str">
        <f aca="false">IF(B16="","",IF(M16="","시작일 미입력",IF(M16&lt;1,"시작일 이전(확인)",IF(M16=1,"1일째",IF(M16=2,"2일째",IF(M16=3,"3일째",IF(M16&lt;=7,"일주일 이내",IF(M16&lt;=14,"이주일 이내","15일 이후"))))))))</f>
        <v/>
      </c>
      <c r="O16" s="0" t="str">
        <f aca="false">IF(AND(COUNTA($A16:$J16)&gt;0,OR(클레임조회!$C$4="",AND(ISNUMBER($B16),$B16&gt;=클레임조회!$C$4)),OR(클레임조회!$C$5="",AND(ISNUMBER($B16),$B16&lt;=클레임조회!$C$5)),OR(클레임조회!$C$6="",$C16=클레임조회!$C$6),OR(클레임조회!$C$7="",$D16=클레임조회!$C$7),OR(클레임조회!$C$8="",$E16=클레임조회!$C$8),OR(클레임조회!$C$9="",$F16=클레임조회!$C$9),OR(클레임조회!$C$10="",ISNUMBER(SEARCH(클레임조회!$C$10,$C16&amp;" "&amp;$F16&amp;" "&amp;$G16&amp;" "&amp;$H16)))),COUNT(O$1:O15)+1,"")</f>
        <v/>
      </c>
      <c r="P16" s="0" t="str">
        <f aca="false">IF(AND(TRIM(C16)&lt;&gt;"",COUNTIF(C$2:C16,C16)=1),MAX(P$1:P15)+1,"")</f>
        <v/>
      </c>
      <c r="Q16" s="0" t="str">
        <f aca="false">IF(AND(TRIM(F16)&lt;&gt;"",COUNTIF(F$2:F16,F16)=1),MAX(Q$1:Q15)+1,"")</f>
        <v/>
      </c>
    </row>
    <row r="17" customFormat="false" ht="15" hidden="false" customHeight="false" outlineLevel="0" collapsed="false">
      <c r="A17" s="9"/>
      <c r="B17" s="10"/>
      <c r="C17" s="11"/>
      <c r="D17" s="11"/>
      <c r="E17" s="11"/>
      <c r="F17" s="11"/>
      <c r="G17" s="12"/>
      <c r="H17" s="12"/>
      <c r="I17" s="10"/>
      <c r="J17" s="12"/>
      <c r="K17" s="13" t="str">
        <f aca="false">IF(ISNUMBER(B17),YEAR(B17),"")</f>
        <v/>
      </c>
      <c r="L17" s="13" t="str">
        <f aca="false">IF(ISNUMBER(B17),MONTH(B17),"")</f>
        <v/>
      </c>
      <c r="M17" s="13" t="str">
        <f aca="false">IF(AND(ISNUMBER(B17),ISNUMBER(I17)),B17-I17+1,"")</f>
        <v/>
      </c>
      <c r="N17" s="14" t="str">
        <f aca="false">IF(B17="","",IF(M17="","시작일 미입력",IF(M17&lt;1,"시작일 이전(확인)",IF(M17=1,"1일째",IF(M17=2,"2일째",IF(M17=3,"3일째",IF(M17&lt;=7,"일주일 이내",IF(M17&lt;=14,"이주일 이내","15일 이후"))))))))</f>
        <v/>
      </c>
      <c r="O17" s="0" t="str">
        <f aca="false">IF(AND(COUNTA($A17:$J17)&gt;0,OR(클레임조회!$C$4="",AND(ISNUMBER($B17),$B17&gt;=클레임조회!$C$4)),OR(클레임조회!$C$5="",AND(ISNUMBER($B17),$B17&lt;=클레임조회!$C$5)),OR(클레임조회!$C$6="",$C17=클레임조회!$C$6),OR(클레임조회!$C$7="",$D17=클레임조회!$C$7),OR(클레임조회!$C$8="",$E17=클레임조회!$C$8),OR(클레임조회!$C$9="",$F17=클레임조회!$C$9),OR(클레임조회!$C$10="",ISNUMBER(SEARCH(클레임조회!$C$10,$C17&amp;" "&amp;$F17&amp;" "&amp;$G17&amp;" "&amp;$H17)))),COUNT(O$1:O16)+1,"")</f>
        <v/>
      </c>
      <c r="P17" s="0" t="str">
        <f aca="false">IF(AND(TRIM(C17)&lt;&gt;"",COUNTIF(C$2:C17,C17)=1),MAX(P$1:P16)+1,"")</f>
        <v/>
      </c>
      <c r="Q17" s="0" t="str">
        <f aca="false">IF(AND(TRIM(F17)&lt;&gt;"",COUNTIF(F$2:F17,F17)=1),MAX(Q$1:Q16)+1,"")</f>
        <v/>
      </c>
    </row>
    <row r="18" customFormat="false" ht="15" hidden="false" customHeight="false" outlineLevel="0" collapsed="false">
      <c r="A18" s="9"/>
      <c r="B18" s="10"/>
      <c r="C18" s="11"/>
      <c r="D18" s="11"/>
      <c r="E18" s="11"/>
      <c r="F18" s="11"/>
      <c r="G18" s="12"/>
      <c r="H18" s="12"/>
      <c r="I18" s="10"/>
      <c r="J18" s="12"/>
      <c r="K18" s="13" t="str">
        <f aca="false">IF(ISNUMBER(B18),YEAR(B18),"")</f>
        <v/>
      </c>
      <c r="L18" s="13" t="str">
        <f aca="false">IF(ISNUMBER(B18),MONTH(B18),"")</f>
        <v/>
      </c>
      <c r="M18" s="13" t="str">
        <f aca="false">IF(AND(ISNUMBER(B18),ISNUMBER(I18)),B18-I18+1,"")</f>
        <v/>
      </c>
      <c r="N18" s="14" t="str">
        <f aca="false">IF(B18="","",IF(M18="","시작일 미입력",IF(M18&lt;1,"시작일 이전(확인)",IF(M18=1,"1일째",IF(M18=2,"2일째",IF(M18=3,"3일째",IF(M18&lt;=7,"일주일 이내",IF(M18&lt;=14,"이주일 이내","15일 이후"))))))))</f>
        <v/>
      </c>
      <c r="O18" s="0" t="str">
        <f aca="false">IF(AND(COUNTA($A18:$J18)&gt;0,OR(클레임조회!$C$4="",AND(ISNUMBER($B18),$B18&gt;=클레임조회!$C$4)),OR(클레임조회!$C$5="",AND(ISNUMBER($B18),$B18&lt;=클레임조회!$C$5)),OR(클레임조회!$C$6="",$C18=클레임조회!$C$6),OR(클레임조회!$C$7="",$D18=클레임조회!$C$7),OR(클레임조회!$C$8="",$E18=클레임조회!$C$8),OR(클레임조회!$C$9="",$F18=클레임조회!$C$9),OR(클레임조회!$C$10="",ISNUMBER(SEARCH(클레임조회!$C$10,$C18&amp;" "&amp;$F18&amp;" "&amp;$G18&amp;" "&amp;$H18)))),COUNT(O$1:O17)+1,"")</f>
        <v/>
      </c>
      <c r="P18" s="0" t="str">
        <f aca="false">IF(AND(TRIM(C18)&lt;&gt;"",COUNTIF(C$2:C18,C18)=1),MAX(P$1:P17)+1,"")</f>
        <v/>
      </c>
      <c r="Q18" s="0" t="str">
        <f aca="false">IF(AND(TRIM(F18)&lt;&gt;"",COUNTIF(F$2:F18,F18)=1),MAX(Q$1:Q17)+1,"")</f>
        <v/>
      </c>
    </row>
    <row r="19" customFormat="false" ht="15" hidden="false" customHeight="false" outlineLevel="0" collapsed="false">
      <c r="A19" s="9"/>
      <c r="B19" s="10"/>
      <c r="C19" s="11"/>
      <c r="D19" s="11"/>
      <c r="E19" s="11"/>
      <c r="F19" s="11"/>
      <c r="G19" s="12"/>
      <c r="H19" s="12"/>
      <c r="I19" s="10"/>
      <c r="J19" s="12"/>
      <c r="K19" s="13" t="str">
        <f aca="false">IF(ISNUMBER(B19),YEAR(B19),"")</f>
        <v/>
      </c>
      <c r="L19" s="13" t="str">
        <f aca="false">IF(ISNUMBER(B19),MONTH(B19),"")</f>
        <v/>
      </c>
      <c r="M19" s="13" t="str">
        <f aca="false">IF(AND(ISNUMBER(B19),ISNUMBER(I19)),B19-I19+1,"")</f>
        <v/>
      </c>
      <c r="N19" s="14" t="str">
        <f aca="false">IF(B19="","",IF(M19="","시작일 미입력",IF(M19&lt;1,"시작일 이전(확인)",IF(M19=1,"1일째",IF(M19=2,"2일째",IF(M19=3,"3일째",IF(M19&lt;=7,"일주일 이내",IF(M19&lt;=14,"이주일 이내","15일 이후"))))))))</f>
        <v/>
      </c>
      <c r="O19" s="0" t="str">
        <f aca="false">IF(AND(COUNTA($A19:$J19)&gt;0,OR(클레임조회!$C$4="",AND(ISNUMBER($B19),$B19&gt;=클레임조회!$C$4)),OR(클레임조회!$C$5="",AND(ISNUMBER($B19),$B19&lt;=클레임조회!$C$5)),OR(클레임조회!$C$6="",$C19=클레임조회!$C$6),OR(클레임조회!$C$7="",$D19=클레임조회!$C$7),OR(클레임조회!$C$8="",$E19=클레임조회!$C$8),OR(클레임조회!$C$9="",$F19=클레임조회!$C$9),OR(클레임조회!$C$10="",ISNUMBER(SEARCH(클레임조회!$C$10,$C19&amp;" "&amp;$F19&amp;" "&amp;$G19&amp;" "&amp;$H19)))),COUNT(O$1:O18)+1,"")</f>
        <v/>
      </c>
      <c r="P19" s="0" t="str">
        <f aca="false">IF(AND(TRIM(C19)&lt;&gt;"",COUNTIF(C$2:C19,C19)=1),MAX(P$1:P18)+1,"")</f>
        <v/>
      </c>
      <c r="Q19" s="0" t="str">
        <f aca="false">IF(AND(TRIM(F19)&lt;&gt;"",COUNTIF(F$2:F19,F19)=1),MAX(Q$1:Q18)+1,"")</f>
        <v/>
      </c>
    </row>
    <row r="20" customFormat="false" ht="15" hidden="false" customHeight="false" outlineLevel="0" collapsed="false">
      <c r="A20" s="9"/>
      <c r="B20" s="10"/>
      <c r="C20" s="11"/>
      <c r="D20" s="11"/>
      <c r="E20" s="11"/>
      <c r="F20" s="11"/>
      <c r="G20" s="12"/>
      <c r="H20" s="12"/>
      <c r="I20" s="10"/>
      <c r="J20" s="12"/>
      <c r="K20" s="13" t="str">
        <f aca="false">IF(ISNUMBER(B20),YEAR(B20),"")</f>
        <v/>
      </c>
      <c r="L20" s="13" t="str">
        <f aca="false">IF(ISNUMBER(B20),MONTH(B20),"")</f>
        <v/>
      </c>
      <c r="M20" s="13" t="str">
        <f aca="false">IF(AND(ISNUMBER(B20),ISNUMBER(I20)),B20-I20+1,"")</f>
        <v/>
      </c>
      <c r="N20" s="14" t="str">
        <f aca="false">IF(B20="","",IF(M20="","시작일 미입력",IF(M20&lt;1,"시작일 이전(확인)",IF(M20=1,"1일째",IF(M20=2,"2일째",IF(M20=3,"3일째",IF(M20&lt;=7,"일주일 이내",IF(M20&lt;=14,"이주일 이내","15일 이후"))))))))</f>
        <v/>
      </c>
      <c r="O20" s="0" t="str">
        <f aca="false">IF(AND(COUNTA($A20:$J20)&gt;0,OR(클레임조회!$C$4="",AND(ISNUMBER($B20),$B20&gt;=클레임조회!$C$4)),OR(클레임조회!$C$5="",AND(ISNUMBER($B20),$B20&lt;=클레임조회!$C$5)),OR(클레임조회!$C$6="",$C20=클레임조회!$C$6),OR(클레임조회!$C$7="",$D20=클레임조회!$C$7),OR(클레임조회!$C$8="",$E20=클레임조회!$C$8),OR(클레임조회!$C$9="",$F20=클레임조회!$C$9),OR(클레임조회!$C$10="",ISNUMBER(SEARCH(클레임조회!$C$10,$C20&amp;" "&amp;$F20&amp;" "&amp;$G20&amp;" "&amp;$H20)))),COUNT(O$1:O19)+1,"")</f>
        <v/>
      </c>
      <c r="P20" s="0" t="str">
        <f aca="false">IF(AND(TRIM(C20)&lt;&gt;"",COUNTIF(C$2:C20,C20)=1),MAX(P$1:P19)+1,"")</f>
        <v/>
      </c>
      <c r="Q20" s="0" t="str">
        <f aca="false">IF(AND(TRIM(F20)&lt;&gt;"",COUNTIF(F$2:F20,F20)=1),MAX(Q$1:Q19)+1,"")</f>
        <v/>
      </c>
    </row>
    <row r="21" customFormat="false" ht="15" hidden="false" customHeight="false" outlineLevel="0" collapsed="false">
      <c r="A21" s="9"/>
      <c r="B21" s="10"/>
      <c r="C21" s="11"/>
      <c r="D21" s="11"/>
      <c r="E21" s="11"/>
      <c r="F21" s="11"/>
      <c r="G21" s="12"/>
      <c r="H21" s="12"/>
      <c r="I21" s="10"/>
      <c r="J21" s="12"/>
      <c r="K21" s="13" t="str">
        <f aca="false">IF(ISNUMBER(B21),YEAR(B21),"")</f>
        <v/>
      </c>
      <c r="L21" s="13" t="str">
        <f aca="false">IF(ISNUMBER(B21),MONTH(B21),"")</f>
        <v/>
      </c>
      <c r="M21" s="13" t="str">
        <f aca="false">IF(AND(ISNUMBER(B21),ISNUMBER(I21)),B21-I21+1,"")</f>
        <v/>
      </c>
      <c r="N21" s="14" t="str">
        <f aca="false">IF(B21="","",IF(M21="","시작일 미입력",IF(M21&lt;1,"시작일 이전(확인)",IF(M21=1,"1일째",IF(M21=2,"2일째",IF(M21=3,"3일째",IF(M21&lt;=7,"일주일 이내",IF(M21&lt;=14,"이주일 이내","15일 이후"))))))))</f>
        <v/>
      </c>
      <c r="O21" s="0" t="str">
        <f aca="false">IF(AND(COUNTA($A21:$J21)&gt;0,OR(클레임조회!$C$4="",AND(ISNUMBER($B21),$B21&gt;=클레임조회!$C$4)),OR(클레임조회!$C$5="",AND(ISNUMBER($B21),$B21&lt;=클레임조회!$C$5)),OR(클레임조회!$C$6="",$C21=클레임조회!$C$6),OR(클레임조회!$C$7="",$D21=클레임조회!$C$7),OR(클레임조회!$C$8="",$E21=클레임조회!$C$8),OR(클레임조회!$C$9="",$F21=클레임조회!$C$9),OR(클레임조회!$C$10="",ISNUMBER(SEARCH(클레임조회!$C$10,$C21&amp;" "&amp;$F21&amp;" "&amp;$G21&amp;" "&amp;$H21)))),COUNT(O$1:O20)+1,"")</f>
        <v/>
      </c>
      <c r="P21" s="0" t="str">
        <f aca="false">IF(AND(TRIM(C21)&lt;&gt;"",COUNTIF(C$2:C21,C21)=1),MAX(P$1:P20)+1,"")</f>
        <v/>
      </c>
      <c r="Q21" s="0" t="str">
        <f aca="false">IF(AND(TRIM(F21)&lt;&gt;"",COUNTIF(F$2:F21,F21)=1),MAX(Q$1:Q20)+1,"")</f>
        <v/>
      </c>
    </row>
    <row r="22" customFormat="false" ht="15" hidden="false" customHeight="false" outlineLevel="0" collapsed="false">
      <c r="A22" s="9"/>
      <c r="B22" s="10"/>
      <c r="C22" s="11"/>
      <c r="D22" s="11"/>
      <c r="E22" s="11"/>
      <c r="F22" s="11"/>
      <c r="G22" s="12"/>
      <c r="H22" s="12"/>
      <c r="I22" s="10"/>
      <c r="J22" s="12"/>
      <c r="K22" s="13" t="str">
        <f aca="false">IF(ISNUMBER(B22),YEAR(B22),"")</f>
        <v/>
      </c>
      <c r="L22" s="13" t="str">
        <f aca="false">IF(ISNUMBER(B22),MONTH(B22),"")</f>
        <v/>
      </c>
      <c r="M22" s="13" t="str">
        <f aca="false">IF(AND(ISNUMBER(B22),ISNUMBER(I22)),B22-I22+1,"")</f>
        <v/>
      </c>
      <c r="N22" s="14" t="str">
        <f aca="false">IF(B22="","",IF(M22="","시작일 미입력",IF(M22&lt;1,"시작일 이전(확인)",IF(M22=1,"1일째",IF(M22=2,"2일째",IF(M22=3,"3일째",IF(M22&lt;=7,"일주일 이내",IF(M22&lt;=14,"이주일 이내","15일 이후"))))))))</f>
        <v/>
      </c>
      <c r="O22" s="0" t="str">
        <f aca="false">IF(AND(COUNTA($A22:$J22)&gt;0,OR(클레임조회!$C$4="",AND(ISNUMBER($B22),$B22&gt;=클레임조회!$C$4)),OR(클레임조회!$C$5="",AND(ISNUMBER($B22),$B22&lt;=클레임조회!$C$5)),OR(클레임조회!$C$6="",$C22=클레임조회!$C$6),OR(클레임조회!$C$7="",$D22=클레임조회!$C$7),OR(클레임조회!$C$8="",$E22=클레임조회!$C$8),OR(클레임조회!$C$9="",$F22=클레임조회!$C$9),OR(클레임조회!$C$10="",ISNUMBER(SEARCH(클레임조회!$C$10,$C22&amp;" "&amp;$F22&amp;" "&amp;$G22&amp;" "&amp;$H22)))),COUNT(O$1:O21)+1,"")</f>
        <v/>
      </c>
      <c r="P22" s="0" t="str">
        <f aca="false">IF(AND(TRIM(C22)&lt;&gt;"",COUNTIF(C$2:C22,C22)=1),MAX(P$1:P21)+1,"")</f>
        <v/>
      </c>
      <c r="Q22" s="0" t="str">
        <f aca="false">IF(AND(TRIM(F22)&lt;&gt;"",COUNTIF(F$2:F22,F22)=1),MAX(Q$1:Q21)+1,"")</f>
        <v/>
      </c>
    </row>
    <row r="23" customFormat="false" ht="15" hidden="false" customHeight="false" outlineLevel="0" collapsed="false">
      <c r="A23" s="9"/>
      <c r="B23" s="10"/>
      <c r="C23" s="11"/>
      <c r="D23" s="11"/>
      <c r="E23" s="11"/>
      <c r="F23" s="11"/>
      <c r="G23" s="12"/>
      <c r="H23" s="12"/>
      <c r="I23" s="10"/>
      <c r="J23" s="12"/>
      <c r="K23" s="13" t="str">
        <f aca="false">IF(ISNUMBER(B23),YEAR(B23),"")</f>
        <v/>
      </c>
      <c r="L23" s="13" t="str">
        <f aca="false">IF(ISNUMBER(B23),MONTH(B23),"")</f>
        <v/>
      </c>
      <c r="M23" s="13" t="str">
        <f aca="false">IF(AND(ISNUMBER(B23),ISNUMBER(I23)),B23-I23+1,"")</f>
        <v/>
      </c>
      <c r="N23" s="14" t="str">
        <f aca="false">IF(B23="","",IF(M23="","시작일 미입력",IF(M23&lt;1,"시작일 이전(확인)",IF(M23=1,"1일째",IF(M23=2,"2일째",IF(M23=3,"3일째",IF(M23&lt;=7,"일주일 이내",IF(M23&lt;=14,"이주일 이내","15일 이후"))))))))</f>
        <v/>
      </c>
      <c r="O23" s="0" t="str">
        <f aca="false">IF(AND(COUNTA($A23:$J23)&gt;0,OR(클레임조회!$C$4="",AND(ISNUMBER($B23),$B23&gt;=클레임조회!$C$4)),OR(클레임조회!$C$5="",AND(ISNUMBER($B23),$B23&lt;=클레임조회!$C$5)),OR(클레임조회!$C$6="",$C23=클레임조회!$C$6),OR(클레임조회!$C$7="",$D23=클레임조회!$C$7),OR(클레임조회!$C$8="",$E23=클레임조회!$C$8),OR(클레임조회!$C$9="",$F23=클레임조회!$C$9),OR(클레임조회!$C$10="",ISNUMBER(SEARCH(클레임조회!$C$10,$C23&amp;" "&amp;$F23&amp;" "&amp;$G23&amp;" "&amp;$H23)))),COUNT(O$1:O22)+1,"")</f>
        <v/>
      </c>
      <c r="P23" s="0" t="str">
        <f aca="false">IF(AND(TRIM(C23)&lt;&gt;"",COUNTIF(C$2:C23,C23)=1),MAX(P$1:P22)+1,"")</f>
        <v/>
      </c>
      <c r="Q23" s="0" t="str">
        <f aca="false">IF(AND(TRIM(F23)&lt;&gt;"",COUNTIF(F$2:F23,F23)=1),MAX(Q$1:Q22)+1,"")</f>
        <v/>
      </c>
    </row>
    <row r="24" customFormat="false" ht="15" hidden="false" customHeight="false" outlineLevel="0" collapsed="false">
      <c r="A24" s="9"/>
      <c r="B24" s="10"/>
      <c r="C24" s="11"/>
      <c r="D24" s="11"/>
      <c r="E24" s="11"/>
      <c r="F24" s="11"/>
      <c r="G24" s="12"/>
      <c r="H24" s="12"/>
      <c r="I24" s="10"/>
      <c r="J24" s="12"/>
      <c r="K24" s="13" t="str">
        <f aca="false">IF(ISNUMBER(B24),YEAR(B24),"")</f>
        <v/>
      </c>
      <c r="L24" s="13" t="str">
        <f aca="false">IF(ISNUMBER(B24),MONTH(B24),"")</f>
        <v/>
      </c>
      <c r="M24" s="13" t="str">
        <f aca="false">IF(AND(ISNUMBER(B24),ISNUMBER(I24)),B24-I24+1,"")</f>
        <v/>
      </c>
      <c r="N24" s="14" t="str">
        <f aca="false">IF(B24="","",IF(M24="","시작일 미입력",IF(M24&lt;1,"시작일 이전(확인)",IF(M24=1,"1일째",IF(M24=2,"2일째",IF(M24=3,"3일째",IF(M24&lt;=7,"일주일 이내",IF(M24&lt;=14,"이주일 이내","15일 이후"))))))))</f>
        <v/>
      </c>
      <c r="O24" s="0" t="str">
        <f aca="false">IF(AND(COUNTA($A24:$J24)&gt;0,OR(클레임조회!$C$4="",AND(ISNUMBER($B24),$B24&gt;=클레임조회!$C$4)),OR(클레임조회!$C$5="",AND(ISNUMBER($B24),$B24&lt;=클레임조회!$C$5)),OR(클레임조회!$C$6="",$C24=클레임조회!$C$6),OR(클레임조회!$C$7="",$D24=클레임조회!$C$7),OR(클레임조회!$C$8="",$E24=클레임조회!$C$8),OR(클레임조회!$C$9="",$F24=클레임조회!$C$9),OR(클레임조회!$C$10="",ISNUMBER(SEARCH(클레임조회!$C$10,$C24&amp;" "&amp;$F24&amp;" "&amp;$G24&amp;" "&amp;$H24)))),COUNT(O$1:O23)+1,"")</f>
        <v/>
      </c>
      <c r="P24" s="0" t="str">
        <f aca="false">IF(AND(TRIM(C24)&lt;&gt;"",COUNTIF(C$2:C24,C24)=1),MAX(P$1:P23)+1,"")</f>
        <v/>
      </c>
      <c r="Q24" s="0" t="str">
        <f aca="false">IF(AND(TRIM(F24)&lt;&gt;"",COUNTIF(F$2:F24,F24)=1),MAX(Q$1:Q23)+1,"")</f>
        <v/>
      </c>
    </row>
    <row r="25" customFormat="false" ht="15" hidden="false" customHeight="false" outlineLevel="0" collapsed="false">
      <c r="A25" s="9"/>
      <c r="B25" s="10"/>
      <c r="C25" s="11"/>
      <c r="D25" s="11"/>
      <c r="E25" s="11"/>
      <c r="F25" s="11"/>
      <c r="G25" s="12"/>
      <c r="H25" s="12"/>
      <c r="I25" s="10"/>
      <c r="J25" s="12"/>
      <c r="K25" s="13" t="str">
        <f aca="false">IF(ISNUMBER(B25),YEAR(B25),"")</f>
        <v/>
      </c>
      <c r="L25" s="13" t="str">
        <f aca="false">IF(ISNUMBER(B25),MONTH(B25),"")</f>
        <v/>
      </c>
      <c r="M25" s="13" t="str">
        <f aca="false">IF(AND(ISNUMBER(B25),ISNUMBER(I25)),B25-I25+1,"")</f>
        <v/>
      </c>
      <c r="N25" s="14" t="str">
        <f aca="false">IF(B25="","",IF(M25="","시작일 미입력",IF(M25&lt;1,"시작일 이전(확인)",IF(M25=1,"1일째",IF(M25=2,"2일째",IF(M25=3,"3일째",IF(M25&lt;=7,"일주일 이내",IF(M25&lt;=14,"이주일 이내","15일 이후"))))))))</f>
        <v/>
      </c>
      <c r="O25" s="0" t="str">
        <f aca="false">IF(AND(COUNTA($A25:$J25)&gt;0,OR(클레임조회!$C$4="",AND(ISNUMBER($B25),$B25&gt;=클레임조회!$C$4)),OR(클레임조회!$C$5="",AND(ISNUMBER($B25),$B25&lt;=클레임조회!$C$5)),OR(클레임조회!$C$6="",$C25=클레임조회!$C$6),OR(클레임조회!$C$7="",$D25=클레임조회!$C$7),OR(클레임조회!$C$8="",$E25=클레임조회!$C$8),OR(클레임조회!$C$9="",$F25=클레임조회!$C$9),OR(클레임조회!$C$10="",ISNUMBER(SEARCH(클레임조회!$C$10,$C25&amp;" "&amp;$F25&amp;" "&amp;$G25&amp;" "&amp;$H25)))),COUNT(O$1:O24)+1,"")</f>
        <v/>
      </c>
      <c r="P25" s="0" t="str">
        <f aca="false">IF(AND(TRIM(C25)&lt;&gt;"",COUNTIF(C$2:C25,C25)=1),MAX(P$1:P24)+1,"")</f>
        <v/>
      </c>
      <c r="Q25" s="0" t="str">
        <f aca="false">IF(AND(TRIM(F25)&lt;&gt;"",COUNTIF(F$2:F25,F25)=1),MAX(Q$1:Q24)+1,"")</f>
        <v/>
      </c>
    </row>
    <row r="26" customFormat="false" ht="15" hidden="false" customHeight="false" outlineLevel="0" collapsed="false">
      <c r="A26" s="9"/>
      <c r="B26" s="10"/>
      <c r="C26" s="11"/>
      <c r="D26" s="11"/>
      <c r="E26" s="11"/>
      <c r="F26" s="11"/>
      <c r="G26" s="12"/>
      <c r="H26" s="12"/>
      <c r="I26" s="10"/>
      <c r="J26" s="12"/>
      <c r="K26" s="13" t="str">
        <f aca="false">IF(ISNUMBER(B26),YEAR(B26),"")</f>
        <v/>
      </c>
      <c r="L26" s="13" t="str">
        <f aca="false">IF(ISNUMBER(B26),MONTH(B26),"")</f>
        <v/>
      </c>
      <c r="M26" s="13" t="str">
        <f aca="false">IF(AND(ISNUMBER(B26),ISNUMBER(I26)),B26-I26+1,"")</f>
        <v/>
      </c>
      <c r="N26" s="14" t="str">
        <f aca="false">IF(B26="","",IF(M26="","시작일 미입력",IF(M26&lt;1,"시작일 이전(확인)",IF(M26=1,"1일째",IF(M26=2,"2일째",IF(M26=3,"3일째",IF(M26&lt;=7,"일주일 이내",IF(M26&lt;=14,"이주일 이내","15일 이후"))))))))</f>
        <v/>
      </c>
      <c r="O26" s="0" t="str">
        <f aca="false">IF(AND(COUNTA($A26:$J26)&gt;0,OR(클레임조회!$C$4="",AND(ISNUMBER($B26),$B26&gt;=클레임조회!$C$4)),OR(클레임조회!$C$5="",AND(ISNUMBER($B26),$B26&lt;=클레임조회!$C$5)),OR(클레임조회!$C$6="",$C26=클레임조회!$C$6),OR(클레임조회!$C$7="",$D26=클레임조회!$C$7),OR(클레임조회!$C$8="",$E26=클레임조회!$C$8),OR(클레임조회!$C$9="",$F26=클레임조회!$C$9),OR(클레임조회!$C$10="",ISNUMBER(SEARCH(클레임조회!$C$10,$C26&amp;" "&amp;$F26&amp;" "&amp;$G26&amp;" "&amp;$H26)))),COUNT(O$1:O25)+1,"")</f>
        <v/>
      </c>
      <c r="P26" s="0" t="str">
        <f aca="false">IF(AND(TRIM(C26)&lt;&gt;"",COUNTIF(C$2:C26,C26)=1),MAX(P$1:P25)+1,"")</f>
        <v/>
      </c>
      <c r="Q26" s="0" t="str">
        <f aca="false">IF(AND(TRIM(F26)&lt;&gt;"",COUNTIF(F$2:F26,F26)=1),MAX(Q$1:Q25)+1,"")</f>
        <v/>
      </c>
    </row>
    <row r="27" customFormat="false" ht="15" hidden="false" customHeight="false" outlineLevel="0" collapsed="false">
      <c r="A27" s="9"/>
      <c r="B27" s="10"/>
      <c r="C27" s="11"/>
      <c r="D27" s="11"/>
      <c r="E27" s="11"/>
      <c r="F27" s="11"/>
      <c r="G27" s="12"/>
      <c r="H27" s="12"/>
      <c r="I27" s="10"/>
      <c r="J27" s="12"/>
      <c r="K27" s="13" t="str">
        <f aca="false">IF(ISNUMBER(B27),YEAR(B27),"")</f>
        <v/>
      </c>
      <c r="L27" s="13" t="str">
        <f aca="false">IF(ISNUMBER(B27),MONTH(B27),"")</f>
        <v/>
      </c>
      <c r="M27" s="13" t="str">
        <f aca="false">IF(AND(ISNUMBER(B27),ISNUMBER(I27)),B27-I27+1,"")</f>
        <v/>
      </c>
      <c r="N27" s="14" t="str">
        <f aca="false">IF(B27="","",IF(M27="","시작일 미입력",IF(M27&lt;1,"시작일 이전(확인)",IF(M27=1,"1일째",IF(M27=2,"2일째",IF(M27=3,"3일째",IF(M27&lt;=7,"일주일 이내",IF(M27&lt;=14,"이주일 이내","15일 이후"))))))))</f>
        <v/>
      </c>
      <c r="O27" s="0" t="str">
        <f aca="false">IF(AND(COUNTA($A27:$J27)&gt;0,OR(클레임조회!$C$4="",AND(ISNUMBER($B27),$B27&gt;=클레임조회!$C$4)),OR(클레임조회!$C$5="",AND(ISNUMBER($B27),$B27&lt;=클레임조회!$C$5)),OR(클레임조회!$C$6="",$C27=클레임조회!$C$6),OR(클레임조회!$C$7="",$D27=클레임조회!$C$7),OR(클레임조회!$C$8="",$E27=클레임조회!$C$8),OR(클레임조회!$C$9="",$F27=클레임조회!$C$9),OR(클레임조회!$C$10="",ISNUMBER(SEARCH(클레임조회!$C$10,$C27&amp;" "&amp;$F27&amp;" "&amp;$G27&amp;" "&amp;$H27)))),COUNT(O$1:O26)+1,"")</f>
        <v/>
      </c>
      <c r="P27" s="0" t="str">
        <f aca="false">IF(AND(TRIM(C27)&lt;&gt;"",COUNTIF(C$2:C27,C27)=1),MAX(P$1:P26)+1,"")</f>
        <v/>
      </c>
      <c r="Q27" s="0" t="str">
        <f aca="false">IF(AND(TRIM(F27)&lt;&gt;"",COUNTIF(F$2:F27,F27)=1),MAX(Q$1:Q26)+1,"")</f>
        <v/>
      </c>
    </row>
    <row r="28" customFormat="false" ht="15" hidden="false" customHeight="false" outlineLevel="0" collapsed="false">
      <c r="A28" s="9"/>
      <c r="B28" s="10"/>
      <c r="C28" s="11"/>
      <c r="D28" s="11"/>
      <c r="E28" s="11"/>
      <c r="F28" s="11"/>
      <c r="G28" s="12"/>
      <c r="H28" s="12"/>
      <c r="I28" s="10"/>
      <c r="J28" s="12"/>
      <c r="K28" s="13" t="str">
        <f aca="false">IF(ISNUMBER(B28),YEAR(B28),"")</f>
        <v/>
      </c>
      <c r="L28" s="13" t="str">
        <f aca="false">IF(ISNUMBER(B28),MONTH(B28),"")</f>
        <v/>
      </c>
      <c r="M28" s="13" t="str">
        <f aca="false">IF(AND(ISNUMBER(B28),ISNUMBER(I28)),B28-I28+1,"")</f>
        <v/>
      </c>
      <c r="N28" s="14" t="str">
        <f aca="false">IF(B28="","",IF(M28="","시작일 미입력",IF(M28&lt;1,"시작일 이전(확인)",IF(M28=1,"1일째",IF(M28=2,"2일째",IF(M28=3,"3일째",IF(M28&lt;=7,"일주일 이내",IF(M28&lt;=14,"이주일 이내","15일 이후"))))))))</f>
        <v/>
      </c>
      <c r="O28" s="0" t="str">
        <f aca="false">IF(AND(COUNTA($A28:$J28)&gt;0,OR(클레임조회!$C$4="",AND(ISNUMBER($B28),$B28&gt;=클레임조회!$C$4)),OR(클레임조회!$C$5="",AND(ISNUMBER($B28),$B28&lt;=클레임조회!$C$5)),OR(클레임조회!$C$6="",$C28=클레임조회!$C$6),OR(클레임조회!$C$7="",$D28=클레임조회!$C$7),OR(클레임조회!$C$8="",$E28=클레임조회!$C$8),OR(클레임조회!$C$9="",$F28=클레임조회!$C$9),OR(클레임조회!$C$10="",ISNUMBER(SEARCH(클레임조회!$C$10,$C28&amp;" "&amp;$F28&amp;" "&amp;$G28&amp;" "&amp;$H28)))),COUNT(O$1:O27)+1,"")</f>
        <v/>
      </c>
      <c r="P28" s="0" t="str">
        <f aca="false">IF(AND(TRIM(C28)&lt;&gt;"",COUNTIF(C$2:C28,C28)=1),MAX(P$1:P27)+1,"")</f>
        <v/>
      </c>
      <c r="Q28" s="0" t="str">
        <f aca="false">IF(AND(TRIM(F28)&lt;&gt;"",COUNTIF(F$2:F28,F28)=1),MAX(Q$1:Q27)+1,"")</f>
        <v/>
      </c>
    </row>
    <row r="29" customFormat="false" ht="15" hidden="false" customHeight="false" outlineLevel="0" collapsed="false">
      <c r="A29" s="9"/>
      <c r="B29" s="10"/>
      <c r="C29" s="11"/>
      <c r="D29" s="11"/>
      <c r="E29" s="11"/>
      <c r="F29" s="11"/>
      <c r="G29" s="12"/>
      <c r="H29" s="12"/>
      <c r="I29" s="10"/>
      <c r="J29" s="12"/>
      <c r="K29" s="13" t="str">
        <f aca="false">IF(ISNUMBER(B29),YEAR(B29),"")</f>
        <v/>
      </c>
      <c r="L29" s="13" t="str">
        <f aca="false">IF(ISNUMBER(B29),MONTH(B29),"")</f>
        <v/>
      </c>
      <c r="M29" s="13" t="str">
        <f aca="false">IF(AND(ISNUMBER(B29),ISNUMBER(I29)),B29-I29+1,"")</f>
        <v/>
      </c>
      <c r="N29" s="14" t="str">
        <f aca="false">IF(B29="","",IF(M29="","시작일 미입력",IF(M29&lt;1,"시작일 이전(확인)",IF(M29=1,"1일째",IF(M29=2,"2일째",IF(M29=3,"3일째",IF(M29&lt;=7,"일주일 이내",IF(M29&lt;=14,"이주일 이내","15일 이후"))))))))</f>
        <v/>
      </c>
      <c r="O29" s="0" t="str">
        <f aca="false">IF(AND(COUNTA($A29:$J29)&gt;0,OR(클레임조회!$C$4="",AND(ISNUMBER($B29),$B29&gt;=클레임조회!$C$4)),OR(클레임조회!$C$5="",AND(ISNUMBER($B29),$B29&lt;=클레임조회!$C$5)),OR(클레임조회!$C$6="",$C29=클레임조회!$C$6),OR(클레임조회!$C$7="",$D29=클레임조회!$C$7),OR(클레임조회!$C$8="",$E29=클레임조회!$C$8),OR(클레임조회!$C$9="",$F29=클레임조회!$C$9),OR(클레임조회!$C$10="",ISNUMBER(SEARCH(클레임조회!$C$10,$C29&amp;" "&amp;$F29&amp;" "&amp;$G29&amp;" "&amp;$H29)))),COUNT(O$1:O28)+1,"")</f>
        <v/>
      </c>
      <c r="P29" s="0" t="str">
        <f aca="false">IF(AND(TRIM(C29)&lt;&gt;"",COUNTIF(C$2:C29,C29)=1),MAX(P$1:P28)+1,"")</f>
        <v/>
      </c>
      <c r="Q29" s="0" t="str">
        <f aca="false">IF(AND(TRIM(F29)&lt;&gt;"",COUNTIF(F$2:F29,F29)=1),MAX(Q$1:Q28)+1,"")</f>
        <v/>
      </c>
    </row>
    <row r="30" customFormat="false" ht="15" hidden="false" customHeight="false" outlineLevel="0" collapsed="false">
      <c r="A30" s="9"/>
      <c r="B30" s="10"/>
      <c r="C30" s="11"/>
      <c r="D30" s="11"/>
      <c r="E30" s="11"/>
      <c r="F30" s="11"/>
      <c r="G30" s="12"/>
      <c r="H30" s="12"/>
      <c r="I30" s="10"/>
      <c r="J30" s="12"/>
      <c r="K30" s="13" t="str">
        <f aca="false">IF(ISNUMBER(B30),YEAR(B30),"")</f>
        <v/>
      </c>
      <c r="L30" s="13" t="str">
        <f aca="false">IF(ISNUMBER(B30),MONTH(B30),"")</f>
        <v/>
      </c>
      <c r="M30" s="13" t="str">
        <f aca="false">IF(AND(ISNUMBER(B30),ISNUMBER(I30)),B30-I30+1,"")</f>
        <v/>
      </c>
      <c r="N30" s="14" t="str">
        <f aca="false">IF(B30="","",IF(M30="","시작일 미입력",IF(M30&lt;1,"시작일 이전(확인)",IF(M30=1,"1일째",IF(M30=2,"2일째",IF(M30=3,"3일째",IF(M30&lt;=7,"일주일 이내",IF(M30&lt;=14,"이주일 이내","15일 이후"))))))))</f>
        <v/>
      </c>
      <c r="O30" s="0" t="str">
        <f aca="false">IF(AND(COUNTA($A30:$J30)&gt;0,OR(클레임조회!$C$4="",AND(ISNUMBER($B30),$B30&gt;=클레임조회!$C$4)),OR(클레임조회!$C$5="",AND(ISNUMBER($B30),$B30&lt;=클레임조회!$C$5)),OR(클레임조회!$C$6="",$C30=클레임조회!$C$6),OR(클레임조회!$C$7="",$D30=클레임조회!$C$7),OR(클레임조회!$C$8="",$E30=클레임조회!$C$8),OR(클레임조회!$C$9="",$F30=클레임조회!$C$9),OR(클레임조회!$C$10="",ISNUMBER(SEARCH(클레임조회!$C$10,$C30&amp;" "&amp;$F30&amp;" "&amp;$G30&amp;" "&amp;$H30)))),COUNT(O$1:O29)+1,"")</f>
        <v/>
      </c>
      <c r="P30" s="0" t="str">
        <f aca="false">IF(AND(TRIM(C30)&lt;&gt;"",COUNTIF(C$2:C30,C30)=1),MAX(P$1:P29)+1,"")</f>
        <v/>
      </c>
      <c r="Q30" s="0" t="str">
        <f aca="false">IF(AND(TRIM(F30)&lt;&gt;"",COUNTIF(F$2:F30,F30)=1),MAX(Q$1:Q29)+1,"")</f>
        <v/>
      </c>
    </row>
    <row r="31" customFormat="false" ht="15" hidden="false" customHeight="false" outlineLevel="0" collapsed="false">
      <c r="A31" s="9"/>
      <c r="B31" s="10"/>
      <c r="C31" s="11"/>
      <c r="D31" s="11"/>
      <c r="E31" s="11"/>
      <c r="F31" s="11"/>
      <c r="G31" s="12"/>
      <c r="H31" s="12"/>
      <c r="I31" s="10"/>
      <c r="J31" s="12"/>
      <c r="K31" s="13" t="str">
        <f aca="false">IF(ISNUMBER(B31),YEAR(B31),"")</f>
        <v/>
      </c>
      <c r="L31" s="13" t="str">
        <f aca="false">IF(ISNUMBER(B31),MONTH(B31),"")</f>
        <v/>
      </c>
      <c r="M31" s="13" t="str">
        <f aca="false">IF(AND(ISNUMBER(B31),ISNUMBER(I31)),B31-I31+1,"")</f>
        <v/>
      </c>
      <c r="N31" s="14" t="str">
        <f aca="false">IF(B31="","",IF(M31="","시작일 미입력",IF(M31&lt;1,"시작일 이전(확인)",IF(M31=1,"1일째",IF(M31=2,"2일째",IF(M31=3,"3일째",IF(M31&lt;=7,"일주일 이내",IF(M31&lt;=14,"이주일 이내","15일 이후"))))))))</f>
        <v/>
      </c>
      <c r="O31" s="0" t="str">
        <f aca="false">IF(AND(COUNTA($A31:$J31)&gt;0,OR(클레임조회!$C$4="",AND(ISNUMBER($B31),$B31&gt;=클레임조회!$C$4)),OR(클레임조회!$C$5="",AND(ISNUMBER($B31),$B31&lt;=클레임조회!$C$5)),OR(클레임조회!$C$6="",$C31=클레임조회!$C$6),OR(클레임조회!$C$7="",$D31=클레임조회!$C$7),OR(클레임조회!$C$8="",$E31=클레임조회!$C$8),OR(클레임조회!$C$9="",$F31=클레임조회!$C$9),OR(클레임조회!$C$10="",ISNUMBER(SEARCH(클레임조회!$C$10,$C31&amp;" "&amp;$F31&amp;" "&amp;$G31&amp;" "&amp;$H31)))),COUNT(O$1:O30)+1,"")</f>
        <v/>
      </c>
      <c r="P31" s="0" t="str">
        <f aca="false">IF(AND(TRIM(C31)&lt;&gt;"",COUNTIF(C$2:C31,C31)=1),MAX(P$1:P30)+1,"")</f>
        <v/>
      </c>
      <c r="Q31" s="0" t="str">
        <f aca="false">IF(AND(TRIM(F31)&lt;&gt;"",COUNTIF(F$2:F31,F31)=1),MAX(Q$1:Q30)+1,"")</f>
        <v/>
      </c>
    </row>
    <row r="32" customFormat="false" ht="15" hidden="false" customHeight="false" outlineLevel="0" collapsed="false">
      <c r="A32" s="9"/>
      <c r="B32" s="10"/>
      <c r="C32" s="11"/>
      <c r="D32" s="11"/>
      <c r="E32" s="11"/>
      <c r="F32" s="11"/>
      <c r="G32" s="12"/>
      <c r="H32" s="12"/>
      <c r="I32" s="10"/>
      <c r="J32" s="12"/>
      <c r="K32" s="13" t="str">
        <f aca="false">IF(ISNUMBER(B32),YEAR(B32),"")</f>
        <v/>
      </c>
      <c r="L32" s="13" t="str">
        <f aca="false">IF(ISNUMBER(B32),MONTH(B32),"")</f>
        <v/>
      </c>
      <c r="M32" s="13" t="str">
        <f aca="false">IF(AND(ISNUMBER(B32),ISNUMBER(I32)),B32-I32+1,"")</f>
        <v/>
      </c>
      <c r="N32" s="14" t="str">
        <f aca="false">IF(B32="","",IF(M32="","시작일 미입력",IF(M32&lt;1,"시작일 이전(확인)",IF(M32=1,"1일째",IF(M32=2,"2일째",IF(M32=3,"3일째",IF(M32&lt;=7,"일주일 이내",IF(M32&lt;=14,"이주일 이내","15일 이후"))))))))</f>
        <v/>
      </c>
      <c r="O32" s="0" t="str">
        <f aca="false">IF(AND(COUNTA($A32:$J32)&gt;0,OR(클레임조회!$C$4="",AND(ISNUMBER($B32),$B32&gt;=클레임조회!$C$4)),OR(클레임조회!$C$5="",AND(ISNUMBER($B32),$B32&lt;=클레임조회!$C$5)),OR(클레임조회!$C$6="",$C32=클레임조회!$C$6),OR(클레임조회!$C$7="",$D32=클레임조회!$C$7),OR(클레임조회!$C$8="",$E32=클레임조회!$C$8),OR(클레임조회!$C$9="",$F32=클레임조회!$C$9),OR(클레임조회!$C$10="",ISNUMBER(SEARCH(클레임조회!$C$10,$C32&amp;" "&amp;$F32&amp;" "&amp;$G32&amp;" "&amp;$H32)))),COUNT(O$1:O31)+1,"")</f>
        <v/>
      </c>
      <c r="P32" s="0" t="str">
        <f aca="false">IF(AND(TRIM(C32)&lt;&gt;"",COUNTIF(C$2:C32,C32)=1),MAX(P$1:P31)+1,"")</f>
        <v/>
      </c>
      <c r="Q32" s="0" t="str">
        <f aca="false">IF(AND(TRIM(F32)&lt;&gt;"",COUNTIF(F$2:F32,F32)=1),MAX(Q$1:Q31)+1,"")</f>
        <v/>
      </c>
    </row>
    <row r="33" customFormat="false" ht="15" hidden="false" customHeight="false" outlineLevel="0" collapsed="false">
      <c r="A33" s="9"/>
      <c r="B33" s="10"/>
      <c r="C33" s="11"/>
      <c r="D33" s="11"/>
      <c r="E33" s="11"/>
      <c r="F33" s="11"/>
      <c r="G33" s="12"/>
      <c r="H33" s="12"/>
      <c r="I33" s="10"/>
      <c r="J33" s="12"/>
      <c r="K33" s="13" t="str">
        <f aca="false">IF(ISNUMBER(B33),YEAR(B33),"")</f>
        <v/>
      </c>
      <c r="L33" s="13" t="str">
        <f aca="false">IF(ISNUMBER(B33),MONTH(B33),"")</f>
        <v/>
      </c>
      <c r="M33" s="13" t="str">
        <f aca="false">IF(AND(ISNUMBER(B33),ISNUMBER(I33)),B33-I33+1,"")</f>
        <v/>
      </c>
      <c r="N33" s="14" t="str">
        <f aca="false">IF(B33="","",IF(M33="","시작일 미입력",IF(M33&lt;1,"시작일 이전(확인)",IF(M33=1,"1일째",IF(M33=2,"2일째",IF(M33=3,"3일째",IF(M33&lt;=7,"일주일 이내",IF(M33&lt;=14,"이주일 이내","15일 이후"))))))))</f>
        <v/>
      </c>
      <c r="O33" s="0" t="str">
        <f aca="false">IF(AND(COUNTA($A33:$J33)&gt;0,OR(클레임조회!$C$4="",AND(ISNUMBER($B33),$B33&gt;=클레임조회!$C$4)),OR(클레임조회!$C$5="",AND(ISNUMBER($B33),$B33&lt;=클레임조회!$C$5)),OR(클레임조회!$C$6="",$C33=클레임조회!$C$6),OR(클레임조회!$C$7="",$D33=클레임조회!$C$7),OR(클레임조회!$C$8="",$E33=클레임조회!$C$8),OR(클레임조회!$C$9="",$F33=클레임조회!$C$9),OR(클레임조회!$C$10="",ISNUMBER(SEARCH(클레임조회!$C$10,$C33&amp;" "&amp;$F33&amp;" "&amp;$G33&amp;" "&amp;$H33)))),COUNT(O$1:O32)+1,"")</f>
        <v/>
      </c>
      <c r="P33" s="0" t="str">
        <f aca="false">IF(AND(TRIM(C33)&lt;&gt;"",COUNTIF(C$2:C33,C33)=1),MAX(P$1:P32)+1,"")</f>
        <v/>
      </c>
      <c r="Q33" s="0" t="str">
        <f aca="false">IF(AND(TRIM(F33)&lt;&gt;"",COUNTIF(F$2:F33,F33)=1),MAX(Q$1:Q32)+1,"")</f>
        <v/>
      </c>
    </row>
    <row r="34" customFormat="false" ht="15" hidden="false" customHeight="false" outlineLevel="0" collapsed="false">
      <c r="A34" s="9"/>
      <c r="B34" s="10"/>
      <c r="C34" s="11"/>
      <c r="D34" s="11"/>
      <c r="E34" s="11"/>
      <c r="F34" s="11"/>
      <c r="G34" s="12"/>
      <c r="H34" s="12"/>
      <c r="I34" s="10"/>
      <c r="J34" s="12"/>
      <c r="K34" s="13" t="str">
        <f aca="false">IF(ISNUMBER(B34),YEAR(B34),"")</f>
        <v/>
      </c>
      <c r="L34" s="13" t="str">
        <f aca="false">IF(ISNUMBER(B34),MONTH(B34),"")</f>
        <v/>
      </c>
      <c r="M34" s="13" t="str">
        <f aca="false">IF(AND(ISNUMBER(B34),ISNUMBER(I34)),B34-I34+1,"")</f>
        <v/>
      </c>
      <c r="N34" s="14" t="str">
        <f aca="false">IF(B34="","",IF(M34="","시작일 미입력",IF(M34&lt;1,"시작일 이전(확인)",IF(M34=1,"1일째",IF(M34=2,"2일째",IF(M34=3,"3일째",IF(M34&lt;=7,"일주일 이내",IF(M34&lt;=14,"이주일 이내","15일 이후"))))))))</f>
        <v/>
      </c>
      <c r="O34" s="0" t="str">
        <f aca="false">IF(AND(COUNTA($A34:$J34)&gt;0,OR(클레임조회!$C$4="",AND(ISNUMBER($B34),$B34&gt;=클레임조회!$C$4)),OR(클레임조회!$C$5="",AND(ISNUMBER($B34),$B34&lt;=클레임조회!$C$5)),OR(클레임조회!$C$6="",$C34=클레임조회!$C$6),OR(클레임조회!$C$7="",$D34=클레임조회!$C$7),OR(클레임조회!$C$8="",$E34=클레임조회!$C$8),OR(클레임조회!$C$9="",$F34=클레임조회!$C$9),OR(클레임조회!$C$10="",ISNUMBER(SEARCH(클레임조회!$C$10,$C34&amp;" "&amp;$F34&amp;" "&amp;$G34&amp;" "&amp;$H34)))),COUNT(O$1:O33)+1,"")</f>
        <v/>
      </c>
      <c r="P34" s="0" t="str">
        <f aca="false">IF(AND(TRIM(C34)&lt;&gt;"",COUNTIF(C$2:C34,C34)=1),MAX(P$1:P33)+1,"")</f>
        <v/>
      </c>
      <c r="Q34" s="0" t="str">
        <f aca="false">IF(AND(TRIM(F34)&lt;&gt;"",COUNTIF(F$2:F34,F34)=1),MAX(Q$1:Q33)+1,"")</f>
        <v/>
      </c>
    </row>
    <row r="35" customFormat="false" ht="15" hidden="false" customHeight="false" outlineLevel="0" collapsed="false">
      <c r="A35" s="9"/>
      <c r="B35" s="10"/>
      <c r="C35" s="11"/>
      <c r="D35" s="11"/>
      <c r="E35" s="11"/>
      <c r="F35" s="11"/>
      <c r="G35" s="12"/>
      <c r="H35" s="12"/>
      <c r="I35" s="10"/>
      <c r="J35" s="12"/>
      <c r="K35" s="13" t="str">
        <f aca="false">IF(ISNUMBER(B35),YEAR(B35),"")</f>
        <v/>
      </c>
      <c r="L35" s="13" t="str">
        <f aca="false">IF(ISNUMBER(B35),MONTH(B35),"")</f>
        <v/>
      </c>
      <c r="M35" s="13" t="str">
        <f aca="false">IF(AND(ISNUMBER(B35),ISNUMBER(I35)),B35-I35+1,"")</f>
        <v/>
      </c>
      <c r="N35" s="14" t="str">
        <f aca="false">IF(B35="","",IF(M35="","시작일 미입력",IF(M35&lt;1,"시작일 이전(확인)",IF(M35=1,"1일째",IF(M35=2,"2일째",IF(M35=3,"3일째",IF(M35&lt;=7,"일주일 이내",IF(M35&lt;=14,"이주일 이내","15일 이후"))))))))</f>
        <v/>
      </c>
      <c r="O35" s="0" t="str">
        <f aca="false">IF(AND(COUNTA($A35:$J35)&gt;0,OR(클레임조회!$C$4="",AND(ISNUMBER($B35),$B35&gt;=클레임조회!$C$4)),OR(클레임조회!$C$5="",AND(ISNUMBER($B35),$B35&lt;=클레임조회!$C$5)),OR(클레임조회!$C$6="",$C35=클레임조회!$C$6),OR(클레임조회!$C$7="",$D35=클레임조회!$C$7),OR(클레임조회!$C$8="",$E35=클레임조회!$C$8),OR(클레임조회!$C$9="",$F35=클레임조회!$C$9),OR(클레임조회!$C$10="",ISNUMBER(SEARCH(클레임조회!$C$10,$C35&amp;" "&amp;$F35&amp;" "&amp;$G35&amp;" "&amp;$H35)))),COUNT(O$1:O34)+1,"")</f>
        <v/>
      </c>
      <c r="P35" s="0" t="str">
        <f aca="false">IF(AND(TRIM(C35)&lt;&gt;"",COUNTIF(C$2:C35,C35)=1),MAX(P$1:P34)+1,"")</f>
        <v/>
      </c>
      <c r="Q35" s="0" t="str">
        <f aca="false">IF(AND(TRIM(F35)&lt;&gt;"",COUNTIF(F$2:F35,F35)=1),MAX(Q$1:Q34)+1,"")</f>
        <v/>
      </c>
    </row>
    <row r="36" customFormat="false" ht="15" hidden="false" customHeight="false" outlineLevel="0" collapsed="false">
      <c r="A36" s="9"/>
      <c r="B36" s="10"/>
      <c r="C36" s="11"/>
      <c r="D36" s="11"/>
      <c r="E36" s="11"/>
      <c r="F36" s="11"/>
      <c r="G36" s="12"/>
      <c r="H36" s="12"/>
      <c r="I36" s="10"/>
      <c r="J36" s="12"/>
      <c r="K36" s="13" t="str">
        <f aca="false">IF(ISNUMBER(B36),YEAR(B36),"")</f>
        <v/>
      </c>
      <c r="L36" s="13" t="str">
        <f aca="false">IF(ISNUMBER(B36),MONTH(B36),"")</f>
        <v/>
      </c>
      <c r="M36" s="13" t="str">
        <f aca="false">IF(AND(ISNUMBER(B36),ISNUMBER(I36)),B36-I36+1,"")</f>
        <v/>
      </c>
      <c r="N36" s="14" t="str">
        <f aca="false">IF(B36="","",IF(M36="","시작일 미입력",IF(M36&lt;1,"시작일 이전(확인)",IF(M36=1,"1일째",IF(M36=2,"2일째",IF(M36=3,"3일째",IF(M36&lt;=7,"일주일 이내",IF(M36&lt;=14,"이주일 이내","15일 이후"))))))))</f>
        <v/>
      </c>
      <c r="O36" s="0" t="str">
        <f aca="false">IF(AND(COUNTA($A36:$J36)&gt;0,OR(클레임조회!$C$4="",AND(ISNUMBER($B36),$B36&gt;=클레임조회!$C$4)),OR(클레임조회!$C$5="",AND(ISNUMBER($B36),$B36&lt;=클레임조회!$C$5)),OR(클레임조회!$C$6="",$C36=클레임조회!$C$6),OR(클레임조회!$C$7="",$D36=클레임조회!$C$7),OR(클레임조회!$C$8="",$E36=클레임조회!$C$8),OR(클레임조회!$C$9="",$F36=클레임조회!$C$9),OR(클레임조회!$C$10="",ISNUMBER(SEARCH(클레임조회!$C$10,$C36&amp;" "&amp;$F36&amp;" "&amp;$G36&amp;" "&amp;$H36)))),COUNT(O$1:O35)+1,"")</f>
        <v/>
      </c>
      <c r="P36" s="0" t="str">
        <f aca="false">IF(AND(TRIM(C36)&lt;&gt;"",COUNTIF(C$2:C36,C36)=1),MAX(P$1:P35)+1,"")</f>
        <v/>
      </c>
      <c r="Q36" s="0" t="str">
        <f aca="false">IF(AND(TRIM(F36)&lt;&gt;"",COUNTIF(F$2:F36,F36)=1),MAX(Q$1:Q35)+1,"")</f>
        <v/>
      </c>
    </row>
    <row r="37" customFormat="false" ht="15" hidden="false" customHeight="false" outlineLevel="0" collapsed="false">
      <c r="A37" s="9"/>
      <c r="B37" s="10"/>
      <c r="C37" s="11"/>
      <c r="D37" s="11"/>
      <c r="E37" s="11"/>
      <c r="F37" s="11"/>
      <c r="G37" s="12"/>
      <c r="H37" s="12"/>
      <c r="I37" s="10"/>
      <c r="J37" s="12"/>
      <c r="K37" s="13" t="str">
        <f aca="false">IF(ISNUMBER(B37),YEAR(B37),"")</f>
        <v/>
      </c>
      <c r="L37" s="13" t="str">
        <f aca="false">IF(ISNUMBER(B37),MONTH(B37),"")</f>
        <v/>
      </c>
      <c r="M37" s="13" t="str">
        <f aca="false">IF(AND(ISNUMBER(B37),ISNUMBER(I37)),B37-I37+1,"")</f>
        <v/>
      </c>
      <c r="N37" s="14" t="str">
        <f aca="false">IF(B37="","",IF(M37="","시작일 미입력",IF(M37&lt;1,"시작일 이전(확인)",IF(M37=1,"1일째",IF(M37=2,"2일째",IF(M37=3,"3일째",IF(M37&lt;=7,"일주일 이내",IF(M37&lt;=14,"이주일 이내","15일 이후"))))))))</f>
        <v/>
      </c>
      <c r="O37" s="0" t="str">
        <f aca="false">IF(AND(COUNTA($A37:$J37)&gt;0,OR(클레임조회!$C$4="",AND(ISNUMBER($B37),$B37&gt;=클레임조회!$C$4)),OR(클레임조회!$C$5="",AND(ISNUMBER($B37),$B37&lt;=클레임조회!$C$5)),OR(클레임조회!$C$6="",$C37=클레임조회!$C$6),OR(클레임조회!$C$7="",$D37=클레임조회!$C$7),OR(클레임조회!$C$8="",$E37=클레임조회!$C$8),OR(클레임조회!$C$9="",$F37=클레임조회!$C$9),OR(클레임조회!$C$10="",ISNUMBER(SEARCH(클레임조회!$C$10,$C37&amp;" "&amp;$F37&amp;" "&amp;$G37&amp;" "&amp;$H37)))),COUNT(O$1:O36)+1,"")</f>
        <v/>
      </c>
      <c r="P37" s="0" t="str">
        <f aca="false">IF(AND(TRIM(C37)&lt;&gt;"",COUNTIF(C$2:C37,C37)=1),MAX(P$1:P36)+1,"")</f>
        <v/>
      </c>
      <c r="Q37" s="0" t="str">
        <f aca="false">IF(AND(TRIM(F37)&lt;&gt;"",COUNTIF(F$2:F37,F37)=1),MAX(Q$1:Q36)+1,"")</f>
        <v/>
      </c>
    </row>
    <row r="38" customFormat="false" ht="15" hidden="false" customHeight="false" outlineLevel="0" collapsed="false">
      <c r="A38" s="9"/>
      <c r="B38" s="10"/>
      <c r="C38" s="11"/>
      <c r="D38" s="11"/>
      <c r="E38" s="11"/>
      <c r="F38" s="11"/>
      <c r="G38" s="12"/>
      <c r="H38" s="12"/>
      <c r="I38" s="10"/>
      <c r="J38" s="12"/>
      <c r="K38" s="13" t="str">
        <f aca="false">IF(ISNUMBER(B38),YEAR(B38),"")</f>
        <v/>
      </c>
      <c r="L38" s="13" t="str">
        <f aca="false">IF(ISNUMBER(B38),MONTH(B38),"")</f>
        <v/>
      </c>
      <c r="M38" s="13" t="str">
        <f aca="false">IF(AND(ISNUMBER(B38),ISNUMBER(I38)),B38-I38+1,"")</f>
        <v/>
      </c>
      <c r="N38" s="14" t="str">
        <f aca="false">IF(B38="","",IF(M38="","시작일 미입력",IF(M38&lt;1,"시작일 이전(확인)",IF(M38=1,"1일째",IF(M38=2,"2일째",IF(M38=3,"3일째",IF(M38&lt;=7,"일주일 이내",IF(M38&lt;=14,"이주일 이내","15일 이후"))))))))</f>
        <v/>
      </c>
      <c r="O38" s="0" t="str">
        <f aca="false">IF(AND(COUNTA($A38:$J38)&gt;0,OR(클레임조회!$C$4="",AND(ISNUMBER($B38),$B38&gt;=클레임조회!$C$4)),OR(클레임조회!$C$5="",AND(ISNUMBER($B38),$B38&lt;=클레임조회!$C$5)),OR(클레임조회!$C$6="",$C38=클레임조회!$C$6),OR(클레임조회!$C$7="",$D38=클레임조회!$C$7),OR(클레임조회!$C$8="",$E38=클레임조회!$C$8),OR(클레임조회!$C$9="",$F38=클레임조회!$C$9),OR(클레임조회!$C$10="",ISNUMBER(SEARCH(클레임조회!$C$10,$C38&amp;" "&amp;$F38&amp;" "&amp;$G38&amp;" "&amp;$H38)))),COUNT(O$1:O37)+1,"")</f>
        <v/>
      </c>
      <c r="P38" s="0" t="str">
        <f aca="false">IF(AND(TRIM(C38)&lt;&gt;"",COUNTIF(C$2:C38,C38)=1),MAX(P$1:P37)+1,"")</f>
        <v/>
      </c>
      <c r="Q38" s="0" t="str">
        <f aca="false">IF(AND(TRIM(F38)&lt;&gt;"",COUNTIF(F$2:F38,F38)=1),MAX(Q$1:Q37)+1,"")</f>
        <v/>
      </c>
    </row>
    <row r="39" customFormat="false" ht="15" hidden="false" customHeight="false" outlineLevel="0" collapsed="false">
      <c r="A39" s="9"/>
      <c r="B39" s="10"/>
      <c r="C39" s="11"/>
      <c r="D39" s="11"/>
      <c r="E39" s="11"/>
      <c r="F39" s="11"/>
      <c r="G39" s="12"/>
      <c r="H39" s="12"/>
      <c r="I39" s="10"/>
      <c r="J39" s="12"/>
      <c r="K39" s="13" t="str">
        <f aca="false">IF(ISNUMBER(B39),YEAR(B39),"")</f>
        <v/>
      </c>
      <c r="L39" s="13" t="str">
        <f aca="false">IF(ISNUMBER(B39),MONTH(B39),"")</f>
        <v/>
      </c>
      <c r="M39" s="13" t="str">
        <f aca="false">IF(AND(ISNUMBER(B39),ISNUMBER(I39)),B39-I39+1,"")</f>
        <v/>
      </c>
      <c r="N39" s="14" t="str">
        <f aca="false">IF(B39="","",IF(M39="","시작일 미입력",IF(M39&lt;1,"시작일 이전(확인)",IF(M39=1,"1일째",IF(M39=2,"2일째",IF(M39=3,"3일째",IF(M39&lt;=7,"일주일 이내",IF(M39&lt;=14,"이주일 이내","15일 이후"))))))))</f>
        <v/>
      </c>
      <c r="O39" s="0" t="str">
        <f aca="false">IF(AND(COUNTA($A39:$J39)&gt;0,OR(클레임조회!$C$4="",AND(ISNUMBER($B39),$B39&gt;=클레임조회!$C$4)),OR(클레임조회!$C$5="",AND(ISNUMBER($B39),$B39&lt;=클레임조회!$C$5)),OR(클레임조회!$C$6="",$C39=클레임조회!$C$6),OR(클레임조회!$C$7="",$D39=클레임조회!$C$7),OR(클레임조회!$C$8="",$E39=클레임조회!$C$8),OR(클레임조회!$C$9="",$F39=클레임조회!$C$9),OR(클레임조회!$C$10="",ISNUMBER(SEARCH(클레임조회!$C$10,$C39&amp;" "&amp;$F39&amp;" "&amp;$G39&amp;" "&amp;$H39)))),COUNT(O$1:O38)+1,"")</f>
        <v/>
      </c>
      <c r="P39" s="0" t="str">
        <f aca="false">IF(AND(TRIM(C39)&lt;&gt;"",COUNTIF(C$2:C39,C39)=1),MAX(P$1:P38)+1,"")</f>
        <v/>
      </c>
      <c r="Q39" s="0" t="str">
        <f aca="false">IF(AND(TRIM(F39)&lt;&gt;"",COUNTIF(F$2:F39,F39)=1),MAX(Q$1:Q38)+1,"")</f>
        <v/>
      </c>
    </row>
    <row r="40" customFormat="false" ht="15" hidden="false" customHeight="false" outlineLevel="0" collapsed="false">
      <c r="A40" s="9"/>
      <c r="B40" s="10"/>
      <c r="C40" s="11"/>
      <c r="D40" s="11"/>
      <c r="E40" s="11"/>
      <c r="F40" s="11"/>
      <c r="G40" s="12"/>
      <c r="H40" s="12"/>
      <c r="I40" s="10"/>
      <c r="J40" s="12"/>
      <c r="K40" s="13" t="str">
        <f aca="false">IF(ISNUMBER(B40),YEAR(B40),"")</f>
        <v/>
      </c>
      <c r="L40" s="13" t="str">
        <f aca="false">IF(ISNUMBER(B40),MONTH(B40),"")</f>
        <v/>
      </c>
      <c r="M40" s="13" t="str">
        <f aca="false">IF(AND(ISNUMBER(B40),ISNUMBER(I40)),B40-I40+1,"")</f>
        <v/>
      </c>
      <c r="N40" s="14" t="str">
        <f aca="false">IF(B40="","",IF(M40="","시작일 미입력",IF(M40&lt;1,"시작일 이전(확인)",IF(M40=1,"1일째",IF(M40=2,"2일째",IF(M40=3,"3일째",IF(M40&lt;=7,"일주일 이내",IF(M40&lt;=14,"이주일 이내","15일 이후"))))))))</f>
        <v/>
      </c>
      <c r="O40" s="0" t="str">
        <f aca="false">IF(AND(COUNTA($A40:$J40)&gt;0,OR(클레임조회!$C$4="",AND(ISNUMBER($B40),$B40&gt;=클레임조회!$C$4)),OR(클레임조회!$C$5="",AND(ISNUMBER($B40),$B40&lt;=클레임조회!$C$5)),OR(클레임조회!$C$6="",$C40=클레임조회!$C$6),OR(클레임조회!$C$7="",$D40=클레임조회!$C$7),OR(클레임조회!$C$8="",$E40=클레임조회!$C$8),OR(클레임조회!$C$9="",$F40=클레임조회!$C$9),OR(클레임조회!$C$10="",ISNUMBER(SEARCH(클레임조회!$C$10,$C40&amp;" "&amp;$F40&amp;" "&amp;$G40&amp;" "&amp;$H40)))),COUNT(O$1:O39)+1,"")</f>
        <v/>
      </c>
      <c r="P40" s="0" t="str">
        <f aca="false">IF(AND(TRIM(C40)&lt;&gt;"",COUNTIF(C$2:C40,C40)=1),MAX(P$1:P39)+1,"")</f>
        <v/>
      </c>
      <c r="Q40" s="0" t="str">
        <f aca="false">IF(AND(TRIM(F40)&lt;&gt;"",COUNTIF(F$2:F40,F40)=1),MAX(Q$1:Q39)+1,"")</f>
        <v/>
      </c>
    </row>
    <row r="41" customFormat="false" ht="15" hidden="false" customHeight="false" outlineLevel="0" collapsed="false">
      <c r="A41" s="9"/>
      <c r="B41" s="10"/>
      <c r="C41" s="11"/>
      <c r="D41" s="11"/>
      <c r="E41" s="11"/>
      <c r="F41" s="11"/>
      <c r="G41" s="12"/>
      <c r="H41" s="12"/>
      <c r="I41" s="10"/>
      <c r="J41" s="12"/>
      <c r="K41" s="13" t="str">
        <f aca="false">IF(ISNUMBER(B41),YEAR(B41),"")</f>
        <v/>
      </c>
      <c r="L41" s="13" t="str">
        <f aca="false">IF(ISNUMBER(B41),MONTH(B41),"")</f>
        <v/>
      </c>
      <c r="M41" s="13" t="str">
        <f aca="false">IF(AND(ISNUMBER(B41),ISNUMBER(I41)),B41-I41+1,"")</f>
        <v/>
      </c>
      <c r="N41" s="14" t="str">
        <f aca="false">IF(B41="","",IF(M41="","시작일 미입력",IF(M41&lt;1,"시작일 이전(확인)",IF(M41=1,"1일째",IF(M41=2,"2일째",IF(M41=3,"3일째",IF(M41&lt;=7,"일주일 이내",IF(M41&lt;=14,"이주일 이내","15일 이후"))))))))</f>
        <v/>
      </c>
      <c r="O41" s="0" t="str">
        <f aca="false">IF(AND(COUNTA($A41:$J41)&gt;0,OR(클레임조회!$C$4="",AND(ISNUMBER($B41),$B41&gt;=클레임조회!$C$4)),OR(클레임조회!$C$5="",AND(ISNUMBER($B41),$B41&lt;=클레임조회!$C$5)),OR(클레임조회!$C$6="",$C41=클레임조회!$C$6),OR(클레임조회!$C$7="",$D41=클레임조회!$C$7),OR(클레임조회!$C$8="",$E41=클레임조회!$C$8),OR(클레임조회!$C$9="",$F41=클레임조회!$C$9),OR(클레임조회!$C$10="",ISNUMBER(SEARCH(클레임조회!$C$10,$C41&amp;" "&amp;$F41&amp;" "&amp;$G41&amp;" "&amp;$H41)))),COUNT(O$1:O40)+1,"")</f>
        <v/>
      </c>
      <c r="P41" s="0" t="str">
        <f aca="false">IF(AND(TRIM(C41)&lt;&gt;"",COUNTIF(C$2:C41,C41)=1),MAX(P$1:P40)+1,"")</f>
        <v/>
      </c>
      <c r="Q41" s="0" t="str">
        <f aca="false">IF(AND(TRIM(F41)&lt;&gt;"",COUNTIF(F$2:F41,F41)=1),MAX(Q$1:Q40)+1,"")</f>
        <v/>
      </c>
    </row>
    <row r="42" customFormat="false" ht="15" hidden="false" customHeight="false" outlineLevel="0" collapsed="false">
      <c r="A42" s="9"/>
      <c r="B42" s="10"/>
      <c r="C42" s="11"/>
      <c r="D42" s="11"/>
      <c r="E42" s="11"/>
      <c r="F42" s="11"/>
      <c r="G42" s="12"/>
      <c r="H42" s="12"/>
      <c r="I42" s="10"/>
      <c r="J42" s="12"/>
      <c r="K42" s="13" t="str">
        <f aca="false">IF(ISNUMBER(B42),YEAR(B42),"")</f>
        <v/>
      </c>
      <c r="L42" s="13" t="str">
        <f aca="false">IF(ISNUMBER(B42),MONTH(B42),"")</f>
        <v/>
      </c>
      <c r="M42" s="13" t="str">
        <f aca="false">IF(AND(ISNUMBER(B42),ISNUMBER(I42)),B42-I42+1,"")</f>
        <v/>
      </c>
      <c r="N42" s="14" t="str">
        <f aca="false">IF(B42="","",IF(M42="","시작일 미입력",IF(M42&lt;1,"시작일 이전(확인)",IF(M42=1,"1일째",IF(M42=2,"2일째",IF(M42=3,"3일째",IF(M42&lt;=7,"일주일 이내",IF(M42&lt;=14,"이주일 이내","15일 이후"))))))))</f>
        <v/>
      </c>
      <c r="O42" s="0" t="str">
        <f aca="false">IF(AND(COUNTA($A42:$J42)&gt;0,OR(클레임조회!$C$4="",AND(ISNUMBER($B42),$B42&gt;=클레임조회!$C$4)),OR(클레임조회!$C$5="",AND(ISNUMBER($B42),$B42&lt;=클레임조회!$C$5)),OR(클레임조회!$C$6="",$C42=클레임조회!$C$6),OR(클레임조회!$C$7="",$D42=클레임조회!$C$7),OR(클레임조회!$C$8="",$E42=클레임조회!$C$8),OR(클레임조회!$C$9="",$F42=클레임조회!$C$9),OR(클레임조회!$C$10="",ISNUMBER(SEARCH(클레임조회!$C$10,$C42&amp;" "&amp;$F42&amp;" "&amp;$G42&amp;" "&amp;$H42)))),COUNT(O$1:O41)+1,"")</f>
        <v/>
      </c>
      <c r="P42" s="0" t="str">
        <f aca="false">IF(AND(TRIM(C42)&lt;&gt;"",COUNTIF(C$2:C42,C42)=1),MAX(P$1:P41)+1,"")</f>
        <v/>
      </c>
      <c r="Q42" s="0" t="str">
        <f aca="false">IF(AND(TRIM(F42)&lt;&gt;"",COUNTIF(F$2:F42,F42)=1),MAX(Q$1:Q41)+1,"")</f>
        <v/>
      </c>
    </row>
    <row r="43" customFormat="false" ht="15" hidden="false" customHeight="false" outlineLevel="0" collapsed="false">
      <c r="A43" s="9"/>
      <c r="B43" s="10"/>
      <c r="C43" s="11"/>
      <c r="D43" s="11"/>
      <c r="E43" s="11"/>
      <c r="F43" s="11"/>
      <c r="G43" s="12"/>
      <c r="H43" s="12"/>
      <c r="I43" s="10"/>
      <c r="J43" s="12"/>
      <c r="K43" s="13" t="str">
        <f aca="false">IF(ISNUMBER(B43),YEAR(B43),"")</f>
        <v/>
      </c>
      <c r="L43" s="13" t="str">
        <f aca="false">IF(ISNUMBER(B43),MONTH(B43),"")</f>
        <v/>
      </c>
      <c r="M43" s="13" t="str">
        <f aca="false">IF(AND(ISNUMBER(B43),ISNUMBER(I43)),B43-I43+1,"")</f>
        <v/>
      </c>
      <c r="N43" s="14" t="str">
        <f aca="false">IF(B43="","",IF(M43="","시작일 미입력",IF(M43&lt;1,"시작일 이전(확인)",IF(M43=1,"1일째",IF(M43=2,"2일째",IF(M43=3,"3일째",IF(M43&lt;=7,"일주일 이내",IF(M43&lt;=14,"이주일 이내","15일 이후"))))))))</f>
        <v/>
      </c>
      <c r="O43" s="0" t="str">
        <f aca="false">IF(AND(COUNTA($A43:$J43)&gt;0,OR(클레임조회!$C$4="",AND(ISNUMBER($B43),$B43&gt;=클레임조회!$C$4)),OR(클레임조회!$C$5="",AND(ISNUMBER($B43),$B43&lt;=클레임조회!$C$5)),OR(클레임조회!$C$6="",$C43=클레임조회!$C$6),OR(클레임조회!$C$7="",$D43=클레임조회!$C$7),OR(클레임조회!$C$8="",$E43=클레임조회!$C$8),OR(클레임조회!$C$9="",$F43=클레임조회!$C$9),OR(클레임조회!$C$10="",ISNUMBER(SEARCH(클레임조회!$C$10,$C43&amp;" "&amp;$F43&amp;" "&amp;$G43&amp;" "&amp;$H43)))),COUNT(O$1:O42)+1,"")</f>
        <v/>
      </c>
      <c r="P43" s="0" t="str">
        <f aca="false">IF(AND(TRIM(C43)&lt;&gt;"",COUNTIF(C$2:C43,C43)=1),MAX(P$1:P42)+1,"")</f>
        <v/>
      </c>
      <c r="Q43" s="0" t="str">
        <f aca="false">IF(AND(TRIM(F43)&lt;&gt;"",COUNTIF(F$2:F43,F43)=1),MAX(Q$1:Q42)+1,"")</f>
        <v/>
      </c>
    </row>
    <row r="44" customFormat="false" ht="15" hidden="false" customHeight="false" outlineLevel="0" collapsed="false">
      <c r="A44" s="9"/>
      <c r="B44" s="10"/>
      <c r="C44" s="11"/>
      <c r="D44" s="11"/>
      <c r="E44" s="11"/>
      <c r="F44" s="11"/>
      <c r="G44" s="12"/>
      <c r="H44" s="12"/>
      <c r="I44" s="10"/>
      <c r="J44" s="12"/>
      <c r="K44" s="13" t="str">
        <f aca="false">IF(ISNUMBER(B44),YEAR(B44),"")</f>
        <v/>
      </c>
      <c r="L44" s="13" t="str">
        <f aca="false">IF(ISNUMBER(B44),MONTH(B44),"")</f>
        <v/>
      </c>
      <c r="M44" s="13" t="str">
        <f aca="false">IF(AND(ISNUMBER(B44),ISNUMBER(I44)),B44-I44+1,"")</f>
        <v/>
      </c>
      <c r="N44" s="14" t="str">
        <f aca="false">IF(B44="","",IF(M44="","시작일 미입력",IF(M44&lt;1,"시작일 이전(확인)",IF(M44=1,"1일째",IF(M44=2,"2일째",IF(M44=3,"3일째",IF(M44&lt;=7,"일주일 이내",IF(M44&lt;=14,"이주일 이내","15일 이후"))))))))</f>
        <v/>
      </c>
      <c r="O44" s="0" t="str">
        <f aca="false">IF(AND(COUNTA($A44:$J44)&gt;0,OR(클레임조회!$C$4="",AND(ISNUMBER($B44),$B44&gt;=클레임조회!$C$4)),OR(클레임조회!$C$5="",AND(ISNUMBER($B44),$B44&lt;=클레임조회!$C$5)),OR(클레임조회!$C$6="",$C44=클레임조회!$C$6),OR(클레임조회!$C$7="",$D44=클레임조회!$C$7),OR(클레임조회!$C$8="",$E44=클레임조회!$C$8),OR(클레임조회!$C$9="",$F44=클레임조회!$C$9),OR(클레임조회!$C$10="",ISNUMBER(SEARCH(클레임조회!$C$10,$C44&amp;" "&amp;$F44&amp;" "&amp;$G44&amp;" "&amp;$H44)))),COUNT(O$1:O43)+1,"")</f>
        <v/>
      </c>
      <c r="P44" s="0" t="str">
        <f aca="false">IF(AND(TRIM(C44)&lt;&gt;"",COUNTIF(C$2:C44,C44)=1),MAX(P$1:P43)+1,"")</f>
        <v/>
      </c>
      <c r="Q44" s="0" t="str">
        <f aca="false">IF(AND(TRIM(F44)&lt;&gt;"",COUNTIF(F$2:F44,F44)=1),MAX(Q$1:Q43)+1,"")</f>
        <v/>
      </c>
    </row>
    <row r="45" customFormat="false" ht="15" hidden="false" customHeight="false" outlineLevel="0" collapsed="false">
      <c r="A45" s="9"/>
      <c r="B45" s="10"/>
      <c r="C45" s="11"/>
      <c r="D45" s="11"/>
      <c r="E45" s="11"/>
      <c r="F45" s="11"/>
      <c r="G45" s="12"/>
      <c r="H45" s="12"/>
      <c r="I45" s="10"/>
      <c r="J45" s="12"/>
      <c r="K45" s="13" t="str">
        <f aca="false">IF(ISNUMBER(B45),YEAR(B45),"")</f>
        <v/>
      </c>
      <c r="L45" s="13" t="str">
        <f aca="false">IF(ISNUMBER(B45),MONTH(B45),"")</f>
        <v/>
      </c>
      <c r="M45" s="13" t="str">
        <f aca="false">IF(AND(ISNUMBER(B45),ISNUMBER(I45)),B45-I45+1,"")</f>
        <v/>
      </c>
      <c r="N45" s="14" t="str">
        <f aca="false">IF(B45="","",IF(M45="","시작일 미입력",IF(M45&lt;1,"시작일 이전(확인)",IF(M45=1,"1일째",IF(M45=2,"2일째",IF(M45=3,"3일째",IF(M45&lt;=7,"일주일 이내",IF(M45&lt;=14,"이주일 이내","15일 이후"))))))))</f>
        <v/>
      </c>
      <c r="O45" s="0" t="str">
        <f aca="false">IF(AND(COUNTA($A45:$J45)&gt;0,OR(클레임조회!$C$4="",AND(ISNUMBER($B45),$B45&gt;=클레임조회!$C$4)),OR(클레임조회!$C$5="",AND(ISNUMBER($B45),$B45&lt;=클레임조회!$C$5)),OR(클레임조회!$C$6="",$C45=클레임조회!$C$6),OR(클레임조회!$C$7="",$D45=클레임조회!$C$7),OR(클레임조회!$C$8="",$E45=클레임조회!$C$8),OR(클레임조회!$C$9="",$F45=클레임조회!$C$9),OR(클레임조회!$C$10="",ISNUMBER(SEARCH(클레임조회!$C$10,$C45&amp;" "&amp;$F45&amp;" "&amp;$G45&amp;" "&amp;$H45)))),COUNT(O$1:O44)+1,"")</f>
        <v/>
      </c>
      <c r="P45" s="0" t="str">
        <f aca="false">IF(AND(TRIM(C45)&lt;&gt;"",COUNTIF(C$2:C45,C45)=1),MAX(P$1:P44)+1,"")</f>
        <v/>
      </c>
      <c r="Q45" s="0" t="str">
        <f aca="false">IF(AND(TRIM(F45)&lt;&gt;"",COUNTIF(F$2:F45,F45)=1),MAX(Q$1:Q44)+1,"")</f>
        <v/>
      </c>
    </row>
    <row r="46" customFormat="false" ht="15" hidden="false" customHeight="false" outlineLevel="0" collapsed="false">
      <c r="A46" s="9"/>
      <c r="B46" s="10"/>
      <c r="C46" s="11"/>
      <c r="D46" s="11"/>
      <c r="E46" s="11"/>
      <c r="F46" s="11"/>
      <c r="G46" s="12"/>
      <c r="H46" s="12"/>
      <c r="I46" s="10"/>
      <c r="J46" s="12"/>
      <c r="K46" s="13" t="str">
        <f aca="false">IF(ISNUMBER(B46),YEAR(B46),"")</f>
        <v/>
      </c>
      <c r="L46" s="13" t="str">
        <f aca="false">IF(ISNUMBER(B46),MONTH(B46),"")</f>
        <v/>
      </c>
      <c r="M46" s="13" t="str">
        <f aca="false">IF(AND(ISNUMBER(B46),ISNUMBER(I46)),B46-I46+1,"")</f>
        <v/>
      </c>
      <c r="N46" s="14" t="str">
        <f aca="false">IF(B46="","",IF(M46="","시작일 미입력",IF(M46&lt;1,"시작일 이전(확인)",IF(M46=1,"1일째",IF(M46=2,"2일째",IF(M46=3,"3일째",IF(M46&lt;=7,"일주일 이내",IF(M46&lt;=14,"이주일 이내","15일 이후"))))))))</f>
        <v/>
      </c>
      <c r="O46" s="0" t="str">
        <f aca="false">IF(AND(COUNTA($A46:$J46)&gt;0,OR(클레임조회!$C$4="",AND(ISNUMBER($B46),$B46&gt;=클레임조회!$C$4)),OR(클레임조회!$C$5="",AND(ISNUMBER($B46),$B46&lt;=클레임조회!$C$5)),OR(클레임조회!$C$6="",$C46=클레임조회!$C$6),OR(클레임조회!$C$7="",$D46=클레임조회!$C$7),OR(클레임조회!$C$8="",$E46=클레임조회!$C$8),OR(클레임조회!$C$9="",$F46=클레임조회!$C$9),OR(클레임조회!$C$10="",ISNUMBER(SEARCH(클레임조회!$C$10,$C46&amp;" "&amp;$F46&amp;" "&amp;$G46&amp;" "&amp;$H46)))),COUNT(O$1:O45)+1,"")</f>
        <v/>
      </c>
      <c r="P46" s="0" t="str">
        <f aca="false">IF(AND(TRIM(C46)&lt;&gt;"",COUNTIF(C$2:C46,C46)=1),MAX(P$1:P45)+1,"")</f>
        <v/>
      </c>
      <c r="Q46" s="0" t="str">
        <f aca="false">IF(AND(TRIM(F46)&lt;&gt;"",COUNTIF(F$2:F46,F46)=1),MAX(Q$1:Q45)+1,"")</f>
        <v/>
      </c>
    </row>
    <row r="47" customFormat="false" ht="15" hidden="false" customHeight="false" outlineLevel="0" collapsed="false">
      <c r="A47" s="9"/>
      <c r="B47" s="10"/>
      <c r="C47" s="11"/>
      <c r="D47" s="11"/>
      <c r="E47" s="11"/>
      <c r="F47" s="11"/>
      <c r="G47" s="12"/>
      <c r="H47" s="12"/>
      <c r="I47" s="10"/>
      <c r="J47" s="12"/>
      <c r="K47" s="13" t="str">
        <f aca="false">IF(ISNUMBER(B47),YEAR(B47),"")</f>
        <v/>
      </c>
      <c r="L47" s="13" t="str">
        <f aca="false">IF(ISNUMBER(B47),MONTH(B47),"")</f>
        <v/>
      </c>
      <c r="M47" s="13" t="str">
        <f aca="false">IF(AND(ISNUMBER(B47),ISNUMBER(I47)),B47-I47+1,"")</f>
        <v/>
      </c>
      <c r="N47" s="14" t="str">
        <f aca="false">IF(B47="","",IF(M47="","시작일 미입력",IF(M47&lt;1,"시작일 이전(확인)",IF(M47=1,"1일째",IF(M47=2,"2일째",IF(M47=3,"3일째",IF(M47&lt;=7,"일주일 이내",IF(M47&lt;=14,"이주일 이내","15일 이후"))))))))</f>
        <v/>
      </c>
      <c r="O47" s="0" t="str">
        <f aca="false">IF(AND(COUNTA($A47:$J47)&gt;0,OR(클레임조회!$C$4="",AND(ISNUMBER($B47),$B47&gt;=클레임조회!$C$4)),OR(클레임조회!$C$5="",AND(ISNUMBER($B47),$B47&lt;=클레임조회!$C$5)),OR(클레임조회!$C$6="",$C47=클레임조회!$C$6),OR(클레임조회!$C$7="",$D47=클레임조회!$C$7),OR(클레임조회!$C$8="",$E47=클레임조회!$C$8),OR(클레임조회!$C$9="",$F47=클레임조회!$C$9),OR(클레임조회!$C$10="",ISNUMBER(SEARCH(클레임조회!$C$10,$C47&amp;" "&amp;$F47&amp;" "&amp;$G47&amp;" "&amp;$H47)))),COUNT(O$1:O46)+1,"")</f>
        <v/>
      </c>
      <c r="P47" s="0" t="str">
        <f aca="false">IF(AND(TRIM(C47)&lt;&gt;"",COUNTIF(C$2:C47,C47)=1),MAX(P$1:P46)+1,"")</f>
        <v/>
      </c>
      <c r="Q47" s="0" t="str">
        <f aca="false">IF(AND(TRIM(F47)&lt;&gt;"",COUNTIF(F$2:F47,F47)=1),MAX(Q$1:Q46)+1,"")</f>
        <v/>
      </c>
    </row>
    <row r="48" customFormat="false" ht="15" hidden="false" customHeight="false" outlineLevel="0" collapsed="false">
      <c r="A48" s="9"/>
      <c r="B48" s="10"/>
      <c r="C48" s="11"/>
      <c r="D48" s="11"/>
      <c r="E48" s="11"/>
      <c r="F48" s="11"/>
      <c r="G48" s="12"/>
      <c r="H48" s="12"/>
      <c r="I48" s="10"/>
      <c r="J48" s="12"/>
      <c r="K48" s="13" t="str">
        <f aca="false">IF(ISNUMBER(B48),YEAR(B48),"")</f>
        <v/>
      </c>
      <c r="L48" s="13" t="str">
        <f aca="false">IF(ISNUMBER(B48),MONTH(B48),"")</f>
        <v/>
      </c>
      <c r="M48" s="13" t="str">
        <f aca="false">IF(AND(ISNUMBER(B48),ISNUMBER(I48)),B48-I48+1,"")</f>
        <v/>
      </c>
      <c r="N48" s="14" t="str">
        <f aca="false">IF(B48="","",IF(M48="","시작일 미입력",IF(M48&lt;1,"시작일 이전(확인)",IF(M48=1,"1일째",IF(M48=2,"2일째",IF(M48=3,"3일째",IF(M48&lt;=7,"일주일 이내",IF(M48&lt;=14,"이주일 이내","15일 이후"))))))))</f>
        <v/>
      </c>
      <c r="O48" s="0" t="str">
        <f aca="false">IF(AND(COUNTA($A48:$J48)&gt;0,OR(클레임조회!$C$4="",AND(ISNUMBER($B48),$B48&gt;=클레임조회!$C$4)),OR(클레임조회!$C$5="",AND(ISNUMBER($B48),$B48&lt;=클레임조회!$C$5)),OR(클레임조회!$C$6="",$C48=클레임조회!$C$6),OR(클레임조회!$C$7="",$D48=클레임조회!$C$7),OR(클레임조회!$C$8="",$E48=클레임조회!$C$8),OR(클레임조회!$C$9="",$F48=클레임조회!$C$9),OR(클레임조회!$C$10="",ISNUMBER(SEARCH(클레임조회!$C$10,$C48&amp;" "&amp;$F48&amp;" "&amp;$G48&amp;" "&amp;$H48)))),COUNT(O$1:O47)+1,"")</f>
        <v/>
      </c>
      <c r="P48" s="0" t="str">
        <f aca="false">IF(AND(TRIM(C48)&lt;&gt;"",COUNTIF(C$2:C48,C48)=1),MAX(P$1:P47)+1,"")</f>
        <v/>
      </c>
      <c r="Q48" s="0" t="str">
        <f aca="false">IF(AND(TRIM(F48)&lt;&gt;"",COUNTIF(F$2:F48,F48)=1),MAX(Q$1:Q47)+1,"")</f>
        <v/>
      </c>
    </row>
    <row r="49" customFormat="false" ht="15" hidden="false" customHeight="false" outlineLevel="0" collapsed="false">
      <c r="A49" s="9"/>
      <c r="B49" s="10"/>
      <c r="C49" s="11"/>
      <c r="D49" s="11"/>
      <c r="E49" s="11"/>
      <c r="F49" s="11"/>
      <c r="G49" s="12"/>
      <c r="H49" s="12"/>
      <c r="I49" s="10"/>
      <c r="J49" s="12"/>
      <c r="K49" s="13" t="str">
        <f aca="false">IF(ISNUMBER(B49),YEAR(B49),"")</f>
        <v/>
      </c>
      <c r="L49" s="13" t="str">
        <f aca="false">IF(ISNUMBER(B49),MONTH(B49),"")</f>
        <v/>
      </c>
      <c r="M49" s="13" t="str">
        <f aca="false">IF(AND(ISNUMBER(B49),ISNUMBER(I49)),B49-I49+1,"")</f>
        <v/>
      </c>
      <c r="N49" s="14" t="str">
        <f aca="false">IF(B49="","",IF(M49="","시작일 미입력",IF(M49&lt;1,"시작일 이전(확인)",IF(M49=1,"1일째",IF(M49=2,"2일째",IF(M49=3,"3일째",IF(M49&lt;=7,"일주일 이내",IF(M49&lt;=14,"이주일 이내","15일 이후"))))))))</f>
        <v/>
      </c>
      <c r="O49" s="0" t="str">
        <f aca="false">IF(AND(COUNTA($A49:$J49)&gt;0,OR(클레임조회!$C$4="",AND(ISNUMBER($B49),$B49&gt;=클레임조회!$C$4)),OR(클레임조회!$C$5="",AND(ISNUMBER($B49),$B49&lt;=클레임조회!$C$5)),OR(클레임조회!$C$6="",$C49=클레임조회!$C$6),OR(클레임조회!$C$7="",$D49=클레임조회!$C$7),OR(클레임조회!$C$8="",$E49=클레임조회!$C$8),OR(클레임조회!$C$9="",$F49=클레임조회!$C$9),OR(클레임조회!$C$10="",ISNUMBER(SEARCH(클레임조회!$C$10,$C49&amp;" "&amp;$F49&amp;" "&amp;$G49&amp;" "&amp;$H49)))),COUNT(O$1:O48)+1,"")</f>
        <v/>
      </c>
      <c r="P49" s="0" t="str">
        <f aca="false">IF(AND(TRIM(C49)&lt;&gt;"",COUNTIF(C$2:C49,C49)=1),MAX(P$1:P48)+1,"")</f>
        <v/>
      </c>
      <c r="Q49" s="0" t="str">
        <f aca="false">IF(AND(TRIM(F49)&lt;&gt;"",COUNTIF(F$2:F49,F49)=1),MAX(Q$1:Q48)+1,"")</f>
        <v/>
      </c>
    </row>
    <row r="50" customFormat="false" ht="15" hidden="false" customHeight="false" outlineLevel="0" collapsed="false">
      <c r="A50" s="9"/>
      <c r="B50" s="10"/>
      <c r="C50" s="11"/>
      <c r="D50" s="11"/>
      <c r="E50" s="11"/>
      <c r="F50" s="11"/>
      <c r="G50" s="12"/>
      <c r="H50" s="12"/>
      <c r="I50" s="10"/>
      <c r="J50" s="12"/>
      <c r="K50" s="13" t="str">
        <f aca="false">IF(ISNUMBER(B50),YEAR(B50),"")</f>
        <v/>
      </c>
      <c r="L50" s="13" t="str">
        <f aca="false">IF(ISNUMBER(B50),MONTH(B50),"")</f>
        <v/>
      </c>
      <c r="M50" s="13" t="str">
        <f aca="false">IF(AND(ISNUMBER(B50),ISNUMBER(I50)),B50-I50+1,"")</f>
        <v/>
      </c>
      <c r="N50" s="14" t="str">
        <f aca="false">IF(B50="","",IF(M50="","시작일 미입력",IF(M50&lt;1,"시작일 이전(확인)",IF(M50=1,"1일째",IF(M50=2,"2일째",IF(M50=3,"3일째",IF(M50&lt;=7,"일주일 이내",IF(M50&lt;=14,"이주일 이내","15일 이후"))))))))</f>
        <v/>
      </c>
      <c r="O50" s="0" t="str">
        <f aca="false">IF(AND(COUNTA($A50:$J50)&gt;0,OR(클레임조회!$C$4="",AND(ISNUMBER($B50),$B50&gt;=클레임조회!$C$4)),OR(클레임조회!$C$5="",AND(ISNUMBER($B50),$B50&lt;=클레임조회!$C$5)),OR(클레임조회!$C$6="",$C50=클레임조회!$C$6),OR(클레임조회!$C$7="",$D50=클레임조회!$C$7),OR(클레임조회!$C$8="",$E50=클레임조회!$C$8),OR(클레임조회!$C$9="",$F50=클레임조회!$C$9),OR(클레임조회!$C$10="",ISNUMBER(SEARCH(클레임조회!$C$10,$C50&amp;" "&amp;$F50&amp;" "&amp;$G50&amp;" "&amp;$H50)))),COUNT(O$1:O49)+1,"")</f>
        <v/>
      </c>
      <c r="P50" s="0" t="str">
        <f aca="false">IF(AND(TRIM(C50)&lt;&gt;"",COUNTIF(C$2:C50,C50)=1),MAX(P$1:P49)+1,"")</f>
        <v/>
      </c>
      <c r="Q50" s="0" t="str">
        <f aca="false">IF(AND(TRIM(F50)&lt;&gt;"",COUNTIF(F$2:F50,F50)=1),MAX(Q$1:Q49)+1,"")</f>
        <v/>
      </c>
    </row>
    <row r="51" customFormat="false" ht="15" hidden="false" customHeight="false" outlineLevel="0" collapsed="false">
      <c r="A51" s="9"/>
      <c r="B51" s="10"/>
      <c r="C51" s="11"/>
      <c r="D51" s="11"/>
      <c r="E51" s="11"/>
      <c r="F51" s="11"/>
      <c r="G51" s="12"/>
      <c r="H51" s="12"/>
      <c r="I51" s="10"/>
      <c r="J51" s="12"/>
      <c r="K51" s="13" t="str">
        <f aca="false">IF(ISNUMBER(B51),YEAR(B51),"")</f>
        <v/>
      </c>
      <c r="L51" s="13" t="str">
        <f aca="false">IF(ISNUMBER(B51),MONTH(B51),"")</f>
        <v/>
      </c>
      <c r="M51" s="13" t="str">
        <f aca="false">IF(AND(ISNUMBER(B51),ISNUMBER(I51)),B51-I51+1,"")</f>
        <v/>
      </c>
      <c r="N51" s="14" t="str">
        <f aca="false">IF(B51="","",IF(M51="","시작일 미입력",IF(M51&lt;1,"시작일 이전(확인)",IF(M51=1,"1일째",IF(M51=2,"2일째",IF(M51=3,"3일째",IF(M51&lt;=7,"일주일 이내",IF(M51&lt;=14,"이주일 이내","15일 이후"))))))))</f>
        <v/>
      </c>
      <c r="O51" s="0" t="str">
        <f aca="false">IF(AND(COUNTA($A51:$J51)&gt;0,OR(클레임조회!$C$4="",AND(ISNUMBER($B51),$B51&gt;=클레임조회!$C$4)),OR(클레임조회!$C$5="",AND(ISNUMBER($B51),$B51&lt;=클레임조회!$C$5)),OR(클레임조회!$C$6="",$C51=클레임조회!$C$6),OR(클레임조회!$C$7="",$D51=클레임조회!$C$7),OR(클레임조회!$C$8="",$E51=클레임조회!$C$8),OR(클레임조회!$C$9="",$F51=클레임조회!$C$9),OR(클레임조회!$C$10="",ISNUMBER(SEARCH(클레임조회!$C$10,$C51&amp;" "&amp;$F51&amp;" "&amp;$G51&amp;" "&amp;$H51)))),COUNT(O$1:O50)+1,"")</f>
        <v/>
      </c>
      <c r="P51" s="0" t="str">
        <f aca="false">IF(AND(TRIM(C51)&lt;&gt;"",COUNTIF(C$2:C51,C51)=1),MAX(P$1:P50)+1,"")</f>
        <v/>
      </c>
      <c r="Q51" s="0" t="str">
        <f aca="false">IF(AND(TRIM(F51)&lt;&gt;"",COUNTIF(F$2:F51,F51)=1),MAX(Q$1:Q50)+1,"")</f>
        <v/>
      </c>
    </row>
    <row r="52" customFormat="false" ht="15" hidden="false" customHeight="false" outlineLevel="0" collapsed="false">
      <c r="A52" s="9"/>
      <c r="B52" s="10"/>
      <c r="C52" s="11"/>
      <c r="D52" s="11"/>
      <c r="E52" s="11"/>
      <c r="F52" s="11"/>
      <c r="G52" s="12"/>
      <c r="H52" s="12"/>
      <c r="I52" s="10"/>
      <c r="J52" s="12"/>
      <c r="K52" s="13" t="str">
        <f aca="false">IF(ISNUMBER(B52),YEAR(B52),"")</f>
        <v/>
      </c>
      <c r="L52" s="13" t="str">
        <f aca="false">IF(ISNUMBER(B52),MONTH(B52),"")</f>
        <v/>
      </c>
      <c r="M52" s="13" t="str">
        <f aca="false">IF(AND(ISNUMBER(B52),ISNUMBER(I52)),B52-I52+1,"")</f>
        <v/>
      </c>
      <c r="N52" s="14" t="str">
        <f aca="false">IF(B52="","",IF(M52="","시작일 미입력",IF(M52&lt;1,"시작일 이전(확인)",IF(M52=1,"1일째",IF(M52=2,"2일째",IF(M52=3,"3일째",IF(M52&lt;=7,"일주일 이내",IF(M52&lt;=14,"이주일 이내","15일 이후"))))))))</f>
        <v/>
      </c>
      <c r="O52" s="0" t="str">
        <f aca="false">IF(AND(COUNTA($A52:$J52)&gt;0,OR(클레임조회!$C$4="",AND(ISNUMBER($B52),$B52&gt;=클레임조회!$C$4)),OR(클레임조회!$C$5="",AND(ISNUMBER($B52),$B52&lt;=클레임조회!$C$5)),OR(클레임조회!$C$6="",$C52=클레임조회!$C$6),OR(클레임조회!$C$7="",$D52=클레임조회!$C$7),OR(클레임조회!$C$8="",$E52=클레임조회!$C$8),OR(클레임조회!$C$9="",$F52=클레임조회!$C$9),OR(클레임조회!$C$10="",ISNUMBER(SEARCH(클레임조회!$C$10,$C52&amp;" "&amp;$F52&amp;" "&amp;$G52&amp;" "&amp;$H52)))),COUNT(O$1:O51)+1,"")</f>
        <v/>
      </c>
      <c r="P52" s="0" t="str">
        <f aca="false">IF(AND(TRIM(C52)&lt;&gt;"",COUNTIF(C$2:C52,C52)=1),MAX(P$1:P51)+1,"")</f>
        <v/>
      </c>
      <c r="Q52" s="0" t="str">
        <f aca="false">IF(AND(TRIM(F52)&lt;&gt;"",COUNTIF(F$2:F52,F52)=1),MAX(Q$1:Q51)+1,"")</f>
        <v/>
      </c>
    </row>
    <row r="53" customFormat="false" ht="15" hidden="false" customHeight="false" outlineLevel="0" collapsed="false">
      <c r="A53" s="9"/>
      <c r="B53" s="10"/>
      <c r="C53" s="11"/>
      <c r="D53" s="11"/>
      <c r="E53" s="11"/>
      <c r="F53" s="11"/>
      <c r="G53" s="12"/>
      <c r="H53" s="12"/>
      <c r="I53" s="10"/>
      <c r="J53" s="12"/>
      <c r="K53" s="13" t="str">
        <f aca="false">IF(ISNUMBER(B53),YEAR(B53),"")</f>
        <v/>
      </c>
      <c r="L53" s="13" t="str">
        <f aca="false">IF(ISNUMBER(B53),MONTH(B53),"")</f>
        <v/>
      </c>
      <c r="M53" s="13" t="str">
        <f aca="false">IF(AND(ISNUMBER(B53),ISNUMBER(I53)),B53-I53+1,"")</f>
        <v/>
      </c>
      <c r="N53" s="14" t="str">
        <f aca="false">IF(B53="","",IF(M53="","시작일 미입력",IF(M53&lt;1,"시작일 이전(확인)",IF(M53=1,"1일째",IF(M53=2,"2일째",IF(M53=3,"3일째",IF(M53&lt;=7,"일주일 이내",IF(M53&lt;=14,"이주일 이내","15일 이후"))))))))</f>
        <v/>
      </c>
      <c r="O53" s="0" t="str">
        <f aca="false">IF(AND(COUNTA($A53:$J53)&gt;0,OR(클레임조회!$C$4="",AND(ISNUMBER($B53),$B53&gt;=클레임조회!$C$4)),OR(클레임조회!$C$5="",AND(ISNUMBER($B53),$B53&lt;=클레임조회!$C$5)),OR(클레임조회!$C$6="",$C53=클레임조회!$C$6),OR(클레임조회!$C$7="",$D53=클레임조회!$C$7),OR(클레임조회!$C$8="",$E53=클레임조회!$C$8),OR(클레임조회!$C$9="",$F53=클레임조회!$C$9),OR(클레임조회!$C$10="",ISNUMBER(SEARCH(클레임조회!$C$10,$C53&amp;" "&amp;$F53&amp;" "&amp;$G53&amp;" "&amp;$H53)))),COUNT(O$1:O52)+1,"")</f>
        <v/>
      </c>
      <c r="P53" s="0" t="str">
        <f aca="false">IF(AND(TRIM(C53)&lt;&gt;"",COUNTIF(C$2:C53,C53)=1),MAX(P$1:P52)+1,"")</f>
        <v/>
      </c>
      <c r="Q53" s="0" t="str">
        <f aca="false">IF(AND(TRIM(F53)&lt;&gt;"",COUNTIF(F$2:F53,F53)=1),MAX(Q$1:Q52)+1,"")</f>
        <v/>
      </c>
    </row>
    <row r="54" customFormat="false" ht="15" hidden="false" customHeight="false" outlineLevel="0" collapsed="false">
      <c r="A54" s="9"/>
      <c r="B54" s="10"/>
      <c r="C54" s="11"/>
      <c r="D54" s="11"/>
      <c r="E54" s="11"/>
      <c r="F54" s="11"/>
      <c r="G54" s="12"/>
      <c r="H54" s="12"/>
      <c r="I54" s="10"/>
      <c r="J54" s="12"/>
      <c r="K54" s="13" t="str">
        <f aca="false">IF(ISNUMBER(B54),YEAR(B54),"")</f>
        <v/>
      </c>
      <c r="L54" s="13" t="str">
        <f aca="false">IF(ISNUMBER(B54),MONTH(B54),"")</f>
        <v/>
      </c>
      <c r="M54" s="13" t="str">
        <f aca="false">IF(AND(ISNUMBER(B54),ISNUMBER(I54)),B54-I54+1,"")</f>
        <v/>
      </c>
      <c r="N54" s="14" t="str">
        <f aca="false">IF(B54="","",IF(M54="","시작일 미입력",IF(M54&lt;1,"시작일 이전(확인)",IF(M54=1,"1일째",IF(M54=2,"2일째",IF(M54=3,"3일째",IF(M54&lt;=7,"일주일 이내",IF(M54&lt;=14,"이주일 이내","15일 이후"))))))))</f>
        <v/>
      </c>
      <c r="O54" s="0" t="str">
        <f aca="false">IF(AND(COUNTA($A54:$J54)&gt;0,OR(클레임조회!$C$4="",AND(ISNUMBER($B54),$B54&gt;=클레임조회!$C$4)),OR(클레임조회!$C$5="",AND(ISNUMBER($B54),$B54&lt;=클레임조회!$C$5)),OR(클레임조회!$C$6="",$C54=클레임조회!$C$6),OR(클레임조회!$C$7="",$D54=클레임조회!$C$7),OR(클레임조회!$C$8="",$E54=클레임조회!$C$8),OR(클레임조회!$C$9="",$F54=클레임조회!$C$9),OR(클레임조회!$C$10="",ISNUMBER(SEARCH(클레임조회!$C$10,$C54&amp;" "&amp;$F54&amp;" "&amp;$G54&amp;" "&amp;$H54)))),COUNT(O$1:O53)+1,"")</f>
        <v/>
      </c>
      <c r="P54" s="0" t="str">
        <f aca="false">IF(AND(TRIM(C54)&lt;&gt;"",COUNTIF(C$2:C54,C54)=1),MAX(P$1:P53)+1,"")</f>
        <v/>
      </c>
      <c r="Q54" s="0" t="str">
        <f aca="false">IF(AND(TRIM(F54)&lt;&gt;"",COUNTIF(F$2:F54,F54)=1),MAX(Q$1:Q53)+1,"")</f>
        <v/>
      </c>
    </row>
    <row r="55" customFormat="false" ht="15" hidden="false" customHeight="false" outlineLevel="0" collapsed="false">
      <c r="A55" s="9"/>
      <c r="B55" s="10"/>
      <c r="C55" s="11"/>
      <c r="D55" s="11"/>
      <c r="E55" s="11"/>
      <c r="F55" s="11"/>
      <c r="G55" s="12"/>
      <c r="H55" s="12"/>
      <c r="I55" s="10"/>
      <c r="J55" s="12"/>
      <c r="K55" s="13" t="str">
        <f aca="false">IF(ISNUMBER(B55),YEAR(B55),"")</f>
        <v/>
      </c>
      <c r="L55" s="13" t="str">
        <f aca="false">IF(ISNUMBER(B55),MONTH(B55),"")</f>
        <v/>
      </c>
      <c r="M55" s="13" t="str">
        <f aca="false">IF(AND(ISNUMBER(B55),ISNUMBER(I55)),B55-I55+1,"")</f>
        <v/>
      </c>
      <c r="N55" s="14" t="str">
        <f aca="false">IF(B55="","",IF(M55="","시작일 미입력",IF(M55&lt;1,"시작일 이전(확인)",IF(M55=1,"1일째",IF(M55=2,"2일째",IF(M55=3,"3일째",IF(M55&lt;=7,"일주일 이내",IF(M55&lt;=14,"이주일 이내","15일 이후"))))))))</f>
        <v/>
      </c>
      <c r="O55" s="0" t="str">
        <f aca="false">IF(AND(COUNTA($A55:$J55)&gt;0,OR(클레임조회!$C$4="",AND(ISNUMBER($B55),$B55&gt;=클레임조회!$C$4)),OR(클레임조회!$C$5="",AND(ISNUMBER($B55),$B55&lt;=클레임조회!$C$5)),OR(클레임조회!$C$6="",$C55=클레임조회!$C$6),OR(클레임조회!$C$7="",$D55=클레임조회!$C$7),OR(클레임조회!$C$8="",$E55=클레임조회!$C$8),OR(클레임조회!$C$9="",$F55=클레임조회!$C$9),OR(클레임조회!$C$10="",ISNUMBER(SEARCH(클레임조회!$C$10,$C55&amp;" "&amp;$F55&amp;" "&amp;$G55&amp;" "&amp;$H55)))),COUNT(O$1:O54)+1,"")</f>
        <v/>
      </c>
      <c r="P55" s="0" t="str">
        <f aca="false">IF(AND(TRIM(C55)&lt;&gt;"",COUNTIF(C$2:C55,C55)=1),MAX(P$1:P54)+1,"")</f>
        <v/>
      </c>
      <c r="Q55" s="0" t="str">
        <f aca="false">IF(AND(TRIM(F55)&lt;&gt;"",COUNTIF(F$2:F55,F55)=1),MAX(Q$1:Q54)+1,"")</f>
        <v/>
      </c>
    </row>
    <row r="56" customFormat="false" ht="15" hidden="false" customHeight="false" outlineLevel="0" collapsed="false">
      <c r="A56" s="9"/>
      <c r="B56" s="10"/>
      <c r="C56" s="11"/>
      <c r="D56" s="11"/>
      <c r="E56" s="11"/>
      <c r="F56" s="11"/>
      <c r="G56" s="12"/>
      <c r="H56" s="12"/>
      <c r="I56" s="10"/>
      <c r="J56" s="12"/>
      <c r="K56" s="13" t="str">
        <f aca="false">IF(ISNUMBER(B56),YEAR(B56),"")</f>
        <v/>
      </c>
      <c r="L56" s="13" t="str">
        <f aca="false">IF(ISNUMBER(B56),MONTH(B56),"")</f>
        <v/>
      </c>
      <c r="M56" s="13" t="str">
        <f aca="false">IF(AND(ISNUMBER(B56),ISNUMBER(I56)),B56-I56+1,"")</f>
        <v/>
      </c>
      <c r="N56" s="14" t="str">
        <f aca="false">IF(B56="","",IF(M56="","시작일 미입력",IF(M56&lt;1,"시작일 이전(확인)",IF(M56=1,"1일째",IF(M56=2,"2일째",IF(M56=3,"3일째",IF(M56&lt;=7,"일주일 이내",IF(M56&lt;=14,"이주일 이내","15일 이후"))))))))</f>
        <v/>
      </c>
      <c r="O56" s="0" t="str">
        <f aca="false">IF(AND(COUNTA($A56:$J56)&gt;0,OR(클레임조회!$C$4="",AND(ISNUMBER($B56),$B56&gt;=클레임조회!$C$4)),OR(클레임조회!$C$5="",AND(ISNUMBER($B56),$B56&lt;=클레임조회!$C$5)),OR(클레임조회!$C$6="",$C56=클레임조회!$C$6),OR(클레임조회!$C$7="",$D56=클레임조회!$C$7),OR(클레임조회!$C$8="",$E56=클레임조회!$C$8),OR(클레임조회!$C$9="",$F56=클레임조회!$C$9),OR(클레임조회!$C$10="",ISNUMBER(SEARCH(클레임조회!$C$10,$C56&amp;" "&amp;$F56&amp;" "&amp;$G56&amp;" "&amp;$H56)))),COUNT(O$1:O55)+1,"")</f>
        <v/>
      </c>
      <c r="P56" s="0" t="str">
        <f aca="false">IF(AND(TRIM(C56)&lt;&gt;"",COUNTIF(C$2:C56,C56)=1),MAX(P$1:P55)+1,"")</f>
        <v/>
      </c>
      <c r="Q56" s="0" t="str">
        <f aca="false">IF(AND(TRIM(F56)&lt;&gt;"",COUNTIF(F$2:F56,F56)=1),MAX(Q$1:Q55)+1,"")</f>
        <v/>
      </c>
    </row>
    <row r="57" customFormat="false" ht="15" hidden="false" customHeight="false" outlineLevel="0" collapsed="false">
      <c r="A57" s="9"/>
      <c r="B57" s="10"/>
      <c r="C57" s="11"/>
      <c r="D57" s="11"/>
      <c r="E57" s="11"/>
      <c r="F57" s="11"/>
      <c r="G57" s="12"/>
      <c r="H57" s="12"/>
      <c r="I57" s="10"/>
      <c r="J57" s="12"/>
      <c r="K57" s="13" t="str">
        <f aca="false">IF(ISNUMBER(B57),YEAR(B57),"")</f>
        <v/>
      </c>
      <c r="L57" s="13" t="str">
        <f aca="false">IF(ISNUMBER(B57),MONTH(B57),"")</f>
        <v/>
      </c>
      <c r="M57" s="13" t="str">
        <f aca="false">IF(AND(ISNUMBER(B57),ISNUMBER(I57)),B57-I57+1,"")</f>
        <v/>
      </c>
      <c r="N57" s="14" t="str">
        <f aca="false">IF(B57="","",IF(M57="","시작일 미입력",IF(M57&lt;1,"시작일 이전(확인)",IF(M57=1,"1일째",IF(M57=2,"2일째",IF(M57=3,"3일째",IF(M57&lt;=7,"일주일 이내",IF(M57&lt;=14,"이주일 이내","15일 이후"))))))))</f>
        <v/>
      </c>
      <c r="O57" s="0" t="str">
        <f aca="false">IF(AND(COUNTA($A57:$J57)&gt;0,OR(클레임조회!$C$4="",AND(ISNUMBER($B57),$B57&gt;=클레임조회!$C$4)),OR(클레임조회!$C$5="",AND(ISNUMBER($B57),$B57&lt;=클레임조회!$C$5)),OR(클레임조회!$C$6="",$C57=클레임조회!$C$6),OR(클레임조회!$C$7="",$D57=클레임조회!$C$7),OR(클레임조회!$C$8="",$E57=클레임조회!$C$8),OR(클레임조회!$C$9="",$F57=클레임조회!$C$9),OR(클레임조회!$C$10="",ISNUMBER(SEARCH(클레임조회!$C$10,$C57&amp;" "&amp;$F57&amp;" "&amp;$G57&amp;" "&amp;$H57)))),COUNT(O$1:O56)+1,"")</f>
        <v/>
      </c>
      <c r="P57" s="0" t="str">
        <f aca="false">IF(AND(TRIM(C57)&lt;&gt;"",COUNTIF(C$2:C57,C57)=1),MAX(P$1:P56)+1,"")</f>
        <v/>
      </c>
      <c r="Q57" s="0" t="str">
        <f aca="false">IF(AND(TRIM(F57)&lt;&gt;"",COUNTIF(F$2:F57,F57)=1),MAX(Q$1:Q56)+1,"")</f>
        <v/>
      </c>
    </row>
    <row r="58" customFormat="false" ht="15" hidden="false" customHeight="false" outlineLevel="0" collapsed="false">
      <c r="A58" s="9"/>
      <c r="B58" s="10"/>
      <c r="C58" s="11"/>
      <c r="D58" s="11"/>
      <c r="E58" s="11"/>
      <c r="F58" s="11"/>
      <c r="G58" s="12"/>
      <c r="H58" s="12"/>
      <c r="I58" s="10"/>
      <c r="J58" s="12"/>
      <c r="K58" s="13" t="str">
        <f aca="false">IF(ISNUMBER(B58),YEAR(B58),"")</f>
        <v/>
      </c>
      <c r="L58" s="13" t="str">
        <f aca="false">IF(ISNUMBER(B58),MONTH(B58),"")</f>
        <v/>
      </c>
      <c r="M58" s="13" t="str">
        <f aca="false">IF(AND(ISNUMBER(B58),ISNUMBER(I58)),B58-I58+1,"")</f>
        <v/>
      </c>
      <c r="N58" s="14" t="str">
        <f aca="false">IF(B58="","",IF(M58="","시작일 미입력",IF(M58&lt;1,"시작일 이전(확인)",IF(M58=1,"1일째",IF(M58=2,"2일째",IF(M58=3,"3일째",IF(M58&lt;=7,"일주일 이내",IF(M58&lt;=14,"이주일 이내","15일 이후"))))))))</f>
        <v/>
      </c>
      <c r="O58" s="0" t="str">
        <f aca="false">IF(AND(COUNTA($A58:$J58)&gt;0,OR(클레임조회!$C$4="",AND(ISNUMBER($B58),$B58&gt;=클레임조회!$C$4)),OR(클레임조회!$C$5="",AND(ISNUMBER($B58),$B58&lt;=클레임조회!$C$5)),OR(클레임조회!$C$6="",$C58=클레임조회!$C$6),OR(클레임조회!$C$7="",$D58=클레임조회!$C$7),OR(클레임조회!$C$8="",$E58=클레임조회!$C$8),OR(클레임조회!$C$9="",$F58=클레임조회!$C$9),OR(클레임조회!$C$10="",ISNUMBER(SEARCH(클레임조회!$C$10,$C58&amp;" "&amp;$F58&amp;" "&amp;$G58&amp;" "&amp;$H58)))),COUNT(O$1:O57)+1,"")</f>
        <v/>
      </c>
      <c r="P58" s="0" t="str">
        <f aca="false">IF(AND(TRIM(C58)&lt;&gt;"",COUNTIF(C$2:C58,C58)=1),MAX(P$1:P57)+1,"")</f>
        <v/>
      </c>
      <c r="Q58" s="0" t="str">
        <f aca="false">IF(AND(TRIM(F58)&lt;&gt;"",COUNTIF(F$2:F58,F58)=1),MAX(Q$1:Q57)+1,"")</f>
        <v/>
      </c>
    </row>
    <row r="59" customFormat="false" ht="15" hidden="false" customHeight="false" outlineLevel="0" collapsed="false">
      <c r="A59" s="9"/>
      <c r="B59" s="10"/>
      <c r="C59" s="11"/>
      <c r="D59" s="11"/>
      <c r="E59" s="11"/>
      <c r="F59" s="11"/>
      <c r="G59" s="12"/>
      <c r="H59" s="12"/>
      <c r="I59" s="10"/>
      <c r="J59" s="12"/>
      <c r="K59" s="13" t="str">
        <f aca="false">IF(ISNUMBER(B59),YEAR(B59),"")</f>
        <v/>
      </c>
      <c r="L59" s="13" t="str">
        <f aca="false">IF(ISNUMBER(B59),MONTH(B59),"")</f>
        <v/>
      </c>
      <c r="M59" s="13" t="str">
        <f aca="false">IF(AND(ISNUMBER(B59),ISNUMBER(I59)),B59-I59+1,"")</f>
        <v/>
      </c>
      <c r="N59" s="14" t="str">
        <f aca="false">IF(B59="","",IF(M59="","시작일 미입력",IF(M59&lt;1,"시작일 이전(확인)",IF(M59=1,"1일째",IF(M59=2,"2일째",IF(M59=3,"3일째",IF(M59&lt;=7,"일주일 이내",IF(M59&lt;=14,"이주일 이내","15일 이후"))))))))</f>
        <v/>
      </c>
      <c r="O59" s="0" t="str">
        <f aca="false">IF(AND(COUNTA($A59:$J59)&gt;0,OR(클레임조회!$C$4="",AND(ISNUMBER($B59),$B59&gt;=클레임조회!$C$4)),OR(클레임조회!$C$5="",AND(ISNUMBER($B59),$B59&lt;=클레임조회!$C$5)),OR(클레임조회!$C$6="",$C59=클레임조회!$C$6),OR(클레임조회!$C$7="",$D59=클레임조회!$C$7),OR(클레임조회!$C$8="",$E59=클레임조회!$C$8),OR(클레임조회!$C$9="",$F59=클레임조회!$C$9),OR(클레임조회!$C$10="",ISNUMBER(SEARCH(클레임조회!$C$10,$C59&amp;" "&amp;$F59&amp;" "&amp;$G59&amp;" "&amp;$H59)))),COUNT(O$1:O58)+1,"")</f>
        <v/>
      </c>
      <c r="P59" s="0" t="str">
        <f aca="false">IF(AND(TRIM(C59)&lt;&gt;"",COUNTIF(C$2:C59,C59)=1),MAX(P$1:P58)+1,"")</f>
        <v/>
      </c>
      <c r="Q59" s="0" t="str">
        <f aca="false">IF(AND(TRIM(F59)&lt;&gt;"",COUNTIF(F$2:F59,F59)=1),MAX(Q$1:Q58)+1,"")</f>
        <v/>
      </c>
    </row>
    <row r="60" customFormat="false" ht="15" hidden="false" customHeight="false" outlineLevel="0" collapsed="false">
      <c r="A60" s="9"/>
      <c r="B60" s="10"/>
      <c r="C60" s="11"/>
      <c r="D60" s="11"/>
      <c r="E60" s="11"/>
      <c r="F60" s="11"/>
      <c r="G60" s="12"/>
      <c r="H60" s="12"/>
      <c r="I60" s="10"/>
      <c r="J60" s="12"/>
      <c r="K60" s="13" t="str">
        <f aca="false">IF(ISNUMBER(B60),YEAR(B60),"")</f>
        <v/>
      </c>
      <c r="L60" s="13" t="str">
        <f aca="false">IF(ISNUMBER(B60),MONTH(B60),"")</f>
        <v/>
      </c>
      <c r="M60" s="13" t="str">
        <f aca="false">IF(AND(ISNUMBER(B60),ISNUMBER(I60)),B60-I60+1,"")</f>
        <v/>
      </c>
      <c r="N60" s="14" t="str">
        <f aca="false">IF(B60="","",IF(M60="","시작일 미입력",IF(M60&lt;1,"시작일 이전(확인)",IF(M60=1,"1일째",IF(M60=2,"2일째",IF(M60=3,"3일째",IF(M60&lt;=7,"일주일 이내",IF(M60&lt;=14,"이주일 이내","15일 이후"))))))))</f>
        <v/>
      </c>
      <c r="O60" s="0" t="str">
        <f aca="false">IF(AND(COUNTA($A60:$J60)&gt;0,OR(클레임조회!$C$4="",AND(ISNUMBER($B60),$B60&gt;=클레임조회!$C$4)),OR(클레임조회!$C$5="",AND(ISNUMBER($B60),$B60&lt;=클레임조회!$C$5)),OR(클레임조회!$C$6="",$C60=클레임조회!$C$6),OR(클레임조회!$C$7="",$D60=클레임조회!$C$7),OR(클레임조회!$C$8="",$E60=클레임조회!$C$8),OR(클레임조회!$C$9="",$F60=클레임조회!$C$9),OR(클레임조회!$C$10="",ISNUMBER(SEARCH(클레임조회!$C$10,$C60&amp;" "&amp;$F60&amp;" "&amp;$G60&amp;" "&amp;$H60)))),COUNT(O$1:O59)+1,"")</f>
        <v/>
      </c>
      <c r="P60" s="0" t="str">
        <f aca="false">IF(AND(TRIM(C60)&lt;&gt;"",COUNTIF(C$2:C60,C60)=1),MAX(P$1:P59)+1,"")</f>
        <v/>
      </c>
      <c r="Q60" s="0" t="str">
        <f aca="false">IF(AND(TRIM(F60)&lt;&gt;"",COUNTIF(F$2:F60,F60)=1),MAX(Q$1:Q59)+1,"")</f>
        <v/>
      </c>
    </row>
    <row r="61" customFormat="false" ht="15" hidden="false" customHeight="false" outlineLevel="0" collapsed="false">
      <c r="A61" s="9"/>
      <c r="B61" s="10"/>
      <c r="C61" s="11"/>
      <c r="D61" s="11"/>
      <c r="E61" s="11"/>
      <c r="F61" s="11"/>
      <c r="G61" s="12"/>
      <c r="H61" s="12"/>
      <c r="I61" s="10"/>
      <c r="J61" s="12"/>
      <c r="K61" s="13" t="str">
        <f aca="false">IF(ISNUMBER(B61),YEAR(B61),"")</f>
        <v/>
      </c>
      <c r="L61" s="13" t="str">
        <f aca="false">IF(ISNUMBER(B61),MONTH(B61),"")</f>
        <v/>
      </c>
      <c r="M61" s="13" t="str">
        <f aca="false">IF(AND(ISNUMBER(B61),ISNUMBER(I61)),B61-I61+1,"")</f>
        <v/>
      </c>
      <c r="N61" s="14" t="str">
        <f aca="false">IF(B61="","",IF(M61="","시작일 미입력",IF(M61&lt;1,"시작일 이전(확인)",IF(M61=1,"1일째",IF(M61=2,"2일째",IF(M61=3,"3일째",IF(M61&lt;=7,"일주일 이내",IF(M61&lt;=14,"이주일 이내","15일 이후"))))))))</f>
        <v/>
      </c>
      <c r="O61" s="0" t="str">
        <f aca="false">IF(AND(COUNTA($A61:$J61)&gt;0,OR(클레임조회!$C$4="",AND(ISNUMBER($B61),$B61&gt;=클레임조회!$C$4)),OR(클레임조회!$C$5="",AND(ISNUMBER($B61),$B61&lt;=클레임조회!$C$5)),OR(클레임조회!$C$6="",$C61=클레임조회!$C$6),OR(클레임조회!$C$7="",$D61=클레임조회!$C$7),OR(클레임조회!$C$8="",$E61=클레임조회!$C$8),OR(클레임조회!$C$9="",$F61=클레임조회!$C$9),OR(클레임조회!$C$10="",ISNUMBER(SEARCH(클레임조회!$C$10,$C61&amp;" "&amp;$F61&amp;" "&amp;$G61&amp;" "&amp;$H61)))),COUNT(O$1:O60)+1,"")</f>
        <v/>
      </c>
      <c r="P61" s="0" t="str">
        <f aca="false">IF(AND(TRIM(C61)&lt;&gt;"",COUNTIF(C$2:C61,C61)=1),MAX(P$1:P60)+1,"")</f>
        <v/>
      </c>
      <c r="Q61" s="0" t="str">
        <f aca="false">IF(AND(TRIM(F61)&lt;&gt;"",COUNTIF(F$2:F61,F61)=1),MAX(Q$1:Q60)+1,"")</f>
        <v/>
      </c>
    </row>
    <row r="62" customFormat="false" ht="15" hidden="false" customHeight="false" outlineLevel="0" collapsed="false">
      <c r="A62" s="9"/>
      <c r="B62" s="10"/>
      <c r="C62" s="11"/>
      <c r="D62" s="11"/>
      <c r="E62" s="11"/>
      <c r="F62" s="11"/>
      <c r="G62" s="12"/>
      <c r="H62" s="12"/>
      <c r="I62" s="10"/>
      <c r="J62" s="12"/>
      <c r="K62" s="13" t="str">
        <f aca="false">IF(ISNUMBER(B62),YEAR(B62),"")</f>
        <v/>
      </c>
      <c r="L62" s="13" t="str">
        <f aca="false">IF(ISNUMBER(B62),MONTH(B62),"")</f>
        <v/>
      </c>
      <c r="M62" s="13" t="str">
        <f aca="false">IF(AND(ISNUMBER(B62),ISNUMBER(I62)),B62-I62+1,"")</f>
        <v/>
      </c>
      <c r="N62" s="14" t="str">
        <f aca="false">IF(B62="","",IF(M62="","시작일 미입력",IF(M62&lt;1,"시작일 이전(확인)",IF(M62=1,"1일째",IF(M62=2,"2일째",IF(M62=3,"3일째",IF(M62&lt;=7,"일주일 이내",IF(M62&lt;=14,"이주일 이내","15일 이후"))))))))</f>
        <v/>
      </c>
      <c r="O62" s="0" t="str">
        <f aca="false">IF(AND(COUNTA($A62:$J62)&gt;0,OR(클레임조회!$C$4="",AND(ISNUMBER($B62),$B62&gt;=클레임조회!$C$4)),OR(클레임조회!$C$5="",AND(ISNUMBER($B62),$B62&lt;=클레임조회!$C$5)),OR(클레임조회!$C$6="",$C62=클레임조회!$C$6),OR(클레임조회!$C$7="",$D62=클레임조회!$C$7),OR(클레임조회!$C$8="",$E62=클레임조회!$C$8),OR(클레임조회!$C$9="",$F62=클레임조회!$C$9),OR(클레임조회!$C$10="",ISNUMBER(SEARCH(클레임조회!$C$10,$C62&amp;" "&amp;$F62&amp;" "&amp;$G62&amp;" "&amp;$H62)))),COUNT(O$1:O61)+1,"")</f>
        <v/>
      </c>
      <c r="P62" s="0" t="str">
        <f aca="false">IF(AND(TRIM(C62)&lt;&gt;"",COUNTIF(C$2:C62,C62)=1),MAX(P$1:P61)+1,"")</f>
        <v/>
      </c>
      <c r="Q62" s="0" t="str">
        <f aca="false">IF(AND(TRIM(F62)&lt;&gt;"",COUNTIF(F$2:F62,F62)=1),MAX(Q$1:Q61)+1,"")</f>
        <v/>
      </c>
    </row>
    <row r="63" customFormat="false" ht="15" hidden="false" customHeight="false" outlineLevel="0" collapsed="false">
      <c r="A63" s="9"/>
      <c r="B63" s="10"/>
      <c r="C63" s="11"/>
      <c r="D63" s="11"/>
      <c r="E63" s="11"/>
      <c r="F63" s="11"/>
      <c r="G63" s="12"/>
      <c r="H63" s="12"/>
      <c r="I63" s="10"/>
      <c r="J63" s="12"/>
      <c r="K63" s="13" t="str">
        <f aca="false">IF(ISNUMBER(B63),YEAR(B63),"")</f>
        <v/>
      </c>
      <c r="L63" s="13" t="str">
        <f aca="false">IF(ISNUMBER(B63),MONTH(B63),"")</f>
        <v/>
      </c>
      <c r="M63" s="13" t="str">
        <f aca="false">IF(AND(ISNUMBER(B63),ISNUMBER(I63)),B63-I63+1,"")</f>
        <v/>
      </c>
      <c r="N63" s="14" t="str">
        <f aca="false">IF(B63="","",IF(M63="","시작일 미입력",IF(M63&lt;1,"시작일 이전(확인)",IF(M63=1,"1일째",IF(M63=2,"2일째",IF(M63=3,"3일째",IF(M63&lt;=7,"일주일 이내",IF(M63&lt;=14,"이주일 이내","15일 이후"))))))))</f>
        <v/>
      </c>
      <c r="O63" s="0" t="str">
        <f aca="false">IF(AND(COUNTA($A63:$J63)&gt;0,OR(클레임조회!$C$4="",AND(ISNUMBER($B63),$B63&gt;=클레임조회!$C$4)),OR(클레임조회!$C$5="",AND(ISNUMBER($B63),$B63&lt;=클레임조회!$C$5)),OR(클레임조회!$C$6="",$C63=클레임조회!$C$6),OR(클레임조회!$C$7="",$D63=클레임조회!$C$7),OR(클레임조회!$C$8="",$E63=클레임조회!$C$8),OR(클레임조회!$C$9="",$F63=클레임조회!$C$9),OR(클레임조회!$C$10="",ISNUMBER(SEARCH(클레임조회!$C$10,$C63&amp;" "&amp;$F63&amp;" "&amp;$G63&amp;" "&amp;$H63)))),COUNT(O$1:O62)+1,"")</f>
        <v/>
      </c>
      <c r="P63" s="0" t="str">
        <f aca="false">IF(AND(TRIM(C63)&lt;&gt;"",COUNTIF(C$2:C63,C63)=1),MAX(P$1:P62)+1,"")</f>
        <v/>
      </c>
      <c r="Q63" s="0" t="str">
        <f aca="false">IF(AND(TRIM(F63)&lt;&gt;"",COUNTIF(F$2:F63,F63)=1),MAX(Q$1:Q62)+1,"")</f>
        <v/>
      </c>
    </row>
    <row r="64" customFormat="false" ht="15" hidden="false" customHeight="false" outlineLevel="0" collapsed="false">
      <c r="A64" s="9"/>
      <c r="B64" s="10"/>
      <c r="C64" s="11"/>
      <c r="D64" s="11"/>
      <c r="E64" s="11"/>
      <c r="F64" s="11"/>
      <c r="G64" s="12"/>
      <c r="H64" s="12"/>
      <c r="I64" s="10"/>
      <c r="J64" s="12"/>
      <c r="K64" s="13" t="str">
        <f aca="false">IF(ISNUMBER(B64),YEAR(B64),"")</f>
        <v/>
      </c>
      <c r="L64" s="13" t="str">
        <f aca="false">IF(ISNUMBER(B64),MONTH(B64),"")</f>
        <v/>
      </c>
      <c r="M64" s="13" t="str">
        <f aca="false">IF(AND(ISNUMBER(B64),ISNUMBER(I64)),B64-I64+1,"")</f>
        <v/>
      </c>
      <c r="N64" s="14" t="str">
        <f aca="false">IF(B64="","",IF(M64="","시작일 미입력",IF(M64&lt;1,"시작일 이전(확인)",IF(M64=1,"1일째",IF(M64=2,"2일째",IF(M64=3,"3일째",IF(M64&lt;=7,"일주일 이내",IF(M64&lt;=14,"이주일 이내","15일 이후"))))))))</f>
        <v/>
      </c>
      <c r="O64" s="0" t="str">
        <f aca="false">IF(AND(COUNTA($A64:$J64)&gt;0,OR(클레임조회!$C$4="",AND(ISNUMBER($B64),$B64&gt;=클레임조회!$C$4)),OR(클레임조회!$C$5="",AND(ISNUMBER($B64),$B64&lt;=클레임조회!$C$5)),OR(클레임조회!$C$6="",$C64=클레임조회!$C$6),OR(클레임조회!$C$7="",$D64=클레임조회!$C$7),OR(클레임조회!$C$8="",$E64=클레임조회!$C$8),OR(클레임조회!$C$9="",$F64=클레임조회!$C$9),OR(클레임조회!$C$10="",ISNUMBER(SEARCH(클레임조회!$C$10,$C64&amp;" "&amp;$F64&amp;" "&amp;$G64&amp;" "&amp;$H64)))),COUNT(O$1:O63)+1,"")</f>
        <v/>
      </c>
      <c r="P64" s="0" t="str">
        <f aca="false">IF(AND(TRIM(C64)&lt;&gt;"",COUNTIF(C$2:C64,C64)=1),MAX(P$1:P63)+1,"")</f>
        <v/>
      </c>
      <c r="Q64" s="0" t="str">
        <f aca="false">IF(AND(TRIM(F64)&lt;&gt;"",COUNTIF(F$2:F64,F64)=1),MAX(Q$1:Q63)+1,"")</f>
        <v/>
      </c>
    </row>
    <row r="65" customFormat="false" ht="15" hidden="false" customHeight="false" outlineLevel="0" collapsed="false">
      <c r="A65" s="9"/>
      <c r="B65" s="10"/>
      <c r="C65" s="11"/>
      <c r="D65" s="11"/>
      <c r="E65" s="11"/>
      <c r="F65" s="11"/>
      <c r="G65" s="12"/>
      <c r="H65" s="12"/>
      <c r="I65" s="10"/>
      <c r="J65" s="12"/>
      <c r="K65" s="13" t="str">
        <f aca="false">IF(ISNUMBER(B65),YEAR(B65),"")</f>
        <v/>
      </c>
      <c r="L65" s="13" t="str">
        <f aca="false">IF(ISNUMBER(B65),MONTH(B65),"")</f>
        <v/>
      </c>
      <c r="M65" s="13" t="str">
        <f aca="false">IF(AND(ISNUMBER(B65),ISNUMBER(I65)),B65-I65+1,"")</f>
        <v/>
      </c>
      <c r="N65" s="14" t="str">
        <f aca="false">IF(B65="","",IF(M65="","시작일 미입력",IF(M65&lt;1,"시작일 이전(확인)",IF(M65=1,"1일째",IF(M65=2,"2일째",IF(M65=3,"3일째",IF(M65&lt;=7,"일주일 이내",IF(M65&lt;=14,"이주일 이내","15일 이후"))))))))</f>
        <v/>
      </c>
      <c r="O65" s="0" t="str">
        <f aca="false">IF(AND(COUNTA($A65:$J65)&gt;0,OR(클레임조회!$C$4="",AND(ISNUMBER($B65),$B65&gt;=클레임조회!$C$4)),OR(클레임조회!$C$5="",AND(ISNUMBER($B65),$B65&lt;=클레임조회!$C$5)),OR(클레임조회!$C$6="",$C65=클레임조회!$C$6),OR(클레임조회!$C$7="",$D65=클레임조회!$C$7),OR(클레임조회!$C$8="",$E65=클레임조회!$C$8),OR(클레임조회!$C$9="",$F65=클레임조회!$C$9),OR(클레임조회!$C$10="",ISNUMBER(SEARCH(클레임조회!$C$10,$C65&amp;" "&amp;$F65&amp;" "&amp;$G65&amp;" "&amp;$H65)))),COUNT(O$1:O64)+1,"")</f>
        <v/>
      </c>
      <c r="P65" s="0" t="str">
        <f aca="false">IF(AND(TRIM(C65)&lt;&gt;"",COUNTIF(C$2:C65,C65)=1),MAX(P$1:P64)+1,"")</f>
        <v/>
      </c>
      <c r="Q65" s="0" t="str">
        <f aca="false">IF(AND(TRIM(F65)&lt;&gt;"",COUNTIF(F$2:F65,F65)=1),MAX(Q$1:Q64)+1,"")</f>
        <v/>
      </c>
    </row>
    <row r="66" customFormat="false" ht="15" hidden="false" customHeight="false" outlineLevel="0" collapsed="false">
      <c r="A66" s="9"/>
      <c r="B66" s="10"/>
      <c r="C66" s="11"/>
      <c r="D66" s="11"/>
      <c r="E66" s="11"/>
      <c r="F66" s="11"/>
      <c r="G66" s="12"/>
      <c r="H66" s="12"/>
      <c r="I66" s="10"/>
      <c r="J66" s="12"/>
      <c r="K66" s="13" t="str">
        <f aca="false">IF(ISNUMBER(B66),YEAR(B66),"")</f>
        <v/>
      </c>
      <c r="L66" s="13" t="str">
        <f aca="false">IF(ISNUMBER(B66),MONTH(B66),"")</f>
        <v/>
      </c>
      <c r="M66" s="13" t="str">
        <f aca="false">IF(AND(ISNUMBER(B66),ISNUMBER(I66)),B66-I66+1,"")</f>
        <v/>
      </c>
      <c r="N66" s="14" t="str">
        <f aca="false">IF(B66="","",IF(M66="","시작일 미입력",IF(M66&lt;1,"시작일 이전(확인)",IF(M66=1,"1일째",IF(M66=2,"2일째",IF(M66=3,"3일째",IF(M66&lt;=7,"일주일 이내",IF(M66&lt;=14,"이주일 이내","15일 이후"))))))))</f>
        <v/>
      </c>
      <c r="O66" s="0" t="str">
        <f aca="false">IF(AND(COUNTA($A66:$J66)&gt;0,OR(클레임조회!$C$4="",AND(ISNUMBER($B66),$B66&gt;=클레임조회!$C$4)),OR(클레임조회!$C$5="",AND(ISNUMBER($B66),$B66&lt;=클레임조회!$C$5)),OR(클레임조회!$C$6="",$C66=클레임조회!$C$6),OR(클레임조회!$C$7="",$D66=클레임조회!$C$7),OR(클레임조회!$C$8="",$E66=클레임조회!$C$8),OR(클레임조회!$C$9="",$F66=클레임조회!$C$9),OR(클레임조회!$C$10="",ISNUMBER(SEARCH(클레임조회!$C$10,$C66&amp;" "&amp;$F66&amp;" "&amp;$G66&amp;" "&amp;$H66)))),COUNT(O$1:O65)+1,"")</f>
        <v/>
      </c>
      <c r="P66" s="0" t="str">
        <f aca="false">IF(AND(TRIM(C66)&lt;&gt;"",COUNTIF(C$2:C66,C66)=1),MAX(P$1:P65)+1,"")</f>
        <v/>
      </c>
      <c r="Q66" s="0" t="str">
        <f aca="false">IF(AND(TRIM(F66)&lt;&gt;"",COUNTIF(F$2:F66,F66)=1),MAX(Q$1:Q65)+1,"")</f>
        <v/>
      </c>
    </row>
    <row r="67" customFormat="false" ht="15" hidden="false" customHeight="false" outlineLevel="0" collapsed="false">
      <c r="A67" s="9"/>
      <c r="B67" s="10"/>
      <c r="C67" s="11"/>
      <c r="D67" s="11"/>
      <c r="E67" s="11"/>
      <c r="F67" s="11"/>
      <c r="G67" s="12"/>
      <c r="H67" s="12"/>
      <c r="I67" s="10"/>
      <c r="J67" s="12"/>
      <c r="K67" s="13" t="str">
        <f aca="false">IF(ISNUMBER(B67),YEAR(B67),"")</f>
        <v/>
      </c>
      <c r="L67" s="13" t="str">
        <f aca="false">IF(ISNUMBER(B67),MONTH(B67),"")</f>
        <v/>
      </c>
      <c r="M67" s="13" t="str">
        <f aca="false">IF(AND(ISNUMBER(B67),ISNUMBER(I67)),B67-I67+1,"")</f>
        <v/>
      </c>
      <c r="N67" s="14" t="str">
        <f aca="false">IF(B67="","",IF(M67="","시작일 미입력",IF(M67&lt;1,"시작일 이전(확인)",IF(M67=1,"1일째",IF(M67=2,"2일째",IF(M67=3,"3일째",IF(M67&lt;=7,"일주일 이내",IF(M67&lt;=14,"이주일 이내","15일 이후"))))))))</f>
        <v/>
      </c>
      <c r="O67" s="0" t="str">
        <f aca="false">IF(AND(COUNTA($A67:$J67)&gt;0,OR(클레임조회!$C$4="",AND(ISNUMBER($B67),$B67&gt;=클레임조회!$C$4)),OR(클레임조회!$C$5="",AND(ISNUMBER($B67),$B67&lt;=클레임조회!$C$5)),OR(클레임조회!$C$6="",$C67=클레임조회!$C$6),OR(클레임조회!$C$7="",$D67=클레임조회!$C$7),OR(클레임조회!$C$8="",$E67=클레임조회!$C$8),OR(클레임조회!$C$9="",$F67=클레임조회!$C$9),OR(클레임조회!$C$10="",ISNUMBER(SEARCH(클레임조회!$C$10,$C67&amp;" "&amp;$F67&amp;" "&amp;$G67&amp;" "&amp;$H67)))),COUNT(O$1:O66)+1,"")</f>
        <v/>
      </c>
      <c r="P67" s="0" t="str">
        <f aca="false">IF(AND(TRIM(C67)&lt;&gt;"",COUNTIF(C$2:C67,C67)=1),MAX(P$1:P66)+1,"")</f>
        <v/>
      </c>
      <c r="Q67" s="0" t="str">
        <f aca="false">IF(AND(TRIM(F67)&lt;&gt;"",COUNTIF(F$2:F67,F67)=1),MAX(Q$1:Q66)+1,"")</f>
        <v/>
      </c>
    </row>
    <row r="68" customFormat="false" ht="15" hidden="false" customHeight="false" outlineLevel="0" collapsed="false">
      <c r="A68" s="9"/>
      <c r="B68" s="10"/>
      <c r="C68" s="11"/>
      <c r="D68" s="11"/>
      <c r="E68" s="11"/>
      <c r="F68" s="11"/>
      <c r="G68" s="12"/>
      <c r="H68" s="12"/>
      <c r="I68" s="10"/>
      <c r="J68" s="12"/>
      <c r="K68" s="13" t="str">
        <f aca="false">IF(ISNUMBER(B68),YEAR(B68),"")</f>
        <v/>
      </c>
      <c r="L68" s="13" t="str">
        <f aca="false">IF(ISNUMBER(B68),MONTH(B68),"")</f>
        <v/>
      </c>
      <c r="M68" s="13" t="str">
        <f aca="false">IF(AND(ISNUMBER(B68),ISNUMBER(I68)),B68-I68+1,"")</f>
        <v/>
      </c>
      <c r="N68" s="14" t="str">
        <f aca="false">IF(B68="","",IF(M68="","시작일 미입력",IF(M68&lt;1,"시작일 이전(확인)",IF(M68=1,"1일째",IF(M68=2,"2일째",IF(M68=3,"3일째",IF(M68&lt;=7,"일주일 이내",IF(M68&lt;=14,"이주일 이내","15일 이후"))))))))</f>
        <v/>
      </c>
      <c r="O68" s="0" t="str">
        <f aca="false">IF(AND(COUNTA($A68:$J68)&gt;0,OR(클레임조회!$C$4="",AND(ISNUMBER($B68),$B68&gt;=클레임조회!$C$4)),OR(클레임조회!$C$5="",AND(ISNUMBER($B68),$B68&lt;=클레임조회!$C$5)),OR(클레임조회!$C$6="",$C68=클레임조회!$C$6),OR(클레임조회!$C$7="",$D68=클레임조회!$C$7),OR(클레임조회!$C$8="",$E68=클레임조회!$C$8),OR(클레임조회!$C$9="",$F68=클레임조회!$C$9),OR(클레임조회!$C$10="",ISNUMBER(SEARCH(클레임조회!$C$10,$C68&amp;" "&amp;$F68&amp;" "&amp;$G68&amp;" "&amp;$H68)))),COUNT(O$1:O67)+1,"")</f>
        <v/>
      </c>
      <c r="P68" s="0" t="str">
        <f aca="false">IF(AND(TRIM(C68)&lt;&gt;"",COUNTIF(C$2:C68,C68)=1),MAX(P$1:P67)+1,"")</f>
        <v/>
      </c>
      <c r="Q68" s="0" t="str">
        <f aca="false">IF(AND(TRIM(F68)&lt;&gt;"",COUNTIF(F$2:F68,F68)=1),MAX(Q$1:Q67)+1,"")</f>
        <v/>
      </c>
    </row>
    <row r="69" customFormat="false" ht="15" hidden="false" customHeight="false" outlineLevel="0" collapsed="false">
      <c r="A69" s="9"/>
      <c r="B69" s="10"/>
      <c r="C69" s="11"/>
      <c r="D69" s="11"/>
      <c r="E69" s="11"/>
      <c r="F69" s="11"/>
      <c r="G69" s="12"/>
      <c r="H69" s="12"/>
      <c r="I69" s="10"/>
      <c r="J69" s="12"/>
      <c r="K69" s="13" t="str">
        <f aca="false">IF(ISNUMBER(B69),YEAR(B69),"")</f>
        <v/>
      </c>
      <c r="L69" s="13" t="str">
        <f aca="false">IF(ISNUMBER(B69),MONTH(B69),"")</f>
        <v/>
      </c>
      <c r="M69" s="13" t="str">
        <f aca="false">IF(AND(ISNUMBER(B69),ISNUMBER(I69)),B69-I69+1,"")</f>
        <v/>
      </c>
      <c r="N69" s="14" t="str">
        <f aca="false">IF(B69="","",IF(M69="","시작일 미입력",IF(M69&lt;1,"시작일 이전(확인)",IF(M69=1,"1일째",IF(M69=2,"2일째",IF(M69=3,"3일째",IF(M69&lt;=7,"일주일 이내",IF(M69&lt;=14,"이주일 이내","15일 이후"))))))))</f>
        <v/>
      </c>
      <c r="O69" s="0" t="str">
        <f aca="false">IF(AND(COUNTA($A69:$J69)&gt;0,OR(클레임조회!$C$4="",AND(ISNUMBER($B69),$B69&gt;=클레임조회!$C$4)),OR(클레임조회!$C$5="",AND(ISNUMBER($B69),$B69&lt;=클레임조회!$C$5)),OR(클레임조회!$C$6="",$C69=클레임조회!$C$6),OR(클레임조회!$C$7="",$D69=클레임조회!$C$7),OR(클레임조회!$C$8="",$E69=클레임조회!$C$8),OR(클레임조회!$C$9="",$F69=클레임조회!$C$9),OR(클레임조회!$C$10="",ISNUMBER(SEARCH(클레임조회!$C$10,$C69&amp;" "&amp;$F69&amp;" "&amp;$G69&amp;" "&amp;$H69)))),COUNT(O$1:O68)+1,"")</f>
        <v/>
      </c>
      <c r="P69" s="0" t="str">
        <f aca="false">IF(AND(TRIM(C69)&lt;&gt;"",COUNTIF(C$2:C69,C69)=1),MAX(P$1:P68)+1,"")</f>
        <v/>
      </c>
      <c r="Q69" s="0" t="str">
        <f aca="false">IF(AND(TRIM(F69)&lt;&gt;"",COUNTIF(F$2:F69,F69)=1),MAX(Q$1:Q68)+1,"")</f>
        <v/>
      </c>
    </row>
    <row r="70" customFormat="false" ht="15" hidden="false" customHeight="false" outlineLevel="0" collapsed="false">
      <c r="A70" s="9"/>
      <c r="B70" s="10"/>
      <c r="C70" s="11"/>
      <c r="D70" s="11"/>
      <c r="E70" s="11"/>
      <c r="F70" s="11"/>
      <c r="G70" s="12"/>
      <c r="H70" s="12"/>
      <c r="I70" s="10"/>
      <c r="J70" s="12"/>
      <c r="K70" s="13" t="str">
        <f aca="false">IF(ISNUMBER(B70),YEAR(B70),"")</f>
        <v/>
      </c>
      <c r="L70" s="13" t="str">
        <f aca="false">IF(ISNUMBER(B70),MONTH(B70),"")</f>
        <v/>
      </c>
      <c r="M70" s="13" t="str">
        <f aca="false">IF(AND(ISNUMBER(B70),ISNUMBER(I70)),B70-I70+1,"")</f>
        <v/>
      </c>
      <c r="N70" s="14" t="str">
        <f aca="false">IF(B70="","",IF(M70="","시작일 미입력",IF(M70&lt;1,"시작일 이전(확인)",IF(M70=1,"1일째",IF(M70=2,"2일째",IF(M70=3,"3일째",IF(M70&lt;=7,"일주일 이내",IF(M70&lt;=14,"이주일 이내","15일 이후"))))))))</f>
        <v/>
      </c>
      <c r="O70" s="0" t="str">
        <f aca="false">IF(AND(COUNTA($A70:$J70)&gt;0,OR(클레임조회!$C$4="",AND(ISNUMBER($B70),$B70&gt;=클레임조회!$C$4)),OR(클레임조회!$C$5="",AND(ISNUMBER($B70),$B70&lt;=클레임조회!$C$5)),OR(클레임조회!$C$6="",$C70=클레임조회!$C$6),OR(클레임조회!$C$7="",$D70=클레임조회!$C$7),OR(클레임조회!$C$8="",$E70=클레임조회!$C$8),OR(클레임조회!$C$9="",$F70=클레임조회!$C$9),OR(클레임조회!$C$10="",ISNUMBER(SEARCH(클레임조회!$C$10,$C70&amp;" "&amp;$F70&amp;" "&amp;$G70&amp;" "&amp;$H70)))),COUNT(O$1:O69)+1,"")</f>
        <v/>
      </c>
      <c r="P70" s="0" t="str">
        <f aca="false">IF(AND(TRIM(C70)&lt;&gt;"",COUNTIF(C$2:C70,C70)=1),MAX(P$1:P69)+1,"")</f>
        <v/>
      </c>
      <c r="Q70" s="0" t="str">
        <f aca="false">IF(AND(TRIM(F70)&lt;&gt;"",COUNTIF(F$2:F70,F70)=1),MAX(Q$1:Q69)+1,"")</f>
        <v/>
      </c>
    </row>
    <row r="71" customFormat="false" ht="15" hidden="false" customHeight="false" outlineLevel="0" collapsed="false">
      <c r="A71" s="9"/>
      <c r="B71" s="10"/>
      <c r="C71" s="11"/>
      <c r="D71" s="11"/>
      <c r="E71" s="11"/>
      <c r="F71" s="11"/>
      <c r="G71" s="12"/>
      <c r="H71" s="12"/>
      <c r="I71" s="10"/>
      <c r="J71" s="12"/>
      <c r="K71" s="13" t="str">
        <f aca="false">IF(ISNUMBER(B71),YEAR(B71),"")</f>
        <v/>
      </c>
      <c r="L71" s="13" t="str">
        <f aca="false">IF(ISNUMBER(B71),MONTH(B71),"")</f>
        <v/>
      </c>
      <c r="M71" s="13" t="str">
        <f aca="false">IF(AND(ISNUMBER(B71),ISNUMBER(I71)),B71-I71+1,"")</f>
        <v/>
      </c>
      <c r="N71" s="14" t="str">
        <f aca="false">IF(B71="","",IF(M71="","시작일 미입력",IF(M71&lt;1,"시작일 이전(확인)",IF(M71=1,"1일째",IF(M71=2,"2일째",IF(M71=3,"3일째",IF(M71&lt;=7,"일주일 이내",IF(M71&lt;=14,"이주일 이내","15일 이후"))))))))</f>
        <v/>
      </c>
      <c r="O71" s="0" t="str">
        <f aca="false">IF(AND(COUNTA($A71:$J71)&gt;0,OR(클레임조회!$C$4="",AND(ISNUMBER($B71),$B71&gt;=클레임조회!$C$4)),OR(클레임조회!$C$5="",AND(ISNUMBER($B71),$B71&lt;=클레임조회!$C$5)),OR(클레임조회!$C$6="",$C71=클레임조회!$C$6),OR(클레임조회!$C$7="",$D71=클레임조회!$C$7),OR(클레임조회!$C$8="",$E71=클레임조회!$C$8),OR(클레임조회!$C$9="",$F71=클레임조회!$C$9),OR(클레임조회!$C$10="",ISNUMBER(SEARCH(클레임조회!$C$10,$C71&amp;" "&amp;$F71&amp;" "&amp;$G71&amp;" "&amp;$H71)))),COUNT(O$1:O70)+1,"")</f>
        <v/>
      </c>
      <c r="P71" s="0" t="str">
        <f aca="false">IF(AND(TRIM(C71)&lt;&gt;"",COUNTIF(C$2:C71,C71)=1),MAX(P$1:P70)+1,"")</f>
        <v/>
      </c>
      <c r="Q71" s="0" t="str">
        <f aca="false">IF(AND(TRIM(F71)&lt;&gt;"",COUNTIF(F$2:F71,F71)=1),MAX(Q$1:Q70)+1,"")</f>
        <v/>
      </c>
    </row>
    <row r="72" customFormat="false" ht="15" hidden="false" customHeight="false" outlineLevel="0" collapsed="false">
      <c r="A72" s="9"/>
      <c r="B72" s="10"/>
      <c r="C72" s="11"/>
      <c r="D72" s="11"/>
      <c r="E72" s="11"/>
      <c r="F72" s="11"/>
      <c r="G72" s="12"/>
      <c r="H72" s="12"/>
      <c r="I72" s="10"/>
      <c r="J72" s="12"/>
      <c r="K72" s="13" t="str">
        <f aca="false">IF(ISNUMBER(B72),YEAR(B72),"")</f>
        <v/>
      </c>
      <c r="L72" s="13" t="str">
        <f aca="false">IF(ISNUMBER(B72),MONTH(B72),"")</f>
        <v/>
      </c>
      <c r="M72" s="13" t="str">
        <f aca="false">IF(AND(ISNUMBER(B72),ISNUMBER(I72)),B72-I72+1,"")</f>
        <v/>
      </c>
      <c r="N72" s="14" t="str">
        <f aca="false">IF(B72="","",IF(M72="","시작일 미입력",IF(M72&lt;1,"시작일 이전(확인)",IF(M72=1,"1일째",IF(M72=2,"2일째",IF(M72=3,"3일째",IF(M72&lt;=7,"일주일 이내",IF(M72&lt;=14,"이주일 이내","15일 이후"))))))))</f>
        <v/>
      </c>
      <c r="O72" s="0" t="str">
        <f aca="false">IF(AND(COUNTA($A72:$J72)&gt;0,OR(클레임조회!$C$4="",AND(ISNUMBER($B72),$B72&gt;=클레임조회!$C$4)),OR(클레임조회!$C$5="",AND(ISNUMBER($B72),$B72&lt;=클레임조회!$C$5)),OR(클레임조회!$C$6="",$C72=클레임조회!$C$6),OR(클레임조회!$C$7="",$D72=클레임조회!$C$7),OR(클레임조회!$C$8="",$E72=클레임조회!$C$8),OR(클레임조회!$C$9="",$F72=클레임조회!$C$9),OR(클레임조회!$C$10="",ISNUMBER(SEARCH(클레임조회!$C$10,$C72&amp;" "&amp;$F72&amp;" "&amp;$G72&amp;" "&amp;$H72)))),COUNT(O$1:O71)+1,"")</f>
        <v/>
      </c>
      <c r="P72" s="0" t="str">
        <f aca="false">IF(AND(TRIM(C72)&lt;&gt;"",COUNTIF(C$2:C72,C72)=1),MAX(P$1:P71)+1,"")</f>
        <v/>
      </c>
      <c r="Q72" s="0" t="str">
        <f aca="false">IF(AND(TRIM(F72)&lt;&gt;"",COUNTIF(F$2:F72,F72)=1),MAX(Q$1:Q71)+1,"")</f>
        <v/>
      </c>
    </row>
    <row r="73" customFormat="false" ht="15" hidden="false" customHeight="false" outlineLevel="0" collapsed="false">
      <c r="A73" s="9"/>
      <c r="B73" s="10"/>
      <c r="C73" s="11"/>
      <c r="D73" s="11"/>
      <c r="E73" s="11"/>
      <c r="F73" s="11"/>
      <c r="G73" s="12"/>
      <c r="H73" s="12"/>
      <c r="I73" s="10"/>
      <c r="J73" s="12"/>
      <c r="K73" s="13" t="str">
        <f aca="false">IF(ISNUMBER(B73),YEAR(B73),"")</f>
        <v/>
      </c>
      <c r="L73" s="13" t="str">
        <f aca="false">IF(ISNUMBER(B73),MONTH(B73),"")</f>
        <v/>
      </c>
      <c r="M73" s="13" t="str">
        <f aca="false">IF(AND(ISNUMBER(B73),ISNUMBER(I73)),B73-I73+1,"")</f>
        <v/>
      </c>
      <c r="N73" s="14" t="str">
        <f aca="false">IF(B73="","",IF(M73="","시작일 미입력",IF(M73&lt;1,"시작일 이전(확인)",IF(M73=1,"1일째",IF(M73=2,"2일째",IF(M73=3,"3일째",IF(M73&lt;=7,"일주일 이내",IF(M73&lt;=14,"이주일 이내","15일 이후"))))))))</f>
        <v/>
      </c>
      <c r="O73" s="0" t="str">
        <f aca="false">IF(AND(COUNTA($A73:$J73)&gt;0,OR(클레임조회!$C$4="",AND(ISNUMBER($B73),$B73&gt;=클레임조회!$C$4)),OR(클레임조회!$C$5="",AND(ISNUMBER($B73),$B73&lt;=클레임조회!$C$5)),OR(클레임조회!$C$6="",$C73=클레임조회!$C$6),OR(클레임조회!$C$7="",$D73=클레임조회!$C$7),OR(클레임조회!$C$8="",$E73=클레임조회!$C$8),OR(클레임조회!$C$9="",$F73=클레임조회!$C$9),OR(클레임조회!$C$10="",ISNUMBER(SEARCH(클레임조회!$C$10,$C73&amp;" "&amp;$F73&amp;" "&amp;$G73&amp;" "&amp;$H73)))),COUNT(O$1:O72)+1,"")</f>
        <v/>
      </c>
      <c r="P73" s="0" t="str">
        <f aca="false">IF(AND(TRIM(C73)&lt;&gt;"",COUNTIF(C$2:C73,C73)=1),MAX(P$1:P72)+1,"")</f>
        <v/>
      </c>
      <c r="Q73" s="0" t="str">
        <f aca="false">IF(AND(TRIM(F73)&lt;&gt;"",COUNTIF(F$2:F73,F73)=1),MAX(Q$1:Q72)+1,"")</f>
        <v/>
      </c>
    </row>
    <row r="74" customFormat="false" ht="15" hidden="false" customHeight="false" outlineLevel="0" collapsed="false">
      <c r="A74" s="9"/>
      <c r="B74" s="10"/>
      <c r="C74" s="11"/>
      <c r="D74" s="11"/>
      <c r="E74" s="11"/>
      <c r="F74" s="11"/>
      <c r="G74" s="12"/>
      <c r="H74" s="12"/>
      <c r="I74" s="10"/>
      <c r="J74" s="12"/>
      <c r="K74" s="13" t="str">
        <f aca="false">IF(ISNUMBER(B74),YEAR(B74),"")</f>
        <v/>
      </c>
      <c r="L74" s="13" t="str">
        <f aca="false">IF(ISNUMBER(B74),MONTH(B74),"")</f>
        <v/>
      </c>
      <c r="M74" s="13" t="str">
        <f aca="false">IF(AND(ISNUMBER(B74),ISNUMBER(I74)),B74-I74+1,"")</f>
        <v/>
      </c>
      <c r="N74" s="14" t="str">
        <f aca="false">IF(B74="","",IF(M74="","시작일 미입력",IF(M74&lt;1,"시작일 이전(확인)",IF(M74=1,"1일째",IF(M74=2,"2일째",IF(M74=3,"3일째",IF(M74&lt;=7,"일주일 이내",IF(M74&lt;=14,"이주일 이내","15일 이후"))))))))</f>
        <v/>
      </c>
      <c r="O74" s="0" t="str">
        <f aca="false">IF(AND(COUNTA($A74:$J74)&gt;0,OR(클레임조회!$C$4="",AND(ISNUMBER($B74),$B74&gt;=클레임조회!$C$4)),OR(클레임조회!$C$5="",AND(ISNUMBER($B74),$B74&lt;=클레임조회!$C$5)),OR(클레임조회!$C$6="",$C74=클레임조회!$C$6),OR(클레임조회!$C$7="",$D74=클레임조회!$C$7),OR(클레임조회!$C$8="",$E74=클레임조회!$C$8),OR(클레임조회!$C$9="",$F74=클레임조회!$C$9),OR(클레임조회!$C$10="",ISNUMBER(SEARCH(클레임조회!$C$10,$C74&amp;" "&amp;$F74&amp;" "&amp;$G74&amp;" "&amp;$H74)))),COUNT(O$1:O73)+1,"")</f>
        <v/>
      </c>
      <c r="P74" s="0" t="str">
        <f aca="false">IF(AND(TRIM(C74)&lt;&gt;"",COUNTIF(C$2:C74,C74)=1),MAX(P$1:P73)+1,"")</f>
        <v/>
      </c>
      <c r="Q74" s="0" t="str">
        <f aca="false">IF(AND(TRIM(F74)&lt;&gt;"",COUNTIF(F$2:F74,F74)=1),MAX(Q$1:Q73)+1,"")</f>
        <v/>
      </c>
    </row>
    <row r="75" customFormat="false" ht="15" hidden="false" customHeight="false" outlineLevel="0" collapsed="false">
      <c r="A75" s="9"/>
      <c r="B75" s="10"/>
      <c r="C75" s="11"/>
      <c r="D75" s="11"/>
      <c r="E75" s="11"/>
      <c r="F75" s="11"/>
      <c r="G75" s="12"/>
      <c r="H75" s="12"/>
      <c r="I75" s="10"/>
      <c r="J75" s="12"/>
      <c r="K75" s="13" t="str">
        <f aca="false">IF(ISNUMBER(B75),YEAR(B75),"")</f>
        <v/>
      </c>
      <c r="L75" s="13" t="str">
        <f aca="false">IF(ISNUMBER(B75),MONTH(B75),"")</f>
        <v/>
      </c>
      <c r="M75" s="13" t="str">
        <f aca="false">IF(AND(ISNUMBER(B75),ISNUMBER(I75)),B75-I75+1,"")</f>
        <v/>
      </c>
      <c r="N75" s="14" t="str">
        <f aca="false">IF(B75="","",IF(M75="","시작일 미입력",IF(M75&lt;1,"시작일 이전(확인)",IF(M75=1,"1일째",IF(M75=2,"2일째",IF(M75=3,"3일째",IF(M75&lt;=7,"일주일 이내",IF(M75&lt;=14,"이주일 이내","15일 이후"))))))))</f>
        <v/>
      </c>
      <c r="O75" s="0" t="str">
        <f aca="false">IF(AND(COUNTA($A75:$J75)&gt;0,OR(클레임조회!$C$4="",AND(ISNUMBER($B75),$B75&gt;=클레임조회!$C$4)),OR(클레임조회!$C$5="",AND(ISNUMBER($B75),$B75&lt;=클레임조회!$C$5)),OR(클레임조회!$C$6="",$C75=클레임조회!$C$6),OR(클레임조회!$C$7="",$D75=클레임조회!$C$7),OR(클레임조회!$C$8="",$E75=클레임조회!$C$8),OR(클레임조회!$C$9="",$F75=클레임조회!$C$9),OR(클레임조회!$C$10="",ISNUMBER(SEARCH(클레임조회!$C$10,$C75&amp;" "&amp;$F75&amp;" "&amp;$G75&amp;" "&amp;$H75)))),COUNT(O$1:O74)+1,"")</f>
        <v/>
      </c>
      <c r="P75" s="0" t="str">
        <f aca="false">IF(AND(TRIM(C75)&lt;&gt;"",COUNTIF(C$2:C75,C75)=1),MAX(P$1:P74)+1,"")</f>
        <v/>
      </c>
      <c r="Q75" s="0" t="str">
        <f aca="false">IF(AND(TRIM(F75)&lt;&gt;"",COUNTIF(F$2:F75,F75)=1),MAX(Q$1:Q74)+1,"")</f>
        <v/>
      </c>
    </row>
    <row r="76" customFormat="false" ht="15" hidden="false" customHeight="false" outlineLevel="0" collapsed="false">
      <c r="A76" s="9"/>
      <c r="B76" s="10"/>
      <c r="C76" s="11"/>
      <c r="D76" s="11"/>
      <c r="E76" s="11"/>
      <c r="F76" s="11"/>
      <c r="G76" s="12"/>
      <c r="H76" s="12"/>
      <c r="I76" s="10"/>
      <c r="J76" s="12"/>
      <c r="K76" s="13" t="str">
        <f aca="false">IF(ISNUMBER(B76),YEAR(B76),"")</f>
        <v/>
      </c>
      <c r="L76" s="13" t="str">
        <f aca="false">IF(ISNUMBER(B76),MONTH(B76),"")</f>
        <v/>
      </c>
      <c r="M76" s="13" t="str">
        <f aca="false">IF(AND(ISNUMBER(B76),ISNUMBER(I76)),B76-I76+1,"")</f>
        <v/>
      </c>
      <c r="N76" s="14" t="str">
        <f aca="false">IF(B76="","",IF(M76="","시작일 미입력",IF(M76&lt;1,"시작일 이전(확인)",IF(M76=1,"1일째",IF(M76=2,"2일째",IF(M76=3,"3일째",IF(M76&lt;=7,"일주일 이내",IF(M76&lt;=14,"이주일 이내","15일 이후"))))))))</f>
        <v/>
      </c>
      <c r="O76" s="0" t="str">
        <f aca="false">IF(AND(COUNTA($A76:$J76)&gt;0,OR(클레임조회!$C$4="",AND(ISNUMBER($B76),$B76&gt;=클레임조회!$C$4)),OR(클레임조회!$C$5="",AND(ISNUMBER($B76),$B76&lt;=클레임조회!$C$5)),OR(클레임조회!$C$6="",$C76=클레임조회!$C$6),OR(클레임조회!$C$7="",$D76=클레임조회!$C$7),OR(클레임조회!$C$8="",$E76=클레임조회!$C$8),OR(클레임조회!$C$9="",$F76=클레임조회!$C$9),OR(클레임조회!$C$10="",ISNUMBER(SEARCH(클레임조회!$C$10,$C76&amp;" "&amp;$F76&amp;" "&amp;$G76&amp;" "&amp;$H76)))),COUNT(O$1:O75)+1,"")</f>
        <v/>
      </c>
      <c r="P76" s="0" t="str">
        <f aca="false">IF(AND(TRIM(C76)&lt;&gt;"",COUNTIF(C$2:C76,C76)=1),MAX(P$1:P75)+1,"")</f>
        <v/>
      </c>
      <c r="Q76" s="0" t="str">
        <f aca="false">IF(AND(TRIM(F76)&lt;&gt;"",COUNTIF(F$2:F76,F76)=1),MAX(Q$1:Q75)+1,"")</f>
        <v/>
      </c>
    </row>
    <row r="77" customFormat="false" ht="15" hidden="false" customHeight="false" outlineLevel="0" collapsed="false">
      <c r="A77" s="9"/>
      <c r="B77" s="10"/>
      <c r="C77" s="11"/>
      <c r="D77" s="11"/>
      <c r="E77" s="11"/>
      <c r="F77" s="11"/>
      <c r="G77" s="12"/>
      <c r="H77" s="12"/>
      <c r="I77" s="10"/>
      <c r="J77" s="12"/>
      <c r="K77" s="13" t="str">
        <f aca="false">IF(ISNUMBER(B77),YEAR(B77),"")</f>
        <v/>
      </c>
      <c r="L77" s="13" t="str">
        <f aca="false">IF(ISNUMBER(B77),MONTH(B77),"")</f>
        <v/>
      </c>
      <c r="M77" s="13" t="str">
        <f aca="false">IF(AND(ISNUMBER(B77),ISNUMBER(I77)),B77-I77+1,"")</f>
        <v/>
      </c>
      <c r="N77" s="14" t="str">
        <f aca="false">IF(B77="","",IF(M77="","시작일 미입력",IF(M77&lt;1,"시작일 이전(확인)",IF(M77=1,"1일째",IF(M77=2,"2일째",IF(M77=3,"3일째",IF(M77&lt;=7,"일주일 이내",IF(M77&lt;=14,"이주일 이내","15일 이후"))))))))</f>
        <v/>
      </c>
      <c r="O77" s="0" t="str">
        <f aca="false">IF(AND(COUNTA($A77:$J77)&gt;0,OR(클레임조회!$C$4="",AND(ISNUMBER($B77),$B77&gt;=클레임조회!$C$4)),OR(클레임조회!$C$5="",AND(ISNUMBER($B77),$B77&lt;=클레임조회!$C$5)),OR(클레임조회!$C$6="",$C77=클레임조회!$C$6),OR(클레임조회!$C$7="",$D77=클레임조회!$C$7),OR(클레임조회!$C$8="",$E77=클레임조회!$C$8),OR(클레임조회!$C$9="",$F77=클레임조회!$C$9),OR(클레임조회!$C$10="",ISNUMBER(SEARCH(클레임조회!$C$10,$C77&amp;" "&amp;$F77&amp;" "&amp;$G77&amp;" "&amp;$H77)))),COUNT(O$1:O76)+1,"")</f>
        <v/>
      </c>
      <c r="P77" s="0" t="str">
        <f aca="false">IF(AND(TRIM(C77)&lt;&gt;"",COUNTIF(C$2:C77,C77)=1),MAX(P$1:P76)+1,"")</f>
        <v/>
      </c>
      <c r="Q77" s="0" t="str">
        <f aca="false">IF(AND(TRIM(F77)&lt;&gt;"",COUNTIF(F$2:F77,F77)=1),MAX(Q$1:Q76)+1,"")</f>
        <v/>
      </c>
    </row>
    <row r="78" customFormat="false" ht="15" hidden="false" customHeight="false" outlineLevel="0" collapsed="false">
      <c r="A78" s="9"/>
      <c r="B78" s="10"/>
      <c r="C78" s="11"/>
      <c r="D78" s="11"/>
      <c r="E78" s="11"/>
      <c r="F78" s="11"/>
      <c r="G78" s="12"/>
      <c r="H78" s="12"/>
      <c r="I78" s="10"/>
      <c r="J78" s="12"/>
      <c r="K78" s="13" t="str">
        <f aca="false">IF(ISNUMBER(B78),YEAR(B78),"")</f>
        <v/>
      </c>
      <c r="L78" s="13" t="str">
        <f aca="false">IF(ISNUMBER(B78),MONTH(B78),"")</f>
        <v/>
      </c>
      <c r="M78" s="13" t="str">
        <f aca="false">IF(AND(ISNUMBER(B78),ISNUMBER(I78)),B78-I78+1,"")</f>
        <v/>
      </c>
      <c r="N78" s="14" t="str">
        <f aca="false">IF(B78="","",IF(M78="","시작일 미입력",IF(M78&lt;1,"시작일 이전(확인)",IF(M78=1,"1일째",IF(M78=2,"2일째",IF(M78=3,"3일째",IF(M78&lt;=7,"일주일 이내",IF(M78&lt;=14,"이주일 이내","15일 이후"))))))))</f>
        <v/>
      </c>
      <c r="O78" s="0" t="str">
        <f aca="false">IF(AND(COUNTA($A78:$J78)&gt;0,OR(클레임조회!$C$4="",AND(ISNUMBER($B78),$B78&gt;=클레임조회!$C$4)),OR(클레임조회!$C$5="",AND(ISNUMBER($B78),$B78&lt;=클레임조회!$C$5)),OR(클레임조회!$C$6="",$C78=클레임조회!$C$6),OR(클레임조회!$C$7="",$D78=클레임조회!$C$7),OR(클레임조회!$C$8="",$E78=클레임조회!$C$8),OR(클레임조회!$C$9="",$F78=클레임조회!$C$9),OR(클레임조회!$C$10="",ISNUMBER(SEARCH(클레임조회!$C$10,$C78&amp;" "&amp;$F78&amp;" "&amp;$G78&amp;" "&amp;$H78)))),COUNT(O$1:O77)+1,"")</f>
        <v/>
      </c>
      <c r="P78" s="0" t="str">
        <f aca="false">IF(AND(TRIM(C78)&lt;&gt;"",COUNTIF(C$2:C78,C78)=1),MAX(P$1:P77)+1,"")</f>
        <v/>
      </c>
      <c r="Q78" s="0" t="str">
        <f aca="false">IF(AND(TRIM(F78)&lt;&gt;"",COUNTIF(F$2:F78,F78)=1),MAX(Q$1:Q77)+1,"")</f>
        <v/>
      </c>
    </row>
    <row r="79" customFormat="false" ht="15" hidden="false" customHeight="false" outlineLevel="0" collapsed="false">
      <c r="A79" s="9"/>
      <c r="B79" s="10"/>
      <c r="C79" s="11"/>
      <c r="D79" s="11"/>
      <c r="E79" s="11"/>
      <c r="F79" s="11"/>
      <c r="G79" s="12"/>
      <c r="H79" s="12"/>
      <c r="I79" s="10"/>
      <c r="J79" s="12"/>
      <c r="K79" s="13" t="str">
        <f aca="false">IF(ISNUMBER(B79),YEAR(B79),"")</f>
        <v/>
      </c>
      <c r="L79" s="13" t="str">
        <f aca="false">IF(ISNUMBER(B79),MONTH(B79),"")</f>
        <v/>
      </c>
      <c r="M79" s="13" t="str">
        <f aca="false">IF(AND(ISNUMBER(B79),ISNUMBER(I79)),B79-I79+1,"")</f>
        <v/>
      </c>
      <c r="N79" s="14" t="str">
        <f aca="false">IF(B79="","",IF(M79="","시작일 미입력",IF(M79&lt;1,"시작일 이전(확인)",IF(M79=1,"1일째",IF(M79=2,"2일째",IF(M79=3,"3일째",IF(M79&lt;=7,"일주일 이내",IF(M79&lt;=14,"이주일 이내","15일 이후"))))))))</f>
        <v/>
      </c>
      <c r="O79" s="0" t="str">
        <f aca="false">IF(AND(COUNTA($A79:$J79)&gt;0,OR(클레임조회!$C$4="",AND(ISNUMBER($B79),$B79&gt;=클레임조회!$C$4)),OR(클레임조회!$C$5="",AND(ISNUMBER($B79),$B79&lt;=클레임조회!$C$5)),OR(클레임조회!$C$6="",$C79=클레임조회!$C$6),OR(클레임조회!$C$7="",$D79=클레임조회!$C$7),OR(클레임조회!$C$8="",$E79=클레임조회!$C$8),OR(클레임조회!$C$9="",$F79=클레임조회!$C$9),OR(클레임조회!$C$10="",ISNUMBER(SEARCH(클레임조회!$C$10,$C79&amp;" "&amp;$F79&amp;" "&amp;$G79&amp;" "&amp;$H79)))),COUNT(O$1:O78)+1,"")</f>
        <v/>
      </c>
      <c r="P79" s="0" t="str">
        <f aca="false">IF(AND(TRIM(C79)&lt;&gt;"",COUNTIF(C$2:C79,C79)=1),MAX(P$1:P78)+1,"")</f>
        <v/>
      </c>
      <c r="Q79" s="0" t="str">
        <f aca="false">IF(AND(TRIM(F79)&lt;&gt;"",COUNTIF(F$2:F79,F79)=1),MAX(Q$1:Q78)+1,"")</f>
        <v/>
      </c>
    </row>
    <row r="80" customFormat="false" ht="15" hidden="false" customHeight="false" outlineLevel="0" collapsed="false">
      <c r="A80" s="9"/>
      <c r="B80" s="10"/>
      <c r="C80" s="11"/>
      <c r="D80" s="11"/>
      <c r="E80" s="11"/>
      <c r="F80" s="11"/>
      <c r="G80" s="12"/>
      <c r="H80" s="12"/>
      <c r="I80" s="10"/>
      <c r="J80" s="12"/>
      <c r="K80" s="13" t="str">
        <f aca="false">IF(ISNUMBER(B80),YEAR(B80),"")</f>
        <v/>
      </c>
      <c r="L80" s="13" t="str">
        <f aca="false">IF(ISNUMBER(B80),MONTH(B80),"")</f>
        <v/>
      </c>
      <c r="M80" s="13" t="str">
        <f aca="false">IF(AND(ISNUMBER(B80),ISNUMBER(I80)),B80-I80+1,"")</f>
        <v/>
      </c>
      <c r="N80" s="14" t="str">
        <f aca="false">IF(B80="","",IF(M80="","시작일 미입력",IF(M80&lt;1,"시작일 이전(확인)",IF(M80=1,"1일째",IF(M80=2,"2일째",IF(M80=3,"3일째",IF(M80&lt;=7,"일주일 이내",IF(M80&lt;=14,"이주일 이내","15일 이후"))))))))</f>
        <v/>
      </c>
      <c r="O80" s="0" t="str">
        <f aca="false">IF(AND(COUNTA($A80:$J80)&gt;0,OR(클레임조회!$C$4="",AND(ISNUMBER($B80),$B80&gt;=클레임조회!$C$4)),OR(클레임조회!$C$5="",AND(ISNUMBER($B80),$B80&lt;=클레임조회!$C$5)),OR(클레임조회!$C$6="",$C80=클레임조회!$C$6),OR(클레임조회!$C$7="",$D80=클레임조회!$C$7),OR(클레임조회!$C$8="",$E80=클레임조회!$C$8),OR(클레임조회!$C$9="",$F80=클레임조회!$C$9),OR(클레임조회!$C$10="",ISNUMBER(SEARCH(클레임조회!$C$10,$C80&amp;" "&amp;$F80&amp;" "&amp;$G80&amp;" "&amp;$H80)))),COUNT(O$1:O79)+1,"")</f>
        <v/>
      </c>
      <c r="P80" s="0" t="str">
        <f aca="false">IF(AND(TRIM(C80)&lt;&gt;"",COUNTIF(C$2:C80,C80)=1),MAX(P$1:P79)+1,"")</f>
        <v/>
      </c>
      <c r="Q80" s="0" t="str">
        <f aca="false">IF(AND(TRIM(F80)&lt;&gt;"",COUNTIF(F$2:F80,F80)=1),MAX(Q$1:Q79)+1,"")</f>
        <v/>
      </c>
    </row>
    <row r="81" customFormat="false" ht="15" hidden="false" customHeight="false" outlineLevel="0" collapsed="false">
      <c r="A81" s="9"/>
      <c r="B81" s="10"/>
      <c r="C81" s="11"/>
      <c r="D81" s="11"/>
      <c r="E81" s="11"/>
      <c r="F81" s="11"/>
      <c r="G81" s="12"/>
      <c r="H81" s="12"/>
      <c r="I81" s="10"/>
      <c r="J81" s="12"/>
      <c r="K81" s="13" t="str">
        <f aca="false">IF(ISNUMBER(B81),YEAR(B81),"")</f>
        <v/>
      </c>
      <c r="L81" s="13" t="str">
        <f aca="false">IF(ISNUMBER(B81),MONTH(B81),"")</f>
        <v/>
      </c>
      <c r="M81" s="13" t="str">
        <f aca="false">IF(AND(ISNUMBER(B81),ISNUMBER(I81)),B81-I81+1,"")</f>
        <v/>
      </c>
      <c r="N81" s="14" t="str">
        <f aca="false">IF(B81="","",IF(M81="","시작일 미입력",IF(M81&lt;1,"시작일 이전(확인)",IF(M81=1,"1일째",IF(M81=2,"2일째",IF(M81=3,"3일째",IF(M81&lt;=7,"일주일 이내",IF(M81&lt;=14,"이주일 이내","15일 이후"))))))))</f>
        <v/>
      </c>
      <c r="O81" s="0" t="str">
        <f aca="false">IF(AND(COUNTA($A81:$J81)&gt;0,OR(클레임조회!$C$4="",AND(ISNUMBER($B81),$B81&gt;=클레임조회!$C$4)),OR(클레임조회!$C$5="",AND(ISNUMBER($B81),$B81&lt;=클레임조회!$C$5)),OR(클레임조회!$C$6="",$C81=클레임조회!$C$6),OR(클레임조회!$C$7="",$D81=클레임조회!$C$7),OR(클레임조회!$C$8="",$E81=클레임조회!$C$8),OR(클레임조회!$C$9="",$F81=클레임조회!$C$9),OR(클레임조회!$C$10="",ISNUMBER(SEARCH(클레임조회!$C$10,$C81&amp;" "&amp;$F81&amp;" "&amp;$G81&amp;" "&amp;$H81)))),COUNT(O$1:O80)+1,"")</f>
        <v/>
      </c>
      <c r="P81" s="0" t="str">
        <f aca="false">IF(AND(TRIM(C81)&lt;&gt;"",COUNTIF(C$2:C81,C81)=1),MAX(P$1:P80)+1,"")</f>
        <v/>
      </c>
      <c r="Q81" s="0" t="str">
        <f aca="false">IF(AND(TRIM(F81)&lt;&gt;"",COUNTIF(F$2:F81,F81)=1),MAX(Q$1:Q80)+1,"")</f>
        <v/>
      </c>
    </row>
    <row r="82" customFormat="false" ht="15" hidden="false" customHeight="false" outlineLevel="0" collapsed="false">
      <c r="A82" s="9"/>
      <c r="B82" s="10"/>
      <c r="C82" s="11"/>
      <c r="D82" s="11"/>
      <c r="E82" s="11"/>
      <c r="F82" s="11"/>
      <c r="G82" s="12"/>
      <c r="H82" s="12"/>
      <c r="I82" s="10"/>
      <c r="J82" s="12"/>
      <c r="K82" s="13" t="str">
        <f aca="false">IF(ISNUMBER(B82),YEAR(B82),"")</f>
        <v/>
      </c>
      <c r="L82" s="13" t="str">
        <f aca="false">IF(ISNUMBER(B82),MONTH(B82),"")</f>
        <v/>
      </c>
      <c r="M82" s="13" t="str">
        <f aca="false">IF(AND(ISNUMBER(B82),ISNUMBER(I82)),B82-I82+1,"")</f>
        <v/>
      </c>
      <c r="N82" s="14" t="str">
        <f aca="false">IF(B82="","",IF(M82="","시작일 미입력",IF(M82&lt;1,"시작일 이전(확인)",IF(M82=1,"1일째",IF(M82=2,"2일째",IF(M82=3,"3일째",IF(M82&lt;=7,"일주일 이내",IF(M82&lt;=14,"이주일 이내","15일 이후"))))))))</f>
        <v/>
      </c>
      <c r="O82" s="0" t="str">
        <f aca="false">IF(AND(COUNTA($A82:$J82)&gt;0,OR(클레임조회!$C$4="",AND(ISNUMBER($B82),$B82&gt;=클레임조회!$C$4)),OR(클레임조회!$C$5="",AND(ISNUMBER($B82),$B82&lt;=클레임조회!$C$5)),OR(클레임조회!$C$6="",$C82=클레임조회!$C$6),OR(클레임조회!$C$7="",$D82=클레임조회!$C$7),OR(클레임조회!$C$8="",$E82=클레임조회!$C$8),OR(클레임조회!$C$9="",$F82=클레임조회!$C$9),OR(클레임조회!$C$10="",ISNUMBER(SEARCH(클레임조회!$C$10,$C82&amp;" "&amp;$F82&amp;" "&amp;$G82&amp;" "&amp;$H82)))),COUNT(O$1:O81)+1,"")</f>
        <v/>
      </c>
      <c r="P82" s="0" t="str">
        <f aca="false">IF(AND(TRIM(C82)&lt;&gt;"",COUNTIF(C$2:C82,C82)=1),MAX(P$1:P81)+1,"")</f>
        <v/>
      </c>
      <c r="Q82" s="0" t="str">
        <f aca="false">IF(AND(TRIM(F82)&lt;&gt;"",COUNTIF(F$2:F82,F82)=1),MAX(Q$1:Q81)+1,"")</f>
        <v/>
      </c>
    </row>
    <row r="83" customFormat="false" ht="15" hidden="false" customHeight="false" outlineLevel="0" collapsed="false">
      <c r="A83" s="9"/>
      <c r="B83" s="10"/>
      <c r="C83" s="11"/>
      <c r="D83" s="11"/>
      <c r="E83" s="11"/>
      <c r="F83" s="11"/>
      <c r="G83" s="12"/>
      <c r="H83" s="12"/>
      <c r="I83" s="10"/>
      <c r="J83" s="12"/>
      <c r="K83" s="13" t="str">
        <f aca="false">IF(ISNUMBER(B83),YEAR(B83),"")</f>
        <v/>
      </c>
      <c r="L83" s="13" t="str">
        <f aca="false">IF(ISNUMBER(B83),MONTH(B83),"")</f>
        <v/>
      </c>
      <c r="M83" s="13" t="str">
        <f aca="false">IF(AND(ISNUMBER(B83),ISNUMBER(I83)),B83-I83+1,"")</f>
        <v/>
      </c>
      <c r="N83" s="14" t="str">
        <f aca="false">IF(B83="","",IF(M83="","시작일 미입력",IF(M83&lt;1,"시작일 이전(확인)",IF(M83=1,"1일째",IF(M83=2,"2일째",IF(M83=3,"3일째",IF(M83&lt;=7,"일주일 이내",IF(M83&lt;=14,"이주일 이내","15일 이후"))))))))</f>
        <v/>
      </c>
      <c r="O83" s="0" t="str">
        <f aca="false">IF(AND(COUNTA($A83:$J83)&gt;0,OR(클레임조회!$C$4="",AND(ISNUMBER($B83),$B83&gt;=클레임조회!$C$4)),OR(클레임조회!$C$5="",AND(ISNUMBER($B83),$B83&lt;=클레임조회!$C$5)),OR(클레임조회!$C$6="",$C83=클레임조회!$C$6),OR(클레임조회!$C$7="",$D83=클레임조회!$C$7),OR(클레임조회!$C$8="",$E83=클레임조회!$C$8),OR(클레임조회!$C$9="",$F83=클레임조회!$C$9),OR(클레임조회!$C$10="",ISNUMBER(SEARCH(클레임조회!$C$10,$C83&amp;" "&amp;$F83&amp;" "&amp;$G83&amp;" "&amp;$H83)))),COUNT(O$1:O82)+1,"")</f>
        <v/>
      </c>
      <c r="P83" s="0" t="str">
        <f aca="false">IF(AND(TRIM(C83)&lt;&gt;"",COUNTIF(C$2:C83,C83)=1),MAX(P$1:P82)+1,"")</f>
        <v/>
      </c>
      <c r="Q83" s="0" t="str">
        <f aca="false">IF(AND(TRIM(F83)&lt;&gt;"",COUNTIF(F$2:F83,F83)=1),MAX(Q$1:Q82)+1,"")</f>
        <v/>
      </c>
    </row>
    <row r="84" customFormat="false" ht="15" hidden="false" customHeight="false" outlineLevel="0" collapsed="false">
      <c r="A84" s="9"/>
      <c r="B84" s="10"/>
      <c r="C84" s="11"/>
      <c r="D84" s="11"/>
      <c r="E84" s="11"/>
      <c r="F84" s="11"/>
      <c r="G84" s="12"/>
      <c r="H84" s="12"/>
      <c r="I84" s="10"/>
      <c r="J84" s="12"/>
      <c r="K84" s="13" t="str">
        <f aca="false">IF(ISNUMBER(B84),YEAR(B84),"")</f>
        <v/>
      </c>
      <c r="L84" s="13" t="str">
        <f aca="false">IF(ISNUMBER(B84),MONTH(B84),"")</f>
        <v/>
      </c>
      <c r="M84" s="13" t="str">
        <f aca="false">IF(AND(ISNUMBER(B84),ISNUMBER(I84)),B84-I84+1,"")</f>
        <v/>
      </c>
      <c r="N84" s="14" t="str">
        <f aca="false">IF(B84="","",IF(M84="","시작일 미입력",IF(M84&lt;1,"시작일 이전(확인)",IF(M84=1,"1일째",IF(M84=2,"2일째",IF(M84=3,"3일째",IF(M84&lt;=7,"일주일 이내",IF(M84&lt;=14,"이주일 이내","15일 이후"))))))))</f>
        <v/>
      </c>
      <c r="O84" s="0" t="str">
        <f aca="false">IF(AND(COUNTA($A84:$J84)&gt;0,OR(클레임조회!$C$4="",AND(ISNUMBER($B84),$B84&gt;=클레임조회!$C$4)),OR(클레임조회!$C$5="",AND(ISNUMBER($B84),$B84&lt;=클레임조회!$C$5)),OR(클레임조회!$C$6="",$C84=클레임조회!$C$6),OR(클레임조회!$C$7="",$D84=클레임조회!$C$7),OR(클레임조회!$C$8="",$E84=클레임조회!$C$8),OR(클레임조회!$C$9="",$F84=클레임조회!$C$9),OR(클레임조회!$C$10="",ISNUMBER(SEARCH(클레임조회!$C$10,$C84&amp;" "&amp;$F84&amp;" "&amp;$G84&amp;" "&amp;$H84)))),COUNT(O$1:O83)+1,"")</f>
        <v/>
      </c>
      <c r="P84" s="0" t="str">
        <f aca="false">IF(AND(TRIM(C84)&lt;&gt;"",COUNTIF(C$2:C84,C84)=1),MAX(P$1:P83)+1,"")</f>
        <v/>
      </c>
      <c r="Q84" s="0" t="str">
        <f aca="false">IF(AND(TRIM(F84)&lt;&gt;"",COUNTIF(F$2:F84,F84)=1),MAX(Q$1:Q83)+1,"")</f>
        <v/>
      </c>
    </row>
    <row r="85" customFormat="false" ht="15" hidden="false" customHeight="false" outlineLevel="0" collapsed="false">
      <c r="A85" s="9"/>
      <c r="B85" s="10"/>
      <c r="C85" s="11"/>
      <c r="D85" s="11"/>
      <c r="E85" s="11"/>
      <c r="F85" s="11"/>
      <c r="G85" s="12"/>
      <c r="H85" s="12"/>
      <c r="I85" s="10"/>
      <c r="J85" s="12"/>
      <c r="K85" s="13" t="str">
        <f aca="false">IF(ISNUMBER(B85),YEAR(B85),"")</f>
        <v/>
      </c>
      <c r="L85" s="13" t="str">
        <f aca="false">IF(ISNUMBER(B85),MONTH(B85),"")</f>
        <v/>
      </c>
      <c r="M85" s="13" t="str">
        <f aca="false">IF(AND(ISNUMBER(B85),ISNUMBER(I85)),B85-I85+1,"")</f>
        <v/>
      </c>
      <c r="N85" s="14" t="str">
        <f aca="false">IF(B85="","",IF(M85="","시작일 미입력",IF(M85&lt;1,"시작일 이전(확인)",IF(M85=1,"1일째",IF(M85=2,"2일째",IF(M85=3,"3일째",IF(M85&lt;=7,"일주일 이내",IF(M85&lt;=14,"이주일 이내","15일 이후"))))))))</f>
        <v/>
      </c>
      <c r="O85" s="0" t="str">
        <f aca="false">IF(AND(COUNTA($A85:$J85)&gt;0,OR(클레임조회!$C$4="",AND(ISNUMBER($B85),$B85&gt;=클레임조회!$C$4)),OR(클레임조회!$C$5="",AND(ISNUMBER($B85),$B85&lt;=클레임조회!$C$5)),OR(클레임조회!$C$6="",$C85=클레임조회!$C$6),OR(클레임조회!$C$7="",$D85=클레임조회!$C$7),OR(클레임조회!$C$8="",$E85=클레임조회!$C$8),OR(클레임조회!$C$9="",$F85=클레임조회!$C$9),OR(클레임조회!$C$10="",ISNUMBER(SEARCH(클레임조회!$C$10,$C85&amp;" "&amp;$F85&amp;" "&amp;$G85&amp;" "&amp;$H85)))),COUNT(O$1:O84)+1,"")</f>
        <v/>
      </c>
      <c r="P85" s="0" t="str">
        <f aca="false">IF(AND(TRIM(C85)&lt;&gt;"",COUNTIF(C$2:C85,C85)=1),MAX(P$1:P84)+1,"")</f>
        <v/>
      </c>
      <c r="Q85" s="0" t="str">
        <f aca="false">IF(AND(TRIM(F85)&lt;&gt;"",COUNTIF(F$2:F85,F85)=1),MAX(Q$1:Q84)+1,"")</f>
        <v/>
      </c>
    </row>
    <row r="86" customFormat="false" ht="15" hidden="false" customHeight="false" outlineLevel="0" collapsed="false">
      <c r="A86" s="9"/>
      <c r="B86" s="10"/>
      <c r="C86" s="11"/>
      <c r="D86" s="11"/>
      <c r="E86" s="11"/>
      <c r="F86" s="11"/>
      <c r="G86" s="12"/>
      <c r="H86" s="12"/>
      <c r="I86" s="10"/>
      <c r="J86" s="12"/>
      <c r="K86" s="13" t="str">
        <f aca="false">IF(ISNUMBER(B86),YEAR(B86),"")</f>
        <v/>
      </c>
      <c r="L86" s="13" t="str">
        <f aca="false">IF(ISNUMBER(B86),MONTH(B86),"")</f>
        <v/>
      </c>
      <c r="M86" s="13" t="str">
        <f aca="false">IF(AND(ISNUMBER(B86),ISNUMBER(I86)),B86-I86+1,"")</f>
        <v/>
      </c>
      <c r="N86" s="14" t="str">
        <f aca="false">IF(B86="","",IF(M86="","시작일 미입력",IF(M86&lt;1,"시작일 이전(확인)",IF(M86=1,"1일째",IF(M86=2,"2일째",IF(M86=3,"3일째",IF(M86&lt;=7,"일주일 이내",IF(M86&lt;=14,"이주일 이내","15일 이후"))))))))</f>
        <v/>
      </c>
      <c r="O86" s="0" t="str">
        <f aca="false">IF(AND(COUNTA($A86:$J86)&gt;0,OR(클레임조회!$C$4="",AND(ISNUMBER($B86),$B86&gt;=클레임조회!$C$4)),OR(클레임조회!$C$5="",AND(ISNUMBER($B86),$B86&lt;=클레임조회!$C$5)),OR(클레임조회!$C$6="",$C86=클레임조회!$C$6),OR(클레임조회!$C$7="",$D86=클레임조회!$C$7),OR(클레임조회!$C$8="",$E86=클레임조회!$C$8),OR(클레임조회!$C$9="",$F86=클레임조회!$C$9),OR(클레임조회!$C$10="",ISNUMBER(SEARCH(클레임조회!$C$10,$C86&amp;" "&amp;$F86&amp;" "&amp;$G86&amp;" "&amp;$H86)))),COUNT(O$1:O85)+1,"")</f>
        <v/>
      </c>
      <c r="P86" s="0" t="str">
        <f aca="false">IF(AND(TRIM(C86)&lt;&gt;"",COUNTIF(C$2:C86,C86)=1),MAX(P$1:P85)+1,"")</f>
        <v/>
      </c>
      <c r="Q86" s="0" t="str">
        <f aca="false">IF(AND(TRIM(F86)&lt;&gt;"",COUNTIF(F$2:F86,F86)=1),MAX(Q$1:Q85)+1,"")</f>
        <v/>
      </c>
    </row>
    <row r="87" customFormat="false" ht="15" hidden="false" customHeight="false" outlineLevel="0" collapsed="false">
      <c r="A87" s="9"/>
      <c r="B87" s="10"/>
      <c r="C87" s="11"/>
      <c r="D87" s="11"/>
      <c r="E87" s="11"/>
      <c r="F87" s="11"/>
      <c r="G87" s="12"/>
      <c r="H87" s="12"/>
      <c r="I87" s="10"/>
      <c r="J87" s="12"/>
      <c r="K87" s="13" t="str">
        <f aca="false">IF(ISNUMBER(B87),YEAR(B87),"")</f>
        <v/>
      </c>
      <c r="L87" s="13" t="str">
        <f aca="false">IF(ISNUMBER(B87),MONTH(B87),"")</f>
        <v/>
      </c>
      <c r="M87" s="13" t="str">
        <f aca="false">IF(AND(ISNUMBER(B87),ISNUMBER(I87)),B87-I87+1,"")</f>
        <v/>
      </c>
      <c r="N87" s="14" t="str">
        <f aca="false">IF(B87="","",IF(M87="","시작일 미입력",IF(M87&lt;1,"시작일 이전(확인)",IF(M87=1,"1일째",IF(M87=2,"2일째",IF(M87=3,"3일째",IF(M87&lt;=7,"일주일 이내",IF(M87&lt;=14,"이주일 이내","15일 이후"))))))))</f>
        <v/>
      </c>
      <c r="O87" s="0" t="str">
        <f aca="false">IF(AND(COUNTA($A87:$J87)&gt;0,OR(클레임조회!$C$4="",AND(ISNUMBER($B87),$B87&gt;=클레임조회!$C$4)),OR(클레임조회!$C$5="",AND(ISNUMBER($B87),$B87&lt;=클레임조회!$C$5)),OR(클레임조회!$C$6="",$C87=클레임조회!$C$6),OR(클레임조회!$C$7="",$D87=클레임조회!$C$7),OR(클레임조회!$C$8="",$E87=클레임조회!$C$8),OR(클레임조회!$C$9="",$F87=클레임조회!$C$9),OR(클레임조회!$C$10="",ISNUMBER(SEARCH(클레임조회!$C$10,$C87&amp;" "&amp;$F87&amp;" "&amp;$G87&amp;" "&amp;$H87)))),COUNT(O$1:O86)+1,"")</f>
        <v/>
      </c>
      <c r="P87" s="0" t="str">
        <f aca="false">IF(AND(TRIM(C87)&lt;&gt;"",COUNTIF(C$2:C87,C87)=1),MAX(P$1:P86)+1,"")</f>
        <v/>
      </c>
      <c r="Q87" s="0" t="str">
        <f aca="false">IF(AND(TRIM(F87)&lt;&gt;"",COUNTIF(F$2:F87,F87)=1),MAX(Q$1:Q86)+1,"")</f>
        <v/>
      </c>
    </row>
    <row r="88" customFormat="false" ht="15" hidden="false" customHeight="false" outlineLevel="0" collapsed="false">
      <c r="A88" s="9"/>
      <c r="B88" s="10"/>
      <c r="C88" s="11"/>
      <c r="D88" s="11"/>
      <c r="E88" s="11"/>
      <c r="F88" s="11"/>
      <c r="G88" s="12"/>
      <c r="H88" s="12"/>
      <c r="I88" s="10"/>
      <c r="J88" s="12"/>
      <c r="K88" s="13" t="str">
        <f aca="false">IF(ISNUMBER(B88),YEAR(B88),"")</f>
        <v/>
      </c>
      <c r="L88" s="13" t="str">
        <f aca="false">IF(ISNUMBER(B88),MONTH(B88),"")</f>
        <v/>
      </c>
      <c r="M88" s="13" t="str">
        <f aca="false">IF(AND(ISNUMBER(B88),ISNUMBER(I88)),B88-I88+1,"")</f>
        <v/>
      </c>
      <c r="N88" s="14" t="str">
        <f aca="false">IF(B88="","",IF(M88="","시작일 미입력",IF(M88&lt;1,"시작일 이전(확인)",IF(M88=1,"1일째",IF(M88=2,"2일째",IF(M88=3,"3일째",IF(M88&lt;=7,"일주일 이내",IF(M88&lt;=14,"이주일 이내","15일 이후"))))))))</f>
        <v/>
      </c>
      <c r="O88" s="0" t="str">
        <f aca="false">IF(AND(COUNTA($A88:$J88)&gt;0,OR(클레임조회!$C$4="",AND(ISNUMBER($B88),$B88&gt;=클레임조회!$C$4)),OR(클레임조회!$C$5="",AND(ISNUMBER($B88),$B88&lt;=클레임조회!$C$5)),OR(클레임조회!$C$6="",$C88=클레임조회!$C$6),OR(클레임조회!$C$7="",$D88=클레임조회!$C$7),OR(클레임조회!$C$8="",$E88=클레임조회!$C$8),OR(클레임조회!$C$9="",$F88=클레임조회!$C$9),OR(클레임조회!$C$10="",ISNUMBER(SEARCH(클레임조회!$C$10,$C88&amp;" "&amp;$F88&amp;" "&amp;$G88&amp;" "&amp;$H88)))),COUNT(O$1:O87)+1,"")</f>
        <v/>
      </c>
      <c r="P88" s="0" t="str">
        <f aca="false">IF(AND(TRIM(C88)&lt;&gt;"",COUNTIF(C$2:C88,C88)=1),MAX(P$1:P87)+1,"")</f>
        <v/>
      </c>
      <c r="Q88" s="0" t="str">
        <f aca="false">IF(AND(TRIM(F88)&lt;&gt;"",COUNTIF(F$2:F88,F88)=1),MAX(Q$1:Q87)+1,"")</f>
        <v/>
      </c>
    </row>
    <row r="89" customFormat="false" ht="15" hidden="false" customHeight="false" outlineLevel="0" collapsed="false">
      <c r="A89" s="9"/>
      <c r="B89" s="10"/>
      <c r="C89" s="11"/>
      <c r="D89" s="11"/>
      <c r="E89" s="11"/>
      <c r="F89" s="11"/>
      <c r="G89" s="12"/>
      <c r="H89" s="12"/>
      <c r="I89" s="10"/>
      <c r="J89" s="12"/>
      <c r="K89" s="13" t="str">
        <f aca="false">IF(ISNUMBER(B89),YEAR(B89),"")</f>
        <v/>
      </c>
      <c r="L89" s="13" t="str">
        <f aca="false">IF(ISNUMBER(B89),MONTH(B89),"")</f>
        <v/>
      </c>
      <c r="M89" s="13" t="str">
        <f aca="false">IF(AND(ISNUMBER(B89),ISNUMBER(I89)),B89-I89+1,"")</f>
        <v/>
      </c>
      <c r="N89" s="14" t="str">
        <f aca="false">IF(B89="","",IF(M89="","시작일 미입력",IF(M89&lt;1,"시작일 이전(확인)",IF(M89=1,"1일째",IF(M89=2,"2일째",IF(M89=3,"3일째",IF(M89&lt;=7,"일주일 이내",IF(M89&lt;=14,"이주일 이내","15일 이후"))))))))</f>
        <v/>
      </c>
      <c r="O89" s="0" t="str">
        <f aca="false">IF(AND(COUNTA($A89:$J89)&gt;0,OR(클레임조회!$C$4="",AND(ISNUMBER($B89),$B89&gt;=클레임조회!$C$4)),OR(클레임조회!$C$5="",AND(ISNUMBER($B89),$B89&lt;=클레임조회!$C$5)),OR(클레임조회!$C$6="",$C89=클레임조회!$C$6),OR(클레임조회!$C$7="",$D89=클레임조회!$C$7),OR(클레임조회!$C$8="",$E89=클레임조회!$C$8),OR(클레임조회!$C$9="",$F89=클레임조회!$C$9),OR(클레임조회!$C$10="",ISNUMBER(SEARCH(클레임조회!$C$10,$C89&amp;" "&amp;$F89&amp;" "&amp;$G89&amp;" "&amp;$H89)))),COUNT(O$1:O88)+1,"")</f>
        <v/>
      </c>
      <c r="P89" s="0" t="str">
        <f aca="false">IF(AND(TRIM(C89)&lt;&gt;"",COUNTIF(C$2:C89,C89)=1),MAX(P$1:P88)+1,"")</f>
        <v/>
      </c>
      <c r="Q89" s="0" t="str">
        <f aca="false">IF(AND(TRIM(F89)&lt;&gt;"",COUNTIF(F$2:F89,F89)=1),MAX(Q$1:Q88)+1,"")</f>
        <v/>
      </c>
    </row>
    <row r="90" customFormat="false" ht="15" hidden="false" customHeight="false" outlineLevel="0" collapsed="false">
      <c r="A90" s="9"/>
      <c r="B90" s="10"/>
      <c r="C90" s="11"/>
      <c r="D90" s="11"/>
      <c r="E90" s="11"/>
      <c r="F90" s="11"/>
      <c r="G90" s="12"/>
      <c r="H90" s="12"/>
      <c r="I90" s="10"/>
      <c r="J90" s="12"/>
      <c r="K90" s="13" t="str">
        <f aca="false">IF(ISNUMBER(B90),YEAR(B90),"")</f>
        <v/>
      </c>
      <c r="L90" s="13" t="str">
        <f aca="false">IF(ISNUMBER(B90),MONTH(B90),"")</f>
        <v/>
      </c>
      <c r="M90" s="13" t="str">
        <f aca="false">IF(AND(ISNUMBER(B90),ISNUMBER(I90)),B90-I90+1,"")</f>
        <v/>
      </c>
      <c r="N90" s="14" t="str">
        <f aca="false">IF(B90="","",IF(M90="","시작일 미입력",IF(M90&lt;1,"시작일 이전(확인)",IF(M90=1,"1일째",IF(M90=2,"2일째",IF(M90=3,"3일째",IF(M90&lt;=7,"일주일 이내",IF(M90&lt;=14,"이주일 이내","15일 이후"))))))))</f>
        <v/>
      </c>
      <c r="O90" s="0" t="str">
        <f aca="false">IF(AND(COUNTA($A90:$J90)&gt;0,OR(클레임조회!$C$4="",AND(ISNUMBER($B90),$B90&gt;=클레임조회!$C$4)),OR(클레임조회!$C$5="",AND(ISNUMBER($B90),$B90&lt;=클레임조회!$C$5)),OR(클레임조회!$C$6="",$C90=클레임조회!$C$6),OR(클레임조회!$C$7="",$D90=클레임조회!$C$7),OR(클레임조회!$C$8="",$E90=클레임조회!$C$8),OR(클레임조회!$C$9="",$F90=클레임조회!$C$9),OR(클레임조회!$C$10="",ISNUMBER(SEARCH(클레임조회!$C$10,$C90&amp;" "&amp;$F90&amp;" "&amp;$G90&amp;" "&amp;$H90)))),COUNT(O$1:O89)+1,"")</f>
        <v/>
      </c>
      <c r="P90" s="0" t="str">
        <f aca="false">IF(AND(TRIM(C90)&lt;&gt;"",COUNTIF(C$2:C90,C90)=1),MAX(P$1:P89)+1,"")</f>
        <v/>
      </c>
      <c r="Q90" s="0" t="str">
        <f aca="false">IF(AND(TRIM(F90)&lt;&gt;"",COUNTIF(F$2:F90,F90)=1),MAX(Q$1:Q89)+1,"")</f>
        <v/>
      </c>
    </row>
    <row r="91" customFormat="false" ht="15" hidden="false" customHeight="false" outlineLevel="0" collapsed="false">
      <c r="A91" s="9"/>
      <c r="B91" s="10"/>
      <c r="C91" s="11"/>
      <c r="D91" s="11"/>
      <c r="E91" s="11"/>
      <c r="F91" s="11"/>
      <c r="G91" s="12"/>
      <c r="H91" s="12"/>
      <c r="I91" s="10"/>
      <c r="J91" s="12"/>
      <c r="K91" s="13" t="str">
        <f aca="false">IF(ISNUMBER(B91),YEAR(B91),"")</f>
        <v/>
      </c>
      <c r="L91" s="13" t="str">
        <f aca="false">IF(ISNUMBER(B91),MONTH(B91),"")</f>
        <v/>
      </c>
      <c r="M91" s="13" t="str">
        <f aca="false">IF(AND(ISNUMBER(B91),ISNUMBER(I91)),B91-I91+1,"")</f>
        <v/>
      </c>
      <c r="N91" s="14" t="str">
        <f aca="false">IF(B91="","",IF(M91="","시작일 미입력",IF(M91&lt;1,"시작일 이전(확인)",IF(M91=1,"1일째",IF(M91=2,"2일째",IF(M91=3,"3일째",IF(M91&lt;=7,"일주일 이내",IF(M91&lt;=14,"이주일 이내","15일 이후"))))))))</f>
        <v/>
      </c>
      <c r="O91" s="0" t="str">
        <f aca="false">IF(AND(COUNTA($A91:$J91)&gt;0,OR(클레임조회!$C$4="",AND(ISNUMBER($B91),$B91&gt;=클레임조회!$C$4)),OR(클레임조회!$C$5="",AND(ISNUMBER($B91),$B91&lt;=클레임조회!$C$5)),OR(클레임조회!$C$6="",$C91=클레임조회!$C$6),OR(클레임조회!$C$7="",$D91=클레임조회!$C$7),OR(클레임조회!$C$8="",$E91=클레임조회!$C$8),OR(클레임조회!$C$9="",$F91=클레임조회!$C$9),OR(클레임조회!$C$10="",ISNUMBER(SEARCH(클레임조회!$C$10,$C91&amp;" "&amp;$F91&amp;" "&amp;$G91&amp;" "&amp;$H91)))),COUNT(O$1:O90)+1,"")</f>
        <v/>
      </c>
      <c r="P91" s="0" t="str">
        <f aca="false">IF(AND(TRIM(C91)&lt;&gt;"",COUNTIF(C$2:C91,C91)=1),MAX(P$1:P90)+1,"")</f>
        <v/>
      </c>
      <c r="Q91" s="0" t="str">
        <f aca="false">IF(AND(TRIM(F91)&lt;&gt;"",COUNTIF(F$2:F91,F91)=1),MAX(Q$1:Q90)+1,"")</f>
        <v/>
      </c>
    </row>
    <row r="92" customFormat="false" ht="15" hidden="false" customHeight="false" outlineLevel="0" collapsed="false">
      <c r="A92" s="9"/>
      <c r="B92" s="10"/>
      <c r="C92" s="11"/>
      <c r="D92" s="11"/>
      <c r="E92" s="11"/>
      <c r="F92" s="11"/>
      <c r="G92" s="12"/>
      <c r="H92" s="12"/>
      <c r="I92" s="10"/>
      <c r="J92" s="12"/>
      <c r="K92" s="13" t="str">
        <f aca="false">IF(ISNUMBER(B92),YEAR(B92),"")</f>
        <v/>
      </c>
      <c r="L92" s="13" t="str">
        <f aca="false">IF(ISNUMBER(B92),MONTH(B92),"")</f>
        <v/>
      </c>
      <c r="M92" s="13" t="str">
        <f aca="false">IF(AND(ISNUMBER(B92),ISNUMBER(I92)),B92-I92+1,"")</f>
        <v/>
      </c>
      <c r="N92" s="14" t="str">
        <f aca="false">IF(B92="","",IF(M92="","시작일 미입력",IF(M92&lt;1,"시작일 이전(확인)",IF(M92=1,"1일째",IF(M92=2,"2일째",IF(M92=3,"3일째",IF(M92&lt;=7,"일주일 이내",IF(M92&lt;=14,"이주일 이내","15일 이후"))))))))</f>
        <v/>
      </c>
      <c r="O92" s="0" t="str">
        <f aca="false">IF(AND(COUNTA($A92:$J92)&gt;0,OR(클레임조회!$C$4="",AND(ISNUMBER($B92),$B92&gt;=클레임조회!$C$4)),OR(클레임조회!$C$5="",AND(ISNUMBER($B92),$B92&lt;=클레임조회!$C$5)),OR(클레임조회!$C$6="",$C92=클레임조회!$C$6),OR(클레임조회!$C$7="",$D92=클레임조회!$C$7),OR(클레임조회!$C$8="",$E92=클레임조회!$C$8),OR(클레임조회!$C$9="",$F92=클레임조회!$C$9),OR(클레임조회!$C$10="",ISNUMBER(SEARCH(클레임조회!$C$10,$C92&amp;" "&amp;$F92&amp;" "&amp;$G92&amp;" "&amp;$H92)))),COUNT(O$1:O91)+1,"")</f>
        <v/>
      </c>
      <c r="P92" s="0" t="str">
        <f aca="false">IF(AND(TRIM(C92)&lt;&gt;"",COUNTIF(C$2:C92,C92)=1),MAX(P$1:P91)+1,"")</f>
        <v/>
      </c>
      <c r="Q92" s="0" t="str">
        <f aca="false">IF(AND(TRIM(F92)&lt;&gt;"",COUNTIF(F$2:F92,F92)=1),MAX(Q$1:Q91)+1,"")</f>
        <v/>
      </c>
    </row>
    <row r="93" customFormat="false" ht="15" hidden="false" customHeight="false" outlineLevel="0" collapsed="false">
      <c r="A93" s="9"/>
      <c r="B93" s="10"/>
      <c r="C93" s="11"/>
      <c r="D93" s="11"/>
      <c r="E93" s="11"/>
      <c r="F93" s="11"/>
      <c r="G93" s="12"/>
      <c r="H93" s="12"/>
      <c r="I93" s="10"/>
      <c r="J93" s="12"/>
      <c r="K93" s="13" t="str">
        <f aca="false">IF(ISNUMBER(B93),YEAR(B93),"")</f>
        <v/>
      </c>
      <c r="L93" s="13" t="str">
        <f aca="false">IF(ISNUMBER(B93),MONTH(B93),"")</f>
        <v/>
      </c>
      <c r="M93" s="13" t="str">
        <f aca="false">IF(AND(ISNUMBER(B93),ISNUMBER(I93)),B93-I93+1,"")</f>
        <v/>
      </c>
      <c r="N93" s="14" t="str">
        <f aca="false">IF(B93="","",IF(M93="","시작일 미입력",IF(M93&lt;1,"시작일 이전(확인)",IF(M93=1,"1일째",IF(M93=2,"2일째",IF(M93=3,"3일째",IF(M93&lt;=7,"일주일 이내",IF(M93&lt;=14,"이주일 이내","15일 이후"))))))))</f>
        <v/>
      </c>
      <c r="O93" s="0" t="str">
        <f aca="false">IF(AND(COUNTA($A93:$J93)&gt;0,OR(클레임조회!$C$4="",AND(ISNUMBER($B93),$B93&gt;=클레임조회!$C$4)),OR(클레임조회!$C$5="",AND(ISNUMBER($B93),$B93&lt;=클레임조회!$C$5)),OR(클레임조회!$C$6="",$C93=클레임조회!$C$6),OR(클레임조회!$C$7="",$D93=클레임조회!$C$7),OR(클레임조회!$C$8="",$E93=클레임조회!$C$8),OR(클레임조회!$C$9="",$F93=클레임조회!$C$9),OR(클레임조회!$C$10="",ISNUMBER(SEARCH(클레임조회!$C$10,$C93&amp;" "&amp;$F93&amp;" "&amp;$G93&amp;" "&amp;$H93)))),COUNT(O$1:O92)+1,"")</f>
        <v/>
      </c>
      <c r="P93" s="0" t="str">
        <f aca="false">IF(AND(TRIM(C93)&lt;&gt;"",COUNTIF(C$2:C93,C93)=1),MAX(P$1:P92)+1,"")</f>
        <v/>
      </c>
      <c r="Q93" s="0" t="str">
        <f aca="false">IF(AND(TRIM(F93)&lt;&gt;"",COUNTIF(F$2:F93,F93)=1),MAX(Q$1:Q92)+1,"")</f>
        <v/>
      </c>
    </row>
    <row r="94" customFormat="false" ht="15" hidden="false" customHeight="false" outlineLevel="0" collapsed="false">
      <c r="A94" s="9"/>
      <c r="B94" s="10"/>
      <c r="C94" s="11"/>
      <c r="D94" s="11"/>
      <c r="E94" s="11"/>
      <c r="F94" s="11"/>
      <c r="G94" s="12"/>
      <c r="H94" s="12"/>
      <c r="I94" s="10"/>
      <c r="J94" s="12"/>
      <c r="K94" s="13" t="str">
        <f aca="false">IF(ISNUMBER(B94),YEAR(B94),"")</f>
        <v/>
      </c>
      <c r="L94" s="13" t="str">
        <f aca="false">IF(ISNUMBER(B94),MONTH(B94),"")</f>
        <v/>
      </c>
      <c r="M94" s="13" t="str">
        <f aca="false">IF(AND(ISNUMBER(B94),ISNUMBER(I94)),B94-I94+1,"")</f>
        <v/>
      </c>
      <c r="N94" s="14" t="str">
        <f aca="false">IF(B94="","",IF(M94="","시작일 미입력",IF(M94&lt;1,"시작일 이전(확인)",IF(M94=1,"1일째",IF(M94=2,"2일째",IF(M94=3,"3일째",IF(M94&lt;=7,"일주일 이내",IF(M94&lt;=14,"이주일 이내","15일 이후"))))))))</f>
        <v/>
      </c>
      <c r="O94" s="0" t="str">
        <f aca="false">IF(AND(COUNTA($A94:$J94)&gt;0,OR(클레임조회!$C$4="",AND(ISNUMBER($B94),$B94&gt;=클레임조회!$C$4)),OR(클레임조회!$C$5="",AND(ISNUMBER($B94),$B94&lt;=클레임조회!$C$5)),OR(클레임조회!$C$6="",$C94=클레임조회!$C$6),OR(클레임조회!$C$7="",$D94=클레임조회!$C$7),OR(클레임조회!$C$8="",$E94=클레임조회!$C$8),OR(클레임조회!$C$9="",$F94=클레임조회!$C$9),OR(클레임조회!$C$10="",ISNUMBER(SEARCH(클레임조회!$C$10,$C94&amp;" "&amp;$F94&amp;" "&amp;$G94&amp;" "&amp;$H94)))),COUNT(O$1:O93)+1,"")</f>
        <v/>
      </c>
      <c r="P94" s="0" t="str">
        <f aca="false">IF(AND(TRIM(C94)&lt;&gt;"",COUNTIF(C$2:C94,C94)=1),MAX(P$1:P93)+1,"")</f>
        <v/>
      </c>
      <c r="Q94" s="0" t="str">
        <f aca="false">IF(AND(TRIM(F94)&lt;&gt;"",COUNTIF(F$2:F94,F94)=1),MAX(Q$1:Q93)+1,"")</f>
        <v/>
      </c>
    </row>
    <row r="95" customFormat="false" ht="15" hidden="false" customHeight="false" outlineLevel="0" collapsed="false">
      <c r="A95" s="9"/>
      <c r="B95" s="10"/>
      <c r="C95" s="11"/>
      <c r="D95" s="11"/>
      <c r="E95" s="11"/>
      <c r="F95" s="11"/>
      <c r="G95" s="12"/>
      <c r="H95" s="12"/>
      <c r="I95" s="10"/>
      <c r="J95" s="12"/>
      <c r="K95" s="13" t="str">
        <f aca="false">IF(ISNUMBER(B95),YEAR(B95),"")</f>
        <v/>
      </c>
      <c r="L95" s="13" t="str">
        <f aca="false">IF(ISNUMBER(B95),MONTH(B95),"")</f>
        <v/>
      </c>
      <c r="M95" s="13" t="str">
        <f aca="false">IF(AND(ISNUMBER(B95),ISNUMBER(I95)),B95-I95+1,"")</f>
        <v/>
      </c>
      <c r="N95" s="14" t="str">
        <f aca="false">IF(B95="","",IF(M95="","시작일 미입력",IF(M95&lt;1,"시작일 이전(확인)",IF(M95=1,"1일째",IF(M95=2,"2일째",IF(M95=3,"3일째",IF(M95&lt;=7,"일주일 이내",IF(M95&lt;=14,"이주일 이내","15일 이후"))))))))</f>
        <v/>
      </c>
      <c r="O95" s="0" t="str">
        <f aca="false">IF(AND(COUNTA($A95:$J95)&gt;0,OR(클레임조회!$C$4="",AND(ISNUMBER($B95),$B95&gt;=클레임조회!$C$4)),OR(클레임조회!$C$5="",AND(ISNUMBER($B95),$B95&lt;=클레임조회!$C$5)),OR(클레임조회!$C$6="",$C95=클레임조회!$C$6),OR(클레임조회!$C$7="",$D95=클레임조회!$C$7),OR(클레임조회!$C$8="",$E95=클레임조회!$C$8),OR(클레임조회!$C$9="",$F95=클레임조회!$C$9),OR(클레임조회!$C$10="",ISNUMBER(SEARCH(클레임조회!$C$10,$C95&amp;" "&amp;$F95&amp;" "&amp;$G95&amp;" "&amp;$H95)))),COUNT(O$1:O94)+1,"")</f>
        <v/>
      </c>
      <c r="P95" s="0" t="str">
        <f aca="false">IF(AND(TRIM(C95)&lt;&gt;"",COUNTIF(C$2:C95,C95)=1),MAX(P$1:P94)+1,"")</f>
        <v/>
      </c>
      <c r="Q95" s="0" t="str">
        <f aca="false">IF(AND(TRIM(F95)&lt;&gt;"",COUNTIF(F$2:F95,F95)=1),MAX(Q$1:Q94)+1,"")</f>
        <v/>
      </c>
    </row>
    <row r="96" customFormat="false" ht="15" hidden="false" customHeight="false" outlineLevel="0" collapsed="false">
      <c r="A96" s="9"/>
      <c r="B96" s="10"/>
      <c r="C96" s="11"/>
      <c r="D96" s="11"/>
      <c r="E96" s="11"/>
      <c r="F96" s="11"/>
      <c r="G96" s="12"/>
      <c r="H96" s="12"/>
      <c r="I96" s="10"/>
      <c r="J96" s="12"/>
      <c r="K96" s="13" t="str">
        <f aca="false">IF(ISNUMBER(B96),YEAR(B96),"")</f>
        <v/>
      </c>
      <c r="L96" s="13" t="str">
        <f aca="false">IF(ISNUMBER(B96),MONTH(B96),"")</f>
        <v/>
      </c>
      <c r="M96" s="13" t="str">
        <f aca="false">IF(AND(ISNUMBER(B96),ISNUMBER(I96)),B96-I96+1,"")</f>
        <v/>
      </c>
      <c r="N96" s="14" t="str">
        <f aca="false">IF(B96="","",IF(M96="","시작일 미입력",IF(M96&lt;1,"시작일 이전(확인)",IF(M96=1,"1일째",IF(M96=2,"2일째",IF(M96=3,"3일째",IF(M96&lt;=7,"일주일 이내",IF(M96&lt;=14,"이주일 이내","15일 이후"))))))))</f>
        <v/>
      </c>
      <c r="O96" s="0" t="str">
        <f aca="false">IF(AND(COUNTA($A96:$J96)&gt;0,OR(클레임조회!$C$4="",AND(ISNUMBER($B96),$B96&gt;=클레임조회!$C$4)),OR(클레임조회!$C$5="",AND(ISNUMBER($B96),$B96&lt;=클레임조회!$C$5)),OR(클레임조회!$C$6="",$C96=클레임조회!$C$6),OR(클레임조회!$C$7="",$D96=클레임조회!$C$7),OR(클레임조회!$C$8="",$E96=클레임조회!$C$8),OR(클레임조회!$C$9="",$F96=클레임조회!$C$9),OR(클레임조회!$C$10="",ISNUMBER(SEARCH(클레임조회!$C$10,$C96&amp;" "&amp;$F96&amp;" "&amp;$G96&amp;" "&amp;$H96)))),COUNT(O$1:O95)+1,"")</f>
        <v/>
      </c>
      <c r="P96" s="0" t="str">
        <f aca="false">IF(AND(TRIM(C96)&lt;&gt;"",COUNTIF(C$2:C96,C96)=1),MAX(P$1:P95)+1,"")</f>
        <v/>
      </c>
      <c r="Q96" s="0" t="str">
        <f aca="false">IF(AND(TRIM(F96)&lt;&gt;"",COUNTIF(F$2:F96,F96)=1),MAX(Q$1:Q95)+1,"")</f>
        <v/>
      </c>
    </row>
    <row r="97" customFormat="false" ht="15" hidden="false" customHeight="false" outlineLevel="0" collapsed="false">
      <c r="A97" s="9"/>
      <c r="B97" s="10"/>
      <c r="C97" s="11"/>
      <c r="D97" s="11"/>
      <c r="E97" s="11"/>
      <c r="F97" s="11"/>
      <c r="G97" s="12"/>
      <c r="H97" s="12"/>
      <c r="I97" s="10"/>
      <c r="J97" s="12"/>
      <c r="K97" s="13" t="str">
        <f aca="false">IF(ISNUMBER(B97),YEAR(B97),"")</f>
        <v/>
      </c>
      <c r="L97" s="13" t="str">
        <f aca="false">IF(ISNUMBER(B97),MONTH(B97),"")</f>
        <v/>
      </c>
      <c r="M97" s="13" t="str">
        <f aca="false">IF(AND(ISNUMBER(B97),ISNUMBER(I97)),B97-I97+1,"")</f>
        <v/>
      </c>
      <c r="N97" s="14" t="str">
        <f aca="false">IF(B97="","",IF(M97="","시작일 미입력",IF(M97&lt;1,"시작일 이전(확인)",IF(M97=1,"1일째",IF(M97=2,"2일째",IF(M97=3,"3일째",IF(M97&lt;=7,"일주일 이내",IF(M97&lt;=14,"이주일 이내","15일 이후"))))))))</f>
        <v/>
      </c>
      <c r="O97" s="0" t="str">
        <f aca="false">IF(AND(COUNTA($A97:$J97)&gt;0,OR(클레임조회!$C$4="",AND(ISNUMBER($B97),$B97&gt;=클레임조회!$C$4)),OR(클레임조회!$C$5="",AND(ISNUMBER($B97),$B97&lt;=클레임조회!$C$5)),OR(클레임조회!$C$6="",$C97=클레임조회!$C$6),OR(클레임조회!$C$7="",$D97=클레임조회!$C$7),OR(클레임조회!$C$8="",$E97=클레임조회!$C$8),OR(클레임조회!$C$9="",$F97=클레임조회!$C$9),OR(클레임조회!$C$10="",ISNUMBER(SEARCH(클레임조회!$C$10,$C97&amp;" "&amp;$F97&amp;" "&amp;$G97&amp;" "&amp;$H97)))),COUNT(O$1:O96)+1,"")</f>
        <v/>
      </c>
      <c r="P97" s="0" t="str">
        <f aca="false">IF(AND(TRIM(C97)&lt;&gt;"",COUNTIF(C$2:C97,C97)=1),MAX(P$1:P96)+1,"")</f>
        <v/>
      </c>
      <c r="Q97" s="0" t="str">
        <f aca="false">IF(AND(TRIM(F97)&lt;&gt;"",COUNTIF(F$2:F97,F97)=1),MAX(Q$1:Q96)+1,"")</f>
        <v/>
      </c>
    </row>
    <row r="98" customFormat="false" ht="15" hidden="false" customHeight="false" outlineLevel="0" collapsed="false">
      <c r="A98" s="9"/>
      <c r="B98" s="10"/>
      <c r="C98" s="11"/>
      <c r="D98" s="11"/>
      <c r="E98" s="11"/>
      <c r="F98" s="11"/>
      <c r="G98" s="12"/>
      <c r="H98" s="12"/>
      <c r="I98" s="10"/>
      <c r="J98" s="12"/>
      <c r="K98" s="13" t="str">
        <f aca="false">IF(ISNUMBER(B98),YEAR(B98),"")</f>
        <v/>
      </c>
      <c r="L98" s="13" t="str">
        <f aca="false">IF(ISNUMBER(B98),MONTH(B98),"")</f>
        <v/>
      </c>
      <c r="M98" s="13" t="str">
        <f aca="false">IF(AND(ISNUMBER(B98),ISNUMBER(I98)),B98-I98+1,"")</f>
        <v/>
      </c>
      <c r="N98" s="14" t="str">
        <f aca="false">IF(B98="","",IF(M98="","시작일 미입력",IF(M98&lt;1,"시작일 이전(확인)",IF(M98=1,"1일째",IF(M98=2,"2일째",IF(M98=3,"3일째",IF(M98&lt;=7,"일주일 이내",IF(M98&lt;=14,"이주일 이내","15일 이후"))))))))</f>
        <v/>
      </c>
      <c r="O98" s="0" t="str">
        <f aca="false">IF(AND(COUNTA($A98:$J98)&gt;0,OR(클레임조회!$C$4="",AND(ISNUMBER($B98),$B98&gt;=클레임조회!$C$4)),OR(클레임조회!$C$5="",AND(ISNUMBER($B98),$B98&lt;=클레임조회!$C$5)),OR(클레임조회!$C$6="",$C98=클레임조회!$C$6),OR(클레임조회!$C$7="",$D98=클레임조회!$C$7),OR(클레임조회!$C$8="",$E98=클레임조회!$C$8),OR(클레임조회!$C$9="",$F98=클레임조회!$C$9),OR(클레임조회!$C$10="",ISNUMBER(SEARCH(클레임조회!$C$10,$C98&amp;" "&amp;$F98&amp;" "&amp;$G98&amp;" "&amp;$H98)))),COUNT(O$1:O97)+1,"")</f>
        <v/>
      </c>
      <c r="P98" s="0" t="str">
        <f aca="false">IF(AND(TRIM(C98)&lt;&gt;"",COUNTIF(C$2:C98,C98)=1),MAX(P$1:P97)+1,"")</f>
        <v/>
      </c>
      <c r="Q98" s="0" t="str">
        <f aca="false">IF(AND(TRIM(F98)&lt;&gt;"",COUNTIF(F$2:F98,F98)=1),MAX(Q$1:Q97)+1,"")</f>
        <v/>
      </c>
    </row>
    <row r="99" customFormat="false" ht="15" hidden="false" customHeight="false" outlineLevel="0" collapsed="false">
      <c r="A99" s="9"/>
      <c r="B99" s="10"/>
      <c r="C99" s="11"/>
      <c r="D99" s="11"/>
      <c r="E99" s="11"/>
      <c r="F99" s="11"/>
      <c r="G99" s="12"/>
      <c r="H99" s="12"/>
      <c r="I99" s="10"/>
      <c r="J99" s="12"/>
      <c r="K99" s="13" t="str">
        <f aca="false">IF(ISNUMBER(B99),YEAR(B99),"")</f>
        <v/>
      </c>
      <c r="L99" s="13" t="str">
        <f aca="false">IF(ISNUMBER(B99),MONTH(B99),"")</f>
        <v/>
      </c>
      <c r="M99" s="13" t="str">
        <f aca="false">IF(AND(ISNUMBER(B99),ISNUMBER(I99)),B99-I99+1,"")</f>
        <v/>
      </c>
      <c r="N99" s="14" t="str">
        <f aca="false">IF(B99="","",IF(M99="","시작일 미입력",IF(M99&lt;1,"시작일 이전(확인)",IF(M99=1,"1일째",IF(M99=2,"2일째",IF(M99=3,"3일째",IF(M99&lt;=7,"일주일 이내",IF(M99&lt;=14,"이주일 이내","15일 이후"))))))))</f>
        <v/>
      </c>
      <c r="O99" s="0" t="str">
        <f aca="false">IF(AND(COUNTA($A99:$J99)&gt;0,OR(클레임조회!$C$4="",AND(ISNUMBER($B99),$B99&gt;=클레임조회!$C$4)),OR(클레임조회!$C$5="",AND(ISNUMBER($B99),$B99&lt;=클레임조회!$C$5)),OR(클레임조회!$C$6="",$C99=클레임조회!$C$6),OR(클레임조회!$C$7="",$D99=클레임조회!$C$7),OR(클레임조회!$C$8="",$E99=클레임조회!$C$8),OR(클레임조회!$C$9="",$F99=클레임조회!$C$9),OR(클레임조회!$C$10="",ISNUMBER(SEARCH(클레임조회!$C$10,$C99&amp;" "&amp;$F99&amp;" "&amp;$G99&amp;" "&amp;$H99)))),COUNT(O$1:O98)+1,"")</f>
        <v/>
      </c>
      <c r="P99" s="0" t="str">
        <f aca="false">IF(AND(TRIM(C99)&lt;&gt;"",COUNTIF(C$2:C99,C99)=1),MAX(P$1:P98)+1,"")</f>
        <v/>
      </c>
      <c r="Q99" s="0" t="str">
        <f aca="false">IF(AND(TRIM(F99)&lt;&gt;"",COUNTIF(F$2:F99,F99)=1),MAX(Q$1:Q98)+1,"")</f>
        <v/>
      </c>
    </row>
    <row r="100" customFormat="false" ht="15" hidden="false" customHeight="false" outlineLevel="0" collapsed="false">
      <c r="A100" s="9"/>
      <c r="B100" s="10"/>
      <c r="C100" s="11"/>
      <c r="D100" s="11"/>
      <c r="E100" s="11"/>
      <c r="F100" s="11"/>
      <c r="G100" s="12"/>
      <c r="H100" s="12"/>
      <c r="I100" s="10"/>
      <c r="J100" s="12"/>
      <c r="K100" s="13" t="str">
        <f aca="false">IF(ISNUMBER(B100),YEAR(B100),"")</f>
        <v/>
      </c>
      <c r="L100" s="13" t="str">
        <f aca="false">IF(ISNUMBER(B100),MONTH(B100),"")</f>
        <v/>
      </c>
      <c r="M100" s="13" t="str">
        <f aca="false">IF(AND(ISNUMBER(B100),ISNUMBER(I100)),B100-I100+1,"")</f>
        <v/>
      </c>
      <c r="N100" s="14" t="str">
        <f aca="false">IF(B100="","",IF(M100="","시작일 미입력",IF(M100&lt;1,"시작일 이전(확인)",IF(M100=1,"1일째",IF(M100=2,"2일째",IF(M100=3,"3일째",IF(M100&lt;=7,"일주일 이내",IF(M100&lt;=14,"이주일 이내","15일 이후"))))))))</f>
        <v/>
      </c>
      <c r="O100" s="0" t="str">
        <f aca="false">IF(AND(COUNTA($A100:$J100)&gt;0,OR(클레임조회!$C$4="",AND(ISNUMBER($B100),$B100&gt;=클레임조회!$C$4)),OR(클레임조회!$C$5="",AND(ISNUMBER($B100),$B100&lt;=클레임조회!$C$5)),OR(클레임조회!$C$6="",$C100=클레임조회!$C$6),OR(클레임조회!$C$7="",$D100=클레임조회!$C$7),OR(클레임조회!$C$8="",$E100=클레임조회!$C$8),OR(클레임조회!$C$9="",$F100=클레임조회!$C$9),OR(클레임조회!$C$10="",ISNUMBER(SEARCH(클레임조회!$C$10,$C100&amp;" "&amp;$F100&amp;" "&amp;$G100&amp;" "&amp;$H100)))),COUNT(O$1:O99)+1,"")</f>
        <v/>
      </c>
      <c r="P100" s="0" t="str">
        <f aca="false">IF(AND(TRIM(C100)&lt;&gt;"",COUNTIF(C$2:C100,C100)=1),MAX(P$1:P99)+1,"")</f>
        <v/>
      </c>
      <c r="Q100" s="0" t="str">
        <f aca="false">IF(AND(TRIM(F100)&lt;&gt;"",COUNTIF(F$2:F100,F100)=1),MAX(Q$1:Q99)+1,"")</f>
        <v/>
      </c>
    </row>
    <row r="101" customFormat="false" ht="15" hidden="false" customHeight="false" outlineLevel="0" collapsed="false">
      <c r="A101" s="9"/>
      <c r="B101" s="10"/>
      <c r="C101" s="11"/>
      <c r="D101" s="11"/>
      <c r="E101" s="11"/>
      <c r="F101" s="11"/>
      <c r="G101" s="12"/>
      <c r="H101" s="12"/>
      <c r="I101" s="10"/>
      <c r="J101" s="12"/>
      <c r="K101" s="13" t="str">
        <f aca="false">IF(ISNUMBER(B101),YEAR(B101),"")</f>
        <v/>
      </c>
      <c r="L101" s="13" t="str">
        <f aca="false">IF(ISNUMBER(B101),MONTH(B101),"")</f>
        <v/>
      </c>
      <c r="M101" s="13" t="str">
        <f aca="false">IF(AND(ISNUMBER(B101),ISNUMBER(I101)),B101-I101+1,"")</f>
        <v/>
      </c>
      <c r="N101" s="14" t="str">
        <f aca="false">IF(B101="","",IF(M101="","시작일 미입력",IF(M101&lt;1,"시작일 이전(확인)",IF(M101=1,"1일째",IF(M101=2,"2일째",IF(M101=3,"3일째",IF(M101&lt;=7,"일주일 이내",IF(M101&lt;=14,"이주일 이내","15일 이후"))))))))</f>
        <v/>
      </c>
      <c r="O101" s="0" t="str">
        <f aca="false">IF(AND(COUNTA($A101:$J101)&gt;0,OR(클레임조회!$C$4="",AND(ISNUMBER($B101),$B101&gt;=클레임조회!$C$4)),OR(클레임조회!$C$5="",AND(ISNUMBER($B101),$B101&lt;=클레임조회!$C$5)),OR(클레임조회!$C$6="",$C101=클레임조회!$C$6),OR(클레임조회!$C$7="",$D101=클레임조회!$C$7),OR(클레임조회!$C$8="",$E101=클레임조회!$C$8),OR(클레임조회!$C$9="",$F101=클레임조회!$C$9),OR(클레임조회!$C$10="",ISNUMBER(SEARCH(클레임조회!$C$10,$C101&amp;" "&amp;$F101&amp;" "&amp;$G101&amp;" "&amp;$H101)))),COUNT(O$1:O100)+1,"")</f>
        <v/>
      </c>
      <c r="P101" s="0" t="str">
        <f aca="false">IF(AND(TRIM(C101)&lt;&gt;"",COUNTIF(C$2:C101,C101)=1),MAX(P$1:P100)+1,"")</f>
        <v/>
      </c>
      <c r="Q101" s="0" t="str">
        <f aca="false">IF(AND(TRIM(F101)&lt;&gt;"",COUNTIF(F$2:F101,F101)=1),MAX(Q$1:Q100)+1,"")</f>
        <v/>
      </c>
    </row>
    <row r="102" customFormat="false" ht="15" hidden="false" customHeight="false" outlineLevel="0" collapsed="false">
      <c r="A102" s="9"/>
      <c r="B102" s="10"/>
      <c r="C102" s="11"/>
      <c r="D102" s="11"/>
      <c r="E102" s="11"/>
      <c r="F102" s="11"/>
      <c r="G102" s="12"/>
      <c r="H102" s="12"/>
      <c r="I102" s="10"/>
      <c r="J102" s="12"/>
      <c r="K102" s="13" t="str">
        <f aca="false">IF(ISNUMBER(B102),YEAR(B102),"")</f>
        <v/>
      </c>
      <c r="L102" s="13" t="str">
        <f aca="false">IF(ISNUMBER(B102),MONTH(B102),"")</f>
        <v/>
      </c>
      <c r="M102" s="13" t="str">
        <f aca="false">IF(AND(ISNUMBER(B102),ISNUMBER(I102)),B102-I102+1,"")</f>
        <v/>
      </c>
      <c r="N102" s="14" t="str">
        <f aca="false">IF(B102="","",IF(M102="","시작일 미입력",IF(M102&lt;1,"시작일 이전(확인)",IF(M102=1,"1일째",IF(M102=2,"2일째",IF(M102=3,"3일째",IF(M102&lt;=7,"일주일 이내",IF(M102&lt;=14,"이주일 이내","15일 이후"))))))))</f>
        <v/>
      </c>
      <c r="O102" s="0" t="str">
        <f aca="false">IF(AND(COUNTA($A102:$J102)&gt;0,OR(클레임조회!$C$4="",AND(ISNUMBER($B102),$B102&gt;=클레임조회!$C$4)),OR(클레임조회!$C$5="",AND(ISNUMBER($B102),$B102&lt;=클레임조회!$C$5)),OR(클레임조회!$C$6="",$C102=클레임조회!$C$6),OR(클레임조회!$C$7="",$D102=클레임조회!$C$7),OR(클레임조회!$C$8="",$E102=클레임조회!$C$8),OR(클레임조회!$C$9="",$F102=클레임조회!$C$9),OR(클레임조회!$C$10="",ISNUMBER(SEARCH(클레임조회!$C$10,$C102&amp;" "&amp;$F102&amp;" "&amp;$G102&amp;" "&amp;$H102)))),COUNT(O$1:O101)+1,"")</f>
        <v/>
      </c>
      <c r="P102" s="0" t="str">
        <f aca="false">IF(AND(TRIM(C102)&lt;&gt;"",COUNTIF(C$2:C102,C102)=1),MAX(P$1:P101)+1,"")</f>
        <v/>
      </c>
      <c r="Q102" s="0" t="str">
        <f aca="false">IF(AND(TRIM(F102)&lt;&gt;"",COUNTIF(F$2:F102,F102)=1),MAX(Q$1:Q101)+1,"")</f>
        <v/>
      </c>
    </row>
    <row r="103" customFormat="false" ht="15" hidden="false" customHeight="false" outlineLevel="0" collapsed="false">
      <c r="A103" s="9"/>
      <c r="B103" s="10"/>
      <c r="C103" s="11"/>
      <c r="D103" s="11"/>
      <c r="E103" s="11"/>
      <c r="F103" s="11"/>
      <c r="G103" s="12"/>
      <c r="H103" s="12"/>
      <c r="I103" s="10"/>
      <c r="J103" s="12"/>
      <c r="K103" s="13" t="str">
        <f aca="false">IF(ISNUMBER(B103),YEAR(B103),"")</f>
        <v/>
      </c>
      <c r="L103" s="13" t="str">
        <f aca="false">IF(ISNUMBER(B103),MONTH(B103),"")</f>
        <v/>
      </c>
      <c r="M103" s="13" t="str">
        <f aca="false">IF(AND(ISNUMBER(B103),ISNUMBER(I103)),B103-I103+1,"")</f>
        <v/>
      </c>
      <c r="N103" s="14" t="str">
        <f aca="false">IF(B103="","",IF(M103="","시작일 미입력",IF(M103&lt;1,"시작일 이전(확인)",IF(M103=1,"1일째",IF(M103=2,"2일째",IF(M103=3,"3일째",IF(M103&lt;=7,"일주일 이내",IF(M103&lt;=14,"이주일 이내","15일 이후"))))))))</f>
        <v/>
      </c>
      <c r="O103" s="0" t="str">
        <f aca="false">IF(AND(COUNTA($A103:$J103)&gt;0,OR(클레임조회!$C$4="",AND(ISNUMBER($B103),$B103&gt;=클레임조회!$C$4)),OR(클레임조회!$C$5="",AND(ISNUMBER($B103),$B103&lt;=클레임조회!$C$5)),OR(클레임조회!$C$6="",$C103=클레임조회!$C$6),OR(클레임조회!$C$7="",$D103=클레임조회!$C$7),OR(클레임조회!$C$8="",$E103=클레임조회!$C$8),OR(클레임조회!$C$9="",$F103=클레임조회!$C$9),OR(클레임조회!$C$10="",ISNUMBER(SEARCH(클레임조회!$C$10,$C103&amp;" "&amp;$F103&amp;" "&amp;$G103&amp;" "&amp;$H103)))),COUNT(O$1:O102)+1,"")</f>
        <v/>
      </c>
      <c r="P103" s="0" t="str">
        <f aca="false">IF(AND(TRIM(C103)&lt;&gt;"",COUNTIF(C$2:C103,C103)=1),MAX(P$1:P102)+1,"")</f>
        <v/>
      </c>
      <c r="Q103" s="0" t="str">
        <f aca="false">IF(AND(TRIM(F103)&lt;&gt;"",COUNTIF(F$2:F103,F103)=1),MAX(Q$1:Q102)+1,"")</f>
        <v/>
      </c>
    </row>
    <row r="104" customFormat="false" ht="15" hidden="false" customHeight="false" outlineLevel="0" collapsed="false">
      <c r="A104" s="9"/>
      <c r="B104" s="10"/>
      <c r="C104" s="11"/>
      <c r="D104" s="11"/>
      <c r="E104" s="11"/>
      <c r="F104" s="11"/>
      <c r="G104" s="12"/>
      <c r="H104" s="12"/>
      <c r="I104" s="10"/>
      <c r="J104" s="12"/>
      <c r="K104" s="13" t="str">
        <f aca="false">IF(ISNUMBER(B104),YEAR(B104),"")</f>
        <v/>
      </c>
      <c r="L104" s="13" t="str">
        <f aca="false">IF(ISNUMBER(B104),MONTH(B104),"")</f>
        <v/>
      </c>
      <c r="M104" s="13" t="str">
        <f aca="false">IF(AND(ISNUMBER(B104),ISNUMBER(I104)),B104-I104+1,"")</f>
        <v/>
      </c>
      <c r="N104" s="14" t="str">
        <f aca="false">IF(B104="","",IF(M104="","시작일 미입력",IF(M104&lt;1,"시작일 이전(확인)",IF(M104=1,"1일째",IF(M104=2,"2일째",IF(M104=3,"3일째",IF(M104&lt;=7,"일주일 이내",IF(M104&lt;=14,"이주일 이내","15일 이후"))))))))</f>
        <v/>
      </c>
      <c r="O104" s="0" t="str">
        <f aca="false">IF(AND(COUNTA($A104:$J104)&gt;0,OR(클레임조회!$C$4="",AND(ISNUMBER($B104),$B104&gt;=클레임조회!$C$4)),OR(클레임조회!$C$5="",AND(ISNUMBER($B104),$B104&lt;=클레임조회!$C$5)),OR(클레임조회!$C$6="",$C104=클레임조회!$C$6),OR(클레임조회!$C$7="",$D104=클레임조회!$C$7),OR(클레임조회!$C$8="",$E104=클레임조회!$C$8),OR(클레임조회!$C$9="",$F104=클레임조회!$C$9),OR(클레임조회!$C$10="",ISNUMBER(SEARCH(클레임조회!$C$10,$C104&amp;" "&amp;$F104&amp;" "&amp;$G104&amp;" "&amp;$H104)))),COUNT(O$1:O103)+1,"")</f>
        <v/>
      </c>
      <c r="P104" s="0" t="str">
        <f aca="false">IF(AND(TRIM(C104)&lt;&gt;"",COUNTIF(C$2:C104,C104)=1),MAX(P$1:P103)+1,"")</f>
        <v/>
      </c>
      <c r="Q104" s="0" t="str">
        <f aca="false">IF(AND(TRIM(F104)&lt;&gt;"",COUNTIF(F$2:F104,F104)=1),MAX(Q$1:Q103)+1,"")</f>
        <v/>
      </c>
    </row>
    <row r="105" customFormat="false" ht="15" hidden="false" customHeight="false" outlineLevel="0" collapsed="false">
      <c r="A105" s="9"/>
      <c r="B105" s="10"/>
      <c r="C105" s="11"/>
      <c r="D105" s="11"/>
      <c r="E105" s="11"/>
      <c r="F105" s="11"/>
      <c r="G105" s="12"/>
      <c r="H105" s="12"/>
      <c r="I105" s="10"/>
      <c r="J105" s="12"/>
      <c r="K105" s="13" t="str">
        <f aca="false">IF(ISNUMBER(B105),YEAR(B105),"")</f>
        <v/>
      </c>
      <c r="L105" s="13" t="str">
        <f aca="false">IF(ISNUMBER(B105),MONTH(B105),"")</f>
        <v/>
      </c>
      <c r="M105" s="13" t="str">
        <f aca="false">IF(AND(ISNUMBER(B105),ISNUMBER(I105)),B105-I105+1,"")</f>
        <v/>
      </c>
      <c r="N105" s="14" t="str">
        <f aca="false">IF(B105="","",IF(M105="","시작일 미입력",IF(M105&lt;1,"시작일 이전(확인)",IF(M105=1,"1일째",IF(M105=2,"2일째",IF(M105=3,"3일째",IF(M105&lt;=7,"일주일 이내",IF(M105&lt;=14,"이주일 이내","15일 이후"))))))))</f>
        <v/>
      </c>
      <c r="O105" s="0" t="str">
        <f aca="false">IF(AND(COUNTA($A105:$J105)&gt;0,OR(클레임조회!$C$4="",AND(ISNUMBER($B105),$B105&gt;=클레임조회!$C$4)),OR(클레임조회!$C$5="",AND(ISNUMBER($B105),$B105&lt;=클레임조회!$C$5)),OR(클레임조회!$C$6="",$C105=클레임조회!$C$6),OR(클레임조회!$C$7="",$D105=클레임조회!$C$7),OR(클레임조회!$C$8="",$E105=클레임조회!$C$8),OR(클레임조회!$C$9="",$F105=클레임조회!$C$9),OR(클레임조회!$C$10="",ISNUMBER(SEARCH(클레임조회!$C$10,$C105&amp;" "&amp;$F105&amp;" "&amp;$G105&amp;" "&amp;$H105)))),COUNT(O$1:O104)+1,"")</f>
        <v/>
      </c>
      <c r="P105" s="0" t="str">
        <f aca="false">IF(AND(TRIM(C105)&lt;&gt;"",COUNTIF(C$2:C105,C105)=1),MAX(P$1:P104)+1,"")</f>
        <v/>
      </c>
      <c r="Q105" s="0" t="str">
        <f aca="false">IF(AND(TRIM(F105)&lt;&gt;"",COUNTIF(F$2:F105,F105)=1),MAX(Q$1:Q104)+1,"")</f>
        <v/>
      </c>
    </row>
    <row r="106" customFormat="false" ht="15" hidden="false" customHeight="false" outlineLevel="0" collapsed="false">
      <c r="A106" s="9"/>
      <c r="B106" s="10"/>
      <c r="C106" s="11"/>
      <c r="D106" s="11"/>
      <c r="E106" s="11"/>
      <c r="F106" s="11"/>
      <c r="G106" s="12"/>
      <c r="H106" s="12"/>
      <c r="I106" s="10"/>
      <c r="J106" s="12"/>
      <c r="K106" s="13" t="str">
        <f aca="false">IF(ISNUMBER(B106),YEAR(B106),"")</f>
        <v/>
      </c>
      <c r="L106" s="13" t="str">
        <f aca="false">IF(ISNUMBER(B106),MONTH(B106),"")</f>
        <v/>
      </c>
      <c r="M106" s="13" t="str">
        <f aca="false">IF(AND(ISNUMBER(B106),ISNUMBER(I106)),B106-I106+1,"")</f>
        <v/>
      </c>
      <c r="N106" s="14" t="str">
        <f aca="false">IF(B106="","",IF(M106="","시작일 미입력",IF(M106&lt;1,"시작일 이전(확인)",IF(M106=1,"1일째",IF(M106=2,"2일째",IF(M106=3,"3일째",IF(M106&lt;=7,"일주일 이내",IF(M106&lt;=14,"이주일 이내","15일 이후"))))))))</f>
        <v/>
      </c>
      <c r="O106" s="0" t="str">
        <f aca="false">IF(AND(COUNTA($A106:$J106)&gt;0,OR(클레임조회!$C$4="",AND(ISNUMBER($B106),$B106&gt;=클레임조회!$C$4)),OR(클레임조회!$C$5="",AND(ISNUMBER($B106),$B106&lt;=클레임조회!$C$5)),OR(클레임조회!$C$6="",$C106=클레임조회!$C$6),OR(클레임조회!$C$7="",$D106=클레임조회!$C$7),OR(클레임조회!$C$8="",$E106=클레임조회!$C$8),OR(클레임조회!$C$9="",$F106=클레임조회!$C$9),OR(클레임조회!$C$10="",ISNUMBER(SEARCH(클레임조회!$C$10,$C106&amp;" "&amp;$F106&amp;" "&amp;$G106&amp;" "&amp;$H106)))),COUNT(O$1:O105)+1,"")</f>
        <v/>
      </c>
      <c r="P106" s="0" t="str">
        <f aca="false">IF(AND(TRIM(C106)&lt;&gt;"",COUNTIF(C$2:C106,C106)=1),MAX(P$1:P105)+1,"")</f>
        <v/>
      </c>
      <c r="Q106" s="0" t="str">
        <f aca="false">IF(AND(TRIM(F106)&lt;&gt;"",COUNTIF(F$2:F106,F106)=1),MAX(Q$1:Q105)+1,"")</f>
        <v/>
      </c>
    </row>
    <row r="107" customFormat="false" ht="15" hidden="false" customHeight="false" outlineLevel="0" collapsed="false">
      <c r="A107" s="9"/>
      <c r="B107" s="10"/>
      <c r="C107" s="11"/>
      <c r="D107" s="11"/>
      <c r="E107" s="11"/>
      <c r="F107" s="11"/>
      <c r="G107" s="12"/>
      <c r="H107" s="12"/>
      <c r="I107" s="10"/>
      <c r="J107" s="12"/>
      <c r="K107" s="13" t="str">
        <f aca="false">IF(ISNUMBER(B107),YEAR(B107),"")</f>
        <v/>
      </c>
      <c r="L107" s="13" t="str">
        <f aca="false">IF(ISNUMBER(B107),MONTH(B107),"")</f>
        <v/>
      </c>
      <c r="M107" s="13" t="str">
        <f aca="false">IF(AND(ISNUMBER(B107),ISNUMBER(I107)),B107-I107+1,"")</f>
        <v/>
      </c>
      <c r="N107" s="14" t="str">
        <f aca="false">IF(B107="","",IF(M107="","시작일 미입력",IF(M107&lt;1,"시작일 이전(확인)",IF(M107=1,"1일째",IF(M107=2,"2일째",IF(M107=3,"3일째",IF(M107&lt;=7,"일주일 이내",IF(M107&lt;=14,"이주일 이내","15일 이후"))))))))</f>
        <v/>
      </c>
      <c r="O107" s="0" t="str">
        <f aca="false">IF(AND(COUNTA($A107:$J107)&gt;0,OR(클레임조회!$C$4="",AND(ISNUMBER($B107),$B107&gt;=클레임조회!$C$4)),OR(클레임조회!$C$5="",AND(ISNUMBER($B107),$B107&lt;=클레임조회!$C$5)),OR(클레임조회!$C$6="",$C107=클레임조회!$C$6),OR(클레임조회!$C$7="",$D107=클레임조회!$C$7),OR(클레임조회!$C$8="",$E107=클레임조회!$C$8),OR(클레임조회!$C$9="",$F107=클레임조회!$C$9),OR(클레임조회!$C$10="",ISNUMBER(SEARCH(클레임조회!$C$10,$C107&amp;" "&amp;$F107&amp;" "&amp;$G107&amp;" "&amp;$H107)))),COUNT(O$1:O106)+1,"")</f>
        <v/>
      </c>
      <c r="P107" s="0" t="str">
        <f aca="false">IF(AND(TRIM(C107)&lt;&gt;"",COUNTIF(C$2:C107,C107)=1),MAX(P$1:P106)+1,"")</f>
        <v/>
      </c>
      <c r="Q107" s="0" t="str">
        <f aca="false">IF(AND(TRIM(F107)&lt;&gt;"",COUNTIF(F$2:F107,F107)=1),MAX(Q$1:Q106)+1,"")</f>
        <v/>
      </c>
    </row>
    <row r="108" customFormat="false" ht="15" hidden="false" customHeight="false" outlineLevel="0" collapsed="false">
      <c r="A108" s="9"/>
      <c r="B108" s="10"/>
      <c r="C108" s="11"/>
      <c r="D108" s="11"/>
      <c r="E108" s="11"/>
      <c r="F108" s="11"/>
      <c r="G108" s="12"/>
      <c r="H108" s="12"/>
      <c r="I108" s="10"/>
      <c r="J108" s="12"/>
      <c r="K108" s="13" t="str">
        <f aca="false">IF(ISNUMBER(B108),YEAR(B108),"")</f>
        <v/>
      </c>
      <c r="L108" s="13" t="str">
        <f aca="false">IF(ISNUMBER(B108),MONTH(B108),"")</f>
        <v/>
      </c>
      <c r="M108" s="13" t="str">
        <f aca="false">IF(AND(ISNUMBER(B108),ISNUMBER(I108)),B108-I108+1,"")</f>
        <v/>
      </c>
      <c r="N108" s="14" t="str">
        <f aca="false">IF(B108="","",IF(M108="","시작일 미입력",IF(M108&lt;1,"시작일 이전(확인)",IF(M108=1,"1일째",IF(M108=2,"2일째",IF(M108=3,"3일째",IF(M108&lt;=7,"일주일 이내",IF(M108&lt;=14,"이주일 이내","15일 이후"))))))))</f>
        <v/>
      </c>
      <c r="O108" s="0" t="str">
        <f aca="false">IF(AND(COUNTA($A108:$J108)&gt;0,OR(클레임조회!$C$4="",AND(ISNUMBER($B108),$B108&gt;=클레임조회!$C$4)),OR(클레임조회!$C$5="",AND(ISNUMBER($B108),$B108&lt;=클레임조회!$C$5)),OR(클레임조회!$C$6="",$C108=클레임조회!$C$6),OR(클레임조회!$C$7="",$D108=클레임조회!$C$7),OR(클레임조회!$C$8="",$E108=클레임조회!$C$8),OR(클레임조회!$C$9="",$F108=클레임조회!$C$9),OR(클레임조회!$C$10="",ISNUMBER(SEARCH(클레임조회!$C$10,$C108&amp;" "&amp;$F108&amp;" "&amp;$G108&amp;" "&amp;$H108)))),COUNT(O$1:O107)+1,"")</f>
        <v/>
      </c>
      <c r="P108" s="0" t="str">
        <f aca="false">IF(AND(TRIM(C108)&lt;&gt;"",COUNTIF(C$2:C108,C108)=1),MAX(P$1:P107)+1,"")</f>
        <v/>
      </c>
      <c r="Q108" s="0" t="str">
        <f aca="false">IF(AND(TRIM(F108)&lt;&gt;"",COUNTIF(F$2:F108,F108)=1),MAX(Q$1:Q107)+1,"")</f>
        <v/>
      </c>
    </row>
    <row r="109" customFormat="false" ht="15" hidden="false" customHeight="false" outlineLevel="0" collapsed="false">
      <c r="A109" s="9"/>
      <c r="B109" s="10"/>
      <c r="C109" s="11"/>
      <c r="D109" s="11"/>
      <c r="E109" s="11"/>
      <c r="F109" s="11"/>
      <c r="G109" s="12"/>
      <c r="H109" s="12"/>
      <c r="I109" s="10"/>
      <c r="J109" s="12"/>
      <c r="K109" s="13" t="str">
        <f aca="false">IF(ISNUMBER(B109),YEAR(B109),"")</f>
        <v/>
      </c>
      <c r="L109" s="13" t="str">
        <f aca="false">IF(ISNUMBER(B109),MONTH(B109),"")</f>
        <v/>
      </c>
      <c r="M109" s="13" t="str">
        <f aca="false">IF(AND(ISNUMBER(B109),ISNUMBER(I109)),B109-I109+1,"")</f>
        <v/>
      </c>
      <c r="N109" s="14" t="str">
        <f aca="false">IF(B109="","",IF(M109="","시작일 미입력",IF(M109&lt;1,"시작일 이전(확인)",IF(M109=1,"1일째",IF(M109=2,"2일째",IF(M109=3,"3일째",IF(M109&lt;=7,"일주일 이내",IF(M109&lt;=14,"이주일 이내","15일 이후"))))))))</f>
        <v/>
      </c>
      <c r="O109" s="0" t="str">
        <f aca="false">IF(AND(COUNTA($A109:$J109)&gt;0,OR(클레임조회!$C$4="",AND(ISNUMBER($B109),$B109&gt;=클레임조회!$C$4)),OR(클레임조회!$C$5="",AND(ISNUMBER($B109),$B109&lt;=클레임조회!$C$5)),OR(클레임조회!$C$6="",$C109=클레임조회!$C$6),OR(클레임조회!$C$7="",$D109=클레임조회!$C$7),OR(클레임조회!$C$8="",$E109=클레임조회!$C$8),OR(클레임조회!$C$9="",$F109=클레임조회!$C$9),OR(클레임조회!$C$10="",ISNUMBER(SEARCH(클레임조회!$C$10,$C109&amp;" "&amp;$F109&amp;" "&amp;$G109&amp;" "&amp;$H109)))),COUNT(O$1:O108)+1,"")</f>
        <v/>
      </c>
      <c r="P109" s="0" t="str">
        <f aca="false">IF(AND(TRIM(C109)&lt;&gt;"",COUNTIF(C$2:C109,C109)=1),MAX(P$1:P108)+1,"")</f>
        <v/>
      </c>
      <c r="Q109" s="0" t="str">
        <f aca="false">IF(AND(TRIM(F109)&lt;&gt;"",COUNTIF(F$2:F109,F109)=1),MAX(Q$1:Q108)+1,"")</f>
        <v/>
      </c>
    </row>
    <row r="110" customFormat="false" ht="15" hidden="false" customHeight="false" outlineLevel="0" collapsed="false">
      <c r="A110" s="9"/>
      <c r="B110" s="10"/>
      <c r="C110" s="11"/>
      <c r="D110" s="11"/>
      <c r="E110" s="11"/>
      <c r="F110" s="11"/>
      <c r="G110" s="12"/>
      <c r="H110" s="12"/>
      <c r="I110" s="10"/>
      <c r="J110" s="12"/>
      <c r="K110" s="13" t="str">
        <f aca="false">IF(ISNUMBER(B110),YEAR(B110),"")</f>
        <v/>
      </c>
      <c r="L110" s="13" t="str">
        <f aca="false">IF(ISNUMBER(B110),MONTH(B110),"")</f>
        <v/>
      </c>
      <c r="M110" s="13" t="str">
        <f aca="false">IF(AND(ISNUMBER(B110),ISNUMBER(I110)),B110-I110+1,"")</f>
        <v/>
      </c>
      <c r="N110" s="14" t="str">
        <f aca="false">IF(B110="","",IF(M110="","시작일 미입력",IF(M110&lt;1,"시작일 이전(확인)",IF(M110=1,"1일째",IF(M110=2,"2일째",IF(M110=3,"3일째",IF(M110&lt;=7,"일주일 이내",IF(M110&lt;=14,"이주일 이내","15일 이후"))))))))</f>
        <v/>
      </c>
      <c r="O110" s="0" t="str">
        <f aca="false">IF(AND(COUNTA($A110:$J110)&gt;0,OR(클레임조회!$C$4="",AND(ISNUMBER($B110),$B110&gt;=클레임조회!$C$4)),OR(클레임조회!$C$5="",AND(ISNUMBER($B110),$B110&lt;=클레임조회!$C$5)),OR(클레임조회!$C$6="",$C110=클레임조회!$C$6),OR(클레임조회!$C$7="",$D110=클레임조회!$C$7),OR(클레임조회!$C$8="",$E110=클레임조회!$C$8),OR(클레임조회!$C$9="",$F110=클레임조회!$C$9),OR(클레임조회!$C$10="",ISNUMBER(SEARCH(클레임조회!$C$10,$C110&amp;" "&amp;$F110&amp;" "&amp;$G110&amp;" "&amp;$H110)))),COUNT(O$1:O109)+1,"")</f>
        <v/>
      </c>
      <c r="P110" s="0" t="str">
        <f aca="false">IF(AND(TRIM(C110)&lt;&gt;"",COUNTIF(C$2:C110,C110)=1),MAX(P$1:P109)+1,"")</f>
        <v/>
      </c>
      <c r="Q110" s="0" t="str">
        <f aca="false">IF(AND(TRIM(F110)&lt;&gt;"",COUNTIF(F$2:F110,F110)=1),MAX(Q$1:Q109)+1,"")</f>
        <v/>
      </c>
    </row>
    <row r="111" customFormat="false" ht="15" hidden="false" customHeight="false" outlineLevel="0" collapsed="false">
      <c r="A111" s="9"/>
      <c r="B111" s="10"/>
      <c r="C111" s="11"/>
      <c r="D111" s="11"/>
      <c r="E111" s="11"/>
      <c r="F111" s="11"/>
      <c r="G111" s="12"/>
      <c r="H111" s="12"/>
      <c r="I111" s="10"/>
      <c r="J111" s="12"/>
      <c r="K111" s="13" t="str">
        <f aca="false">IF(ISNUMBER(B111),YEAR(B111),"")</f>
        <v/>
      </c>
      <c r="L111" s="13" t="str">
        <f aca="false">IF(ISNUMBER(B111),MONTH(B111),"")</f>
        <v/>
      </c>
      <c r="M111" s="13" t="str">
        <f aca="false">IF(AND(ISNUMBER(B111),ISNUMBER(I111)),B111-I111+1,"")</f>
        <v/>
      </c>
      <c r="N111" s="14" t="str">
        <f aca="false">IF(B111="","",IF(M111="","시작일 미입력",IF(M111&lt;1,"시작일 이전(확인)",IF(M111=1,"1일째",IF(M111=2,"2일째",IF(M111=3,"3일째",IF(M111&lt;=7,"일주일 이내",IF(M111&lt;=14,"이주일 이내","15일 이후"))))))))</f>
        <v/>
      </c>
      <c r="O111" s="0" t="str">
        <f aca="false">IF(AND(COUNTA($A111:$J111)&gt;0,OR(클레임조회!$C$4="",AND(ISNUMBER($B111),$B111&gt;=클레임조회!$C$4)),OR(클레임조회!$C$5="",AND(ISNUMBER($B111),$B111&lt;=클레임조회!$C$5)),OR(클레임조회!$C$6="",$C111=클레임조회!$C$6),OR(클레임조회!$C$7="",$D111=클레임조회!$C$7),OR(클레임조회!$C$8="",$E111=클레임조회!$C$8),OR(클레임조회!$C$9="",$F111=클레임조회!$C$9),OR(클레임조회!$C$10="",ISNUMBER(SEARCH(클레임조회!$C$10,$C111&amp;" "&amp;$F111&amp;" "&amp;$G111&amp;" "&amp;$H111)))),COUNT(O$1:O110)+1,"")</f>
        <v/>
      </c>
      <c r="P111" s="0" t="str">
        <f aca="false">IF(AND(TRIM(C111)&lt;&gt;"",COUNTIF(C$2:C111,C111)=1),MAX(P$1:P110)+1,"")</f>
        <v/>
      </c>
      <c r="Q111" s="0" t="str">
        <f aca="false">IF(AND(TRIM(F111)&lt;&gt;"",COUNTIF(F$2:F111,F111)=1),MAX(Q$1:Q110)+1,"")</f>
        <v/>
      </c>
    </row>
    <row r="112" customFormat="false" ht="15" hidden="false" customHeight="false" outlineLevel="0" collapsed="false">
      <c r="A112" s="9"/>
      <c r="B112" s="10"/>
      <c r="C112" s="11"/>
      <c r="D112" s="11"/>
      <c r="E112" s="11"/>
      <c r="F112" s="11"/>
      <c r="G112" s="12"/>
      <c r="H112" s="12"/>
      <c r="I112" s="10"/>
      <c r="J112" s="12"/>
      <c r="K112" s="13" t="str">
        <f aca="false">IF(ISNUMBER(B112),YEAR(B112),"")</f>
        <v/>
      </c>
      <c r="L112" s="13" t="str">
        <f aca="false">IF(ISNUMBER(B112),MONTH(B112),"")</f>
        <v/>
      </c>
      <c r="M112" s="13" t="str">
        <f aca="false">IF(AND(ISNUMBER(B112),ISNUMBER(I112)),B112-I112+1,"")</f>
        <v/>
      </c>
      <c r="N112" s="14" t="str">
        <f aca="false">IF(B112="","",IF(M112="","시작일 미입력",IF(M112&lt;1,"시작일 이전(확인)",IF(M112=1,"1일째",IF(M112=2,"2일째",IF(M112=3,"3일째",IF(M112&lt;=7,"일주일 이내",IF(M112&lt;=14,"이주일 이내","15일 이후"))))))))</f>
        <v/>
      </c>
      <c r="O112" s="0" t="str">
        <f aca="false">IF(AND(COUNTA($A112:$J112)&gt;0,OR(클레임조회!$C$4="",AND(ISNUMBER($B112),$B112&gt;=클레임조회!$C$4)),OR(클레임조회!$C$5="",AND(ISNUMBER($B112),$B112&lt;=클레임조회!$C$5)),OR(클레임조회!$C$6="",$C112=클레임조회!$C$6),OR(클레임조회!$C$7="",$D112=클레임조회!$C$7),OR(클레임조회!$C$8="",$E112=클레임조회!$C$8),OR(클레임조회!$C$9="",$F112=클레임조회!$C$9),OR(클레임조회!$C$10="",ISNUMBER(SEARCH(클레임조회!$C$10,$C112&amp;" "&amp;$F112&amp;" "&amp;$G112&amp;" "&amp;$H112)))),COUNT(O$1:O111)+1,"")</f>
        <v/>
      </c>
      <c r="P112" s="0" t="str">
        <f aca="false">IF(AND(TRIM(C112)&lt;&gt;"",COUNTIF(C$2:C112,C112)=1),MAX(P$1:P111)+1,"")</f>
        <v/>
      </c>
      <c r="Q112" s="0" t="str">
        <f aca="false">IF(AND(TRIM(F112)&lt;&gt;"",COUNTIF(F$2:F112,F112)=1),MAX(Q$1:Q111)+1,"")</f>
        <v/>
      </c>
    </row>
    <row r="113" customFormat="false" ht="15" hidden="false" customHeight="false" outlineLevel="0" collapsed="false">
      <c r="A113" s="9"/>
      <c r="B113" s="10"/>
      <c r="C113" s="11"/>
      <c r="D113" s="11"/>
      <c r="E113" s="11"/>
      <c r="F113" s="11"/>
      <c r="G113" s="12"/>
      <c r="H113" s="12"/>
      <c r="I113" s="10"/>
      <c r="J113" s="12"/>
      <c r="K113" s="13" t="str">
        <f aca="false">IF(ISNUMBER(B113),YEAR(B113),"")</f>
        <v/>
      </c>
      <c r="L113" s="13" t="str">
        <f aca="false">IF(ISNUMBER(B113),MONTH(B113),"")</f>
        <v/>
      </c>
      <c r="M113" s="13" t="str">
        <f aca="false">IF(AND(ISNUMBER(B113),ISNUMBER(I113)),B113-I113+1,"")</f>
        <v/>
      </c>
      <c r="N113" s="14" t="str">
        <f aca="false">IF(B113="","",IF(M113="","시작일 미입력",IF(M113&lt;1,"시작일 이전(확인)",IF(M113=1,"1일째",IF(M113=2,"2일째",IF(M113=3,"3일째",IF(M113&lt;=7,"일주일 이내",IF(M113&lt;=14,"이주일 이내","15일 이후"))))))))</f>
        <v/>
      </c>
      <c r="O113" s="0" t="str">
        <f aca="false">IF(AND(COUNTA($A113:$J113)&gt;0,OR(클레임조회!$C$4="",AND(ISNUMBER($B113),$B113&gt;=클레임조회!$C$4)),OR(클레임조회!$C$5="",AND(ISNUMBER($B113),$B113&lt;=클레임조회!$C$5)),OR(클레임조회!$C$6="",$C113=클레임조회!$C$6),OR(클레임조회!$C$7="",$D113=클레임조회!$C$7),OR(클레임조회!$C$8="",$E113=클레임조회!$C$8),OR(클레임조회!$C$9="",$F113=클레임조회!$C$9),OR(클레임조회!$C$10="",ISNUMBER(SEARCH(클레임조회!$C$10,$C113&amp;" "&amp;$F113&amp;" "&amp;$G113&amp;" "&amp;$H113)))),COUNT(O$1:O112)+1,"")</f>
        <v/>
      </c>
      <c r="P113" s="0" t="str">
        <f aca="false">IF(AND(TRIM(C113)&lt;&gt;"",COUNTIF(C$2:C113,C113)=1),MAX(P$1:P112)+1,"")</f>
        <v/>
      </c>
      <c r="Q113" s="0" t="str">
        <f aca="false">IF(AND(TRIM(F113)&lt;&gt;"",COUNTIF(F$2:F113,F113)=1),MAX(Q$1:Q112)+1,"")</f>
        <v/>
      </c>
    </row>
    <row r="114" customFormat="false" ht="15" hidden="false" customHeight="false" outlineLevel="0" collapsed="false">
      <c r="A114" s="9"/>
      <c r="B114" s="10"/>
      <c r="C114" s="11"/>
      <c r="D114" s="11"/>
      <c r="E114" s="11"/>
      <c r="F114" s="11"/>
      <c r="G114" s="12"/>
      <c r="H114" s="12"/>
      <c r="I114" s="10"/>
      <c r="J114" s="12"/>
      <c r="K114" s="13" t="str">
        <f aca="false">IF(ISNUMBER(B114),YEAR(B114),"")</f>
        <v/>
      </c>
      <c r="L114" s="13" t="str">
        <f aca="false">IF(ISNUMBER(B114),MONTH(B114),"")</f>
        <v/>
      </c>
      <c r="M114" s="13" t="str">
        <f aca="false">IF(AND(ISNUMBER(B114),ISNUMBER(I114)),B114-I114+1,"")</f>
        <v/>
      </c>
      <c r="N114" s="14" t="str">
        <f aca="false">IF(B114="","",IF(M114="","시작일 미입력",IF(M114&lt;1,"시작일 이전(확인)",IF(M114=1,"1일째",IF(M114=2,"2일째",IF(M114=3,"3일째",IF(M114&lt;=7,"일주일 이내",IF(M114&lt;=14,"이주일 이내","15일 이후"))))))))</f>
        <v/>
      </c>
      <c r="O114" s="0" t="str">
        <f aca="false">IF(AND(COUNTA($A114:$J114)&gt;0,OR(클레임조회!$C$4="",AND(ISNUMBER($B114),$B114&gt;=클레임조회!$C$4)),OR(클레임조회!$C$5="",AND(ISNUMBER($B114),$B114&lt;=클레임조회!$C$5)),OR(클레임조회!$C$6="",$C114=클레임조회!$C$6),OR(클레임조회!$C$7="",$D114=클레임조회!$C$7),OR(클레임조회!$C$8="",$E114=클레임조회!$C$8),OR(클레임조회!$C$9="",$F114=클레임조회!$C$9),OR(클레임조회!$C$10="",ISNUMBER(SEARCH(클레임조회!$C$10,$C114&amp;" "&amp;$F114&amp;" "&amp;$G114&amp;" "&amp;$H114)))),COUNT(O$1:O113)+1,"")</f>
        <v/>
      </c>
      <c r="P114" s="0" t="str">
        <f aca="false">IF(AND(TRIM(C114)&lt;&gt;"",COUNTIF(C$2:C114,C114)=1),MAX(P$1:P113)+1,"")</f>
        <v/>
      </c>
      <c r="Q114" s="0" t="str">
        <f aca="false">IF(AND(TRIM(F114)&lt;&gt;"",COUNTIF(F$2:F114,F114)=1),MAX(Q$1:Q113)+1,"")</f>
        <v/>
      </c>
    </row>
    <row r="115" customFormat="false" ht="15" hidden="false" customHeight="false" outlineLevel="0" collapsed="false">
      <c r="A115" s="9"/>
      <c r="B115" s="10"/>
      <c r="C115" s="11"/>
      <c r="D115" s="11"/>
      <c r="E115" s="11"/>
      <c r="F115" s="11"/>
      <c r="G115" s="12"/>
      <c r="H115" s="12"/>
      <c r="I115" s="10"/>
      <c r="J115" s="12"/>
      <c r="K115" s="13" t="str">
        <f aca="false">IF(ISNUMBER(B115),YEAR(B115),"")</f>
        <v/>
      </c>
      <c r="L115" s="13" t="str">
        <f aca="false">IF(ISNUMBER(B115),MONTH(B115),"")</f>
        <v/>
      </c>
      <c r="M115" s="13" t="str">
        <f aca="false">IF(AND(ISNUMBER(B115),ISNUMBER(I115)),B115-I115+1,"")</f>
        <v/>
      </c>
      <c r="N115" s="14" t="str">
        <f aca="false">IF(B115="","",IF(M115="","시작일 미입력",IF(M115&lt;1,"시작일 이전(확인)",IF(M115=1,"1일째",IF(M115=2,"2일째",IF(M115=3,"3일째",IF(M115&lt;=7,"일주일 이내",IF(M115&lt;=14,"이주일 이내","15일 이후"))))))))</f>
        <v/>
      </c>
      <c r="O115" s="0" t="str">
        <f aca="false">IF(AND(COUNTA($A115:$J115)&gt;0,OR(클레임조회!$C$4="",AND(ISNUMBER($B115),$B115&gt;=클레임조회!$C$4)),OR(클레임조회!$C$5="",AND(ISNUMBER($B115),$B115&lt;=클레임조회!$C$5)),OR(클레임조회!$C$6="",$C115=클레임조회!$C$6),OR(클레임조회!$C$7="",$D115=클레임조회!$C$7),OR(클레임조회!$C$8="",$E115=클레임조회!$C$8),OR(클레임조회!$C$9="",$F115=클레임조회!$C$9),OR(클레임조회!$C$10="",ISNUMBER(SEARCH(클레임조회!$C$10,$C115&amp;" "&amp;$F115&amp;" "&amp;$G115&amp;" "&amp;$H115)))),COUNT(O$1:O114)+1,"")</f>
        <v/>
      </c>
      <c r="P115" s="0" t="str">
        <f aca="false">IF(AND(TRIM(C115)&lt;&gt;"",COUNTIF(C$2:C115,C115)=1),MAX(P$1:P114)+1,"")</f>
        <v/>
      </c>
      <c r="Q115" s="0" t="str">
        <f aca="false">IF(AND(TRIM(F115)&lt;&gt;"",COUNTIF(F$2:F115,F115)=1),MAX(Q$1:Q114)+1,"")</f>
        <v/>
      </c>
    </row>
    <row r="116" customFormat="false" ht="15" hidden="false" customHeight="false" outlineLevel="0" collapsed="false">
      <c r="A116" s="9"/>
      <c r="B116" s="10"/>
      <c r="C116" s="11"/>
      <c r="D116" s="11"/>
      <c r="E116" s="11"/>
      <c r="F116" s="11"/>
      <c r="G116" s="12"/>
      <c r="H116" s="12"/>
      <c r="I116" s="10"/>
      <c r="J116" s="12"/>
      <c r="K116" s="13" t="str">
        <f aca="false">IF(ISNUMBER(B116),YEAR(B116),"")</f>
        <v/>
      </c>
      <c r="L116" s="13" t="str">
        <f aca="false">IF(ISNUMBER(B116),MONTH(B116),"")</f>
        <v/>
      </c>
      <c r="M116" s="13" t="str">
        <f aca="false">IF(AND(ISNUMBER(B116),ISNUMBER(I116)),B116-I116+1,"")</f>
        <v/>
      </c>
      <c r="N116" s="14" t="str">
        <f aca="false">IF(B116="","",IF(M116="","시작일 미입력",IF(M116&lt;1,"시작일 이전(확인)",IF(M116=1,"1일째",IF(M116=2,"2일째",IF(M116=3,"3일째",IF(M116&lt;=7,"일주일 이내",IF(M116&lt;=14,"이주일 이내","15일 이후"))))))))</f>
        <v/>
      </c>
      <c r="O116" s="0" t="str">
        <f aca="false">IF(AND(COUNTA($A116:$J116)&gt;0,OR(클레임조회!$C$4="",AND(ISNUMBER($B116),$B116&gt;=클레임조회!$C$4)),OR(클레임조회!$C$5="",AND(ISNUMBER($B116),$B116&lt;=클레임조회!$C$5)),OR(클레임조회!$C$6="",$C116=클레임조회!$C$6),OR(클레임조회!$C$7="",$D116=클레임조회!$C$7),OR(클레임조회!$C$8="",$E116=클레임조회!$C$8),OR(클레임조회!$C$9="",$F116=클레임조회!$C$9),OR(클레임조회!$C$10="",ISNUMBER(SEARCH(클레임조회!$C$10,$C116&amp;" "&amp;$F116&amp;" "&amp;$G116&amp;" "&amp;$H116)))),COUNT(O$1:O115)+1,"")</f>
        <v/>
      </c>
      <c r="P116" s="0" t="str">
        <f aca="false">IF(AND(TRIM(C116)&lt;&gt;"",COUNTIF(C$2:C116,C116)=1),MAX(P$1:P115)+1,"")</f>
        <v/>
      </c>
      <c r="Q116" s="0" t="str">
        <f aca="false">IF(AND(TRIM(F116)&lt;&gt;"",COUNTIF(F$2:F116,F116)=1),MAX(Q$1:Q115)+1,"")</f>
        <v/>
      </c>
    </row>
    <row r="117" customFormat="false" ht="15" hidden="false" customHeight="false" outlineLevel="0" collapsed="false">
      <c r="A117" s="9"/>
      <c r="B117" s="10"/>
      <c r="C117" s="11"/>
      <c r="D117" s="11"/>
      <c r="E117" s="11"/>
      <c r="F117" s="11"/>
      <c r="G117" s="12"/>
      <c r="H117" s="12"/>
      <c r="I117" s="10"/>
      <c r="J117" s="12"/>
      <c r="K117" s="13" t="str">
        <f aca="false">IF(ISNUMBER(B117),YEAR(B117),"")</f>
        <v/>
      </c>
      <c r="L117" s="13" t="str">
        <f aca="false">IF(ISNUMBER(B117),MONTH(B117),"")</f>
        <v/>
      </c>
      <c r="M117" s="13" t="str">
        <f aca="false">IF(AND(ISNUMBER(B117),ISNUMBER(I117)),B117-I117+1,"")</f>
        <v/>
      </c>
      <c r="N117" s="14" t="str">
        <f aca="false">IF(B117="","",IF(M117="","시작일 미입력",IF(M117&lt;1,"시작일 이전(확인)",IF(M117=1,"1일째",IF(M117=2,"2일째",IF(M117=3,"3일째",IF(M117&lt;=7,"일주일 이내",IF(M117&lt;=14,"이주일 이내","15일 이후"))))))))</f>
        <v/>
      </c>
      <c r="O117" s="0" t="str">
        <f aca="false">IF(AND(COUNTA($A117:$J117)&gt;0,OR(클레임조회!$C$4="",AND(ISNUMBER($B117),$B117&gt;=클레임조회!$C$4)),OR(클레임조회!$C$5="",AND(ISNUMBER($B117),$B117&lt;=클레임조회!$C$5)),OR(클레임조회!$C$6="",$C117=클레임조회!$C$6),OR(클레임조회!$C$7="",$D117=클레임조회!$C$7),OR(클레임조회!$C$8="",$E117=클레임조회!$C$8),OR(클레임조회!$C$9="",$F117=클레임조회!$C$9),OR(클레임조회!$C$10="",ISNUMBER(SEARCH(클레임조회!$C$10,$C117&amp;" "&amp;$F117&amp;" "&amp;$G117&amp;" "&amp;$H117)))),COUNT(O$1:O116)+1,"")</f>
        <v/>
      </c>
      <c r="P117" s="0" t="str">
        <f aca="false">IF(AND(TRIM(C117)&lt;&gt;"",COUNTIF(C$2:C117,C117)=1),MAX(P$1:P116)+1,"")</f>
        <v/>
      </c>
      <c r="Q117" s="0" t="str">
        <f aca="false">IF(AND(TRIM(F117)&lt;&gt;"",COUNTIF(F$2:F117,F117)=1),MAX(Q$1:Q116)+1,"")</f>
        <v/>
      </c>
    </row>
    <row r="118" customFormat="false" ht="15" hidden="false" customHeight="false" outlineLevel="0" collapsed="false">
      <c r="A118" s="9"/>
      <c r="B118" s="10"/>
      <c r="C118" s="11"/>
      <c r="D118" s="11"/>
      <c r="E118" s="11"/>
      <c r="F118" s="11"/>
      <c r="G118" s="12"/>
      <c r="H118" s="12"/>
      <c r="I118" s="10"/>
      <c r="J118" s="12"/>
      <c r="K118" s="13" t="str">
        <f aca="false">IF(ISNUMBER(B118),YEAR(B118),"")</f>
        <v/>
      </c>
      <c r="L118" s="13" t="str">
        <f aca="false">IF(ISNUMBER(B118),MONTH(B118),"")</f>
        <v/>
      </c>
      <c r="M118" s="13" t="str">
        <f aca="false">IF(AND(ISNUMBER(B118),ISNUMBER(I118)),B118-I118+1,"")</f>
        <v/>
      </c>
      <c r="N118" s="14" t="str">
        <f aca="false">IF(B118="","",IF(M118="","시작일 미입력",IF(M118&lt;1,"시작일 이전(확인)",IF(M118=1,"1일째",IF(M118=2,"2일째",IF(M118=3,"3일째",IF(M118&lt;=7,"일주일 이내",IF(M118&lt;=14,"이주일 이내","15일 이후"))))))))</f>
        <v/>
      </c>
      <c r="O118" s="0" t="str">
        <f aca="false">IF(AND(COUNTA($A118:$J118)&gt;0,OR(클레임조회!$C$4="",AND(ISNUMBER($B118),$B118&gt;=클레임조회!$C$4)),OR(클레임조회!$C$5="",AND(ISNUMBER($B118),$B118&lt;=클레임조회!$C$5)),OR(클레임조회!$C$6="",$C118=클레임조회!$C$6),OR(클레임조회!$C$7="",$D118=클레임조회!$C$7),OR(클레임조회!$C$8="",$E118=클레임조회!$C$8),OR(클레임조회!$C$9="",$F118=클레임조회!$C$9),OR(클레임조회!$C$10="",ISNUMBER(SEARCH(클레임조회!$C$10,$C118&amp;" "&amp;$F118&amp;" "&amp;$G118&amp;" "&amp;$H118)))),COUNT(O$1:O117)+1,"")</f>
        <v/>
      </c>
      <c r="P118" s="0" t="str">
        <f aca="false">IF(AND(TRIM(C118)&lt;&gt;"",COUNTIF(C$2:C118,C118)=1),MAX(P$1:P117)+1,"")</f>
        <v/>
      </c>
      <c r="Q118" s="0" t="str">
        <f aca="false">IF(AND(TRIM(F118)&lt;&gt;"",COUNTIF(F$2:F118,F118)=1),MAX(Q$1:Q117)+1,"")</f>
        <v/>
      </c>
    </row>
    <row r="119" customFormat="false" ht="15" hidden="false" customHeight="false" outlineLevel="0" collapsed="false">
      <c r="A119" s="9"/>
      <c r="B119" s="10"/>
      <c r="C119" s="11"/>
      <c r="D119" s="11"/>
      <c r="E119" s="11"/>
      <c r="F119" s="11"/>
      <c r="G119" s="12"/>
      <c r="H119" s="12"/>
      <c r="I119" s="10"/>
      <c r="J119" s="12"/>
      <c r="K119" s="13" t="str">
        <f aca="false">IF(ISNUMBER(B119),YEAR(B119),"")</f>
        <v/>
      </c>
      <c r="L119" s="13" t="str">
        <f aca="false">IF(ISNUMBER(B119),MONTH(B119),"")</f>
        <v/>
      </c>
      <c r="M119" s="13" t="str">
        <f aca="false">IF(AND(ISNUMBER(B119),ISNUMBER(I119)),B119-I119+1,"")</f>
        <v/>
      </c>
      <c r="N119" s="14" t="str">
        <f aca="false">IF(B119="","",IF(M119="","시작일 미입력",IF(M119&lt;1,"시작일 이전(확인)",IF(M119=1,"1일째",IF(M119=2,"2일째",IF(M119=3,"3일째",IF(M119&lt;=7,"일주일 이내",IF(M119&lt;=14,"이주일 이내","15일 이후"))))))))</f>
        <v/>
      </c>
      <c r="O119" s="0" t="str">
        <f aca="false">IF(AND(COUNTA($A119:$J119)&gt;0,OR(클레임조회!$C$4="",AND(ISNUMBER($B119),$B119&gt;=클레임조회!$C$4)),OR(클레임조회!$C$5="",AND(ISNUMBER($B119),$B119&lt;=클레임조회!$C$5)),OR(클레임조회!$C$6="",$C119=클레임조회!$C$6),OR(클레임조회!$C$7="",$D119=클레임조회!$C$7),OR(클레임조회!$C$8="",$E119=클레임조회!$C$8),OR(클레임조회!$C$9="",$F119=클레임조회!$C$9),OR(클레임조회!$C$10="",ISNUMBER(SEARCH(클레임조회!$C$10,$C119&amp;" "&amp;$F119&amp;" "&amp;$G119&amp;" "&amp;$H119)))),COUNT(O$1:O118)+1,"")</f>
        <v/>
      </c>
      <c r="P119" s="0" t="str">
        <f aca="false">IF(AND(TRIM(C119)&lt;&gt;"",COUNTIF(C$2:C119,C119)=1),MAX(P$1:P118)+1,"")</f>
        <v/>
      </c>
      <c r="Q119" s="0" t="str">
        <f aca="false">IF(AND(TRIM(F119)&lt;&gt;"",COUNTIF(F$2:F119,F119)=1),MAX(Q$1:Q118)+1,"")</f>
        <v/>
      </c>
    </row>
    <row r="120" customFormat="false" ht="15" hidden="false" customHeight="false" outlineLevel="0" collapsed="false">
      <c r="A120" s="9"/>
      <c r="B120" s="10"/>
      <c r="C120" s="11"/>
      <c r="D120" s="11"/>
      <c r="E120" s="11"/>
      <c r="F120" s="11"/>
      <c r="G120" s="12"/>
      <c r="H120" s="12"/>
      <c r="I120" s="10"/>
      <c r="J120" s="12"/>
      <c r="K120" s="13" t="str">
        <f aca="false">IF(ISNUMBER(B120),YEAR(B120),"")</f>
        <v/>
      </c>
      <c r="L120" s="13" t="str">
        <f aca="false">IF(ISNUMBER(B120),MONTH(B120),"")</f>
        <v/>
      </c>
      <c r="M120" s="13" t="str">
        <f aca="false">IF(AND(ISNUMBER(B120),ISNUMBER(I120)),B120-I120+1,"")</f>
        <v/>
      </c>
      <c r="N120" s="14" t="str">
        <f aca="false">IF(B120="","",IF(M120="","시작일 미입력",IF(M120&lt;1,"시작일 이전(확인)",IF(M120=1,"1일째",IF(M120=2,"2일째",IF(M120=3,"3일째",IF(M120&lt;=7,"일주일 이내",IF(M120&lt;=14,"이주일 이내","15일 이후"))))))))</f>
        <v/>
      </c>
      <c r="O120" s="0" t="str">
        <f aca="false">IF(AND(COUNTA($A120:$J120)&gt;0,OR(클레임조회!$C$4="",AND(ISNUMBER($B120),$B120&gt;=클레임조회!$C$4)),OR(클레임조회!$C$5="",AND(ISNUMBER($B120),$B120&lt;=클레임조회!$C$5)),OR(클레임조회!$C$6="",$C120=클레임조회!$C$6),OR(클레임조회!$C$7="",$D120=클레임조회!$C$7),OR(클레임조회!$C$8="",$E120=클레임조회!$C$8),OR(클레임조회!$C$9="",$F120=클레임조회!$C$9),OR(클레임조회!$C$10="",ISNUMBER(SEARCH(클레임조회!$C$10,$C120&amp;" "&amp;$F120&amp;" "&amp;$G120&amp;" "&amp;$H120)))),COUNT(O$1:O119)+1,"")</f>
        <v/>
      </c>
      <c r="P120" s="0" t="str">
        <f aca="false">IF(AND(TRIM(C120)&lt;&gt;"",COUNTIF(C$2:C120,C120)=1),MAX(P$1:P119)+1,"")</f>
        <v/>
      </c>
      <c r="Q120" s="0" t="str">
        <f aca="false">IF(AND(TRIM(F120)&lt;&gt;"",COUNTIF(F$2:F120,F120)=1),MAX(Q$1:Q119)+1,"")</f>
        <v/>
      </c>
    </row>
    <row r="121" customFormat="false" ht="15" hidden="false" customHeight="false" outlineLevel="0" collapsed="false">
      <c r="A121" s="9"/>
      <c r="B121" s="10"/>
      <c r="C121" s="11"/>
      <c r="D121" s="11"/>
      <c r="E121" s="11"/>
      <c r="F121" s="11"/>
      <c r="G121" s="12"/>
      <c r="H121" s="12"/>
      <c r="I121" s="10"/>
      <c r="J121" s="12"/>
      <c r="K121" s="13" t="str">
        <f aca="false">IF(ISNUMBER(B121),YEAR(B121),"")</f>
        <v/>
      </c>
      <c r="L121" s="13" t="str">
        <f aca="false">IF(ISNUMBER(B121),MONTH(B121),"")</f>
        <v/>
      </c>
      <c r="M121" s="13" t="str">
        <f aca="false">IF(AND(ISNUMBER(B121),ISNUMBER(I121)),B121-I121+1,"")</f>
        <v/>
      </c>
      <c r="N121" s="14" t="str">
        <f aca="false">IF(B121="","",IF(M121="","시작일 미입력",IF(M121&lt;1,"시작일 이전(확인)",IF(M121=1,"1일째",IF(M121=2,"2일째",IF(M121=3,"3일째",IF(M121&lt;=7,"일주일 이내",IF(M121&lt;=14,"이주일 이내","15일 이후"))))))))</f>
        <v/>
      </c>
      <c r="O121" s="0" t="str">
        <f aca="false">IF(AND(COUNTA($A121:$J121)&gt;0,OR(클레임조회!$C$4="",AND(ISNUMBER($B121),$B121&gt;=클레임조회!$C$4)),OR(클레임조회!$C$5="",AND(ISNUMBER($B121),$B121&lt;=클레임조회!$C$5)),OR(클레임조회!$C$6="",$C121=클레임조회!$C$6),OR(클레임조회!$C$7="",$D121=클레임조회!$C$7),OR(클레임조회!$C$8="",$E121=클레임조회!$C$8),OR(클레임조회!$C$9="",$F121=클레임조회!$C$9),OR(클레임조회!$C$10="",ISNUMBER(SEARCH(클레임조회!$C$10,$C121&amp;" "&amp;$F121&amp;" "&amp;$G121&amp;" "&amp;$H121)))),COUNT(O$1:O120)+1,"")</f>
        <v/>
      </c>
      <c r="P121" s="0" t="str">
        <f aca="false">IF(AND(TRIM(C121)&lt;&gt;"",COUNTIF(C$2:C121,C121)=1),MAX(P$1:P120)+1,"")</f>
        <v/>
      </c>
      <c r="Q121" s="0" t="str">
        <f aca="false">IF(AND(TRIM(F121)&lt;&gt;"",COUNTIF(F$2:F121,F121)=1),MAX(Q$1:Q120)+1,"")</f>
        <v/>
      </c>
    </row>
    <row r="122" customFormat="false" ht="15" hidden="false" customHeight="false" outlineLevel="0" collapsed="false">
      <c r="A122" s="9"/>
      <c r="B122" s="10"/>
      <c r="C122" s="11"/>
      <c r="D122" s="11"/>
      <c r="E122" s="11"/>
      <c r="F122" s="11"/>
      <c r="G122" s="12"/>
      <c r="H122" s="12"/>
      <c r="I122" s="10"/>
      <c r="J122" s="12"/>
      <c r="K122" s="13" t="str">
        <f aca="false">IF(ISNUMBER(B122),YEAR(B122),"")</f>
        <v/>
      </c>
      <c r="L122" s="13" t="str">
        <f aca="false">IF(ISNUMBER(B122),MONTH(B122),"")</f>
        <v/>
      </c>
      <c r="M122" s="13" t="str">
        <f aca="false">IF(AND(ISNUMBER(B122),ISNUMBER(I122)),B122-I122+1,"")</f>
        <v/>
      </c>
      <c r="N122" s="14" t="str">
        <f aca="false">IF(B122="","",IF(M122="","시작일 미입력",IF(M122&lt;1,"시작일 이전(확인)",IF(M122=1,"1일째",IF(M122=2,"2일째",IF(M122=3,"3일째",IF(M122&lt;=7,"일주일 이내",IF(M122&lt;=14,"이주일 이내","15일 이후"))))))))</f>
        <v/>
      </c>
      <c r="O122" s="0" t="str">
        <f aca="false">IF(AND(COUNTA($A122:$J122)&gt;0,OR(클레임조회!$C$4="",AND(ISNUMBER($B122),$B122&gt;=클레임조회!$C$4)),OR(클레임조회!$C$5="",AND(ISNUMBER($B122),$B122&lt;=클레임조회!$C$5)),OR(클레임조회!$C$6="",$C122=클레임조회!$C$6),OR(클레임조회!$C$7="",$D122=클레임조회!$C$7),OR(클레임조회!$C$8="",$E122=클레임조회!$C$8),OR(클레임조회!$C$9="",$F122=클레임조회!$C$9),OR(클레임조회!$C$10="",ISNUMBER(SEARCH(클레임조회!$C$10,$C122&amp;" "&amp;$F122&amp;" "&amp;$G122&amp;" "&amp;$H122)))),COUNT(O$1:O121)+1,"")</f>
        <v/>
      </c>
      <c r="P122" s="0" t="str">
        <f aca="false">IF(AND(TRIM(C122)&lt;&gt;"",COUNTIF(C$2:C122,C122)=1),MAX(P$1:P121)+1,"")</f>
        <v/>
      </c>
      <c r="Q122" s="0" t="str">
        <f aca="false">IF(AND(TRIM(F122)&lt;&gt;"",COUNTIF(F$2:F122,F122)=1),MAX(Q$1:Q121)+1,"")</f>
        <v/>
      </c>
    </row>
    <row r="123" customFormat="false" ht="15" hidden="false" customHeight="false" outlineLevel="0" collapsed="false">
      <c r="A123" s="9"/>
      <c r="B123" s="10"/>
      <c r="C123" s="11"/>
      <c r="D123" s="11"/>
      <c r="E123" s="11"/>
      <c r="F123" s="11"/>
      <c r="G123" s="12"/>
      <c r="H123" s="12"/>
      <c r="I123" s="10"/>
      <c r="J123" s="12"/>
      <c r="K123" s="13" t="str">
        <f aca="false">IF(ISNUMBER(B123),YEAR(B123),"")</f>
        <v/>
      </c>
      <c r="L123" s="13" t="str">
        <f aca="false">IF(ISNUMBER(B123),MONTH(B123),"")</f>
        <v/>
      </c>
      <c r="M123" s="13" t="str">
        <f aca="false">IF(AND(ISNUMBER(B123),ISNUMBER(I123)),B123-I123+1,"")</f>
        <v/>
      </c>
      <c r="N123" s="14" t="str">
        <f aca="false">IF(B123="","",IF(M123="","시작일 미입력",IF(M123&lt;1,"시작일 이전(확인)",IF(M123=1,"1일째",IF(M123=2,"2일째",IF(M123=3,"3일째",IF(M123&lt;=7,"일주일 이내",IF(M123&lt;=14,"이주일 이내","15일 이후"))))))))</f>
        <v/>
      </c>
      <c r="O123" s="0" t="str">
        <f aca="false">IF(AND(COUNTA($A123:$J123)&gt;0,OR(클레임조회!$C$4="",AND(ISNUMBER($B123),$B123&gt;=클레임조회!$C$4)),OR(클레임조회!$C$5="",AND(ISNUMBER($B123),$B123&lt;=클레임조회!$C$5)),OR(클레임조회!$C$6="",$C123=클레임조회!$C$6),OR(클레임조회!$C$7="",$D123=클레임조회!$C$7),OR(클레임조회!$C$8="",$E123=클레임조회!$C$8),OR(클레임조회!$C$9="",$F123=클레임조회!$C$9),OR(클레임조회!$C$10="",ISNUMBER(SEARCH(클레임조회!$C$10,$C123&amp;" "&amp;$F123&amp;" "&amp;$G123&amp;" "&amp;$H123)))),COUNT(O$1:O122)+1,"")</f>
        <v/>
      </c>
      <c r="P123" s="0" t="str">
        <f aca="false">IF(AND(TRIM(C123)&lt;&gt;"",COUNTIF(C$2:C123,C123)=1),MAX(P$1:P122)+1,"")</f>
        <v/>
      </c>
      <c r="Q123" s="0" t="str">
        <f aca="false">IF(AND(TRIM(F123)&lt;&gt;"",COUNTIF(F$2:F123,F123)=1),MAX(Q$1:Q122)+1,"")</f>
        <v/>
      </c>
    </row>
    <row r="124" customFormat="false" ht="15" hidden="false" customHeight="false" outlineLevel="0" collapsed="false">
      <c r="A124" s="9"/>
      <c r="B124" s="10"/>
      <c r="C124" s="11"/>
      <c r="D124" s="11"/>
      <c r="E124" s="11"/>
      <c r="F124" s="11"/>
      <c r="G124" s="12"/>
      <c r="H124" s="12"/>
      <c r="I124" s="10"/>
      <c r="J124" s="12"/>
      <c r="K124" s="13" t="str">
        <f aca="false">IF(ISNUMBER(B124),YEAR(B124),"")</f>
        <v/>
      </c>
      <c r="L124" s="13" t="str">
        <f aca="false">IF(ISNUMBER(B124),MONTH(B124),"")</f>
        <v/>
      </c>
      <c r="M124" s="13" t="str">
        <f aca="false">IF(AND(ISNUMBER(B124),ISNUMBER(I124)),B124-I124+1,"")</f>
        <v/>
      </c>
      <c r="N124" s="14" t="str">
        <f aca="false">IF(B124="","",IF(M124="","시작일 미입력",IF(M124&lt;1,"시작일 이전(확인)",IF(M124=1,"1일째",IF(M124=2,"2일째",IF(M124=3,"3일째",IF(M124&lt;=7,"일주일 이내",IF(M124&lt;=14,"이주일 이내","15일 이후"))))))))</f>
        <v/>
      </c>
      <c r="O124" s="0" t="str">
        <f aca="false">IF(AND(COUNTA($A124:$J124)&gt;0,OR(클레임조회!$C$4="",AND(ISNUMBER($B124),$B124&gt;=클레임조회!$C$4)),OR(클레임조회!$C$5="",AND(ISNUMBER($B124),$B124&lt;=클레임조회!$C$5)),OR(클레임조회!$C$6="",$C124=클레임조회!$C$6),OR(클레임조회!$C$7="",$D124=클레임조회!$C$7),OR(클레임조회!$C$8="",$E124=클레임조회!$C$8),OR(클레임조회!$C$9="",$F124=클레임조회!$C$9),OR(클레임조회!$C$10="",ISNUMBER(SEARCH(클레임조회!$C$10,$C124&amp;" "&amp;$F124&amp;" "&amp;$G124&amp;" "&amp;$H124)))),COUNT(O$1:O123)+1,"")</f>
        <v/>
      </c>
      <c r="P124" s="0" t="str">
        <f aca="false">IF(AND(TRIM(C124)&lt;&gt;"",COUNTIF(C$2:C124,C124)=1),MAX(P$1:P123)+1,"")</f>
        <v/>
      </c>
      <c r="Q124" s="0" t="str">
        <f aca="false">IF(AND(TRIM(F124)&lt;&gt;"",COUNTIF(F$2:F124,F124)=1),MAX(Q$1:Q123)+1,"")</f>
        <v/>
      </c>
    </row>
    <row r="125" customFormat="false" ht="15" hidden="false" customHeight="false" outlineLevel="0" collapsed="false">
      <c r="A125" s="9"/>
      <c r="B125" s="10"/>
      <c r="C125" s="11"/>
      <c r="D125" s="11"/>
      <c r="E125" s="11"/>
      <c r="F125" s="11"/>
      <c r="G125" s="12"/>
      <c r="H125" s="12"/>
      <c r="I125" s="10"/>
      <c r="J125" s="12"/>
      <c r="K125" s="13" t="str">
        <f aca="false">IF(ISNUMBER(B125),YEAR(B125),"")</f>
        <v/>
      </c>
      <c r="L125" s="13" t="str">
        <f aca="false">IF(ISNUMBER(B125),MONTH(B125),"")</f>
        <v/>
      </c>
      <c r="M125" s="13" t="str">
        <f aca="false">IF(AND(ISNUMBER(B125),ISNUMBER(I125)),B125-I125+1,"")</f>
        <v/>
      </c>
      <c r="N125" s="14" t="str">
        <f aca="false">IF(B125="","",IF(M125="","시작일 미입력",IF(M125&lt;1,"시작일 이전(확인)",IF(M125=1,"1일째",IF(M125=2,"2일째",IF(M125=3,"3일째",IF(M125&lt;=7,"일주일 이내",IF(M125&lt;=14,"이주일 이내","15일 이후"))))))))</f>
        <v/>
      </c>
      <c r="O125" s="0" t="str">
        <f aca="false">IF(AND(COUNTA($A125:$J125)&gt;0,OR(클레임조회!$C$4="",AND(ISNUMBER($B125),$B125&gt;=클레임조회!$C$4)),OR(클레임조회!$C$5="",AND(ISNUMBER($B125),$B125&lt;=클레임조회!$C$5)),OR(클레임조회!$C$6="",$C125=클레임조회!$C$6),OR(클레임조회!$C$7="",$D125=클레임조회!$C$7),OR(클레임조회!$C$8="",$E125=클레임조회!$C$8),OR(클레임조회!$C$9="",$F125=클레임조회!$C$9),OR(클레임조회!$C$10="",ISNUMBER(SEARCH(클레임조회!$C$10,$C125&amp;" "&amp;$F125&amp;" "&amp;$G125&amp;" "&amp;$H125)))),COUNT(O$1:O124)+1,"")</f>
        <v/>
      </c>
      <c r="P125" s="0" t="str">
        <f aca="false">IF(AND(TRIM(C125)&lt;&gt;"",COUNTIF(C$2:C125,C125)=1),MAX(P$1:P124)+1,"")</f>
        <v/>
      </c>
      <c r="Q125" s="0" t="str">
        <f aca="false">IF(AND(TRIM(F125)&lt;&gt;"",COUNTIF(F$2:F125,F125)=1),MAX(Q$1:Q124)+1,"")</f>
        <v/>
      </c>
    </row>
    <row r="126" customFormat="false" ht="15" hidden="false" customHeight="false" outlineLevel="0" collapsed="false">
      <c r="A126" s="9"/>
      <c r="B126" s="10"/>
      <c r="C126" s="11"/>
      <c r="D126" s="11"/>
      <c r="E126" s="11"/>
      <c r="F126" s="11"/>
      <c r="G126" s="12"/>
      <c r="H126" s="12"/>
      <c r="I126" s="10"/>
      <c r="J126" s="12"/>
      <c r="K126" s="13" t="str">
        <f aca="false">IF(ISNUMBER(B126),YEAR(B126),"")</f>
        <v/>
      </c>
      <c r="L126" s="13" t="str">
        <f aca="false">IF(ISNUMBER(B126),MONTH(B126),"")</f>
        <v/>
      </c>
      <c r="M126" s="13" t="str">
        <f aca="false">IF(AND(ISNUMBER(B126),ISNUMBER(I126)),B126-I126+1,"")</f>
        <v/>
      </c>
      <c r="N126" s="14" t="str">
        <f aca="false">IF(B126="","",IF(M126="","시작일 미입력",IF(M126&lt;1,"시작일 이전(확인)",IF(M126=1,"1일째",IF(M126=2,"2일째",IF(M126=3,"3일째",IF(M126&lt;=7,"일주일 이내",IF(M126&lt;=14,"이주일 이내","15일 이후"))))))))</f>
        <v/>
      </c>
      <c r="O126" s="0" t="str">
        <f aca="false">IF(AND(COUNTA($A126:$J126)&gt;0,OR(클레임조회!$C$4="",AND(ISNUMBER($B126),$B126&gt;=클레임조회!$C$4)),OR(클레임조회!$C$5="",AND(ISNUMBER($B126),$B126&lt;=클레임조회!$C$5)),OR(클레임조회!$C$6="",$C126=클레임조회!$C$6),OR(클레임조회!$C$7="",$D126=클레임조회!$C$7),OR(클레임조회!$C$8="",$E126=클레임조회!$C$8),OR(클레임조회!$C$9="",$F126=클레임조회!$C$9),OR(클레임조회!$C$10="",ISNUMBER(SEARCH(클레임조회!$C$10,$C126&amp;" "&amp;$F126&amp;" "&amp;$G126&amp;" "&amp;$H126)))),COUNT(O$1:O125)+1,"")</f>
        <v/>
      </c>
      <c r="P126" s="0" t="str">
        <f aca="false">IF(AND(TRIM(C126)&lt;&gt;"",COUNTIF(C$2:C126,C126)=1),MAX(P$1:P125)+1,"")</f>
        <v/>
      </c>
      <c r="Q126" s="0" t="str">
        <f aca="false">IF(AND(TRIM(F126)&lt;&gt;"",COUNTIF(F$2:F126,F126)=1),MAX(Q$1:Q125)+1,"")</f>
        <v/>
      </c>
    </row>
    <row r="127" customFormat="false" ht="15" hidden="false" customHeight="false" outlineLevel="0" collapsed="false">
      <c r="A127" s="9"/>
      <c r="B127" s="10"/>
      <c r="C127" s="11"/>
      <c r="D127" s="11"/>
      <c r="E127" s="11"/>
      <c r="F127" s="11"/>
      <c r="G127" s="12"/>
      <c r="H127" s="12"/>
      <c r="I127" s="10"/>
      <c r="J127" s="12"/>
      <c r="K127" s="13" t="str">
        <f aca="false">IF(ISNUMBER(B127),YEAR(B127),"")</f>
        <v/>
      </c>
      <c r="L127" s="13" t="str">
        <f aca="false">IF(ISNUMBER(B127),MONTH(B127),"")</f>
        <v/>
      </c>
      <c r="M127" s="13" t="str">
        <f aca="false">IF(AND(ISNUMBER(B127),ISNUMBER(I127)),B127-I127+1,"")</f>
        <v/>
      </c>
      <c r="N127" s="14" t="str">
        <f aca="false">IF(B127="","",IF(M127="","시작일 미입력",IF(M127&lt;1,"시작일 이전(확인)",IF(M127=1,"1일째",IF(M127=2,"2일째",IF(M127=3,"3일째",IF(M127&lt;=7,"일주일 이내",IF(M127&lt;=14,"이주일 이내","15일 이후"))))))))</f>
        <v/>
      </c>
      <c r="O127" s="0" t="str">
        <f aca="false">IF(AND(COUNTA($A127:$J127)&gt;0,OR(클레임조회!$C$4="",AND(ISNUMBER($B127),$B127&gt;=클레임조회!$C$4)),OR(클레임조회!$C$5="",AND(ISNUMBER($B127),$B127&lt;=클레임조회!$C$5)),OR(클레임조회!$C$6="",$C127=클레임조회!$C$6),OR(클레임조회!$C$7="",$D127=클레임조회!$C$7),OR(클레임조회!$C$8="",$E127=클레임조회!$C$8),OR(클레임조회!$C$9="",$F127=클레임조회!$C$9),OR(클레임조회!$C$10="",ISNUMBER(SEARCH(클레임조회!$C$10,$C127&amp;" "&amp;$F127&amp;" "&amp;$G127&amp;" "&amp;$H127)))),COUNT(O$1:O126)+1,"")</f>
        <v/>
      </c>
      <c r="P127" s="0" t="str">
        <f aca="false">IF(AND(TRIM(C127)&lt;&gt;"",COUNTIF(C$2:C127,C127)=1),MAX(P$1:P126)+1,"")</f>
        <v/>
      </c>
      <c r="Q127" s="0" t="str">
        <f aca="false">IF(AND(TRIM(F127)&lt;&gt;"",COUNTIF(F$2:F127,F127)=1),MAX(Q$1:Q126)+1,"")</f>
        <v/>
      </c>
    </row>
    <row r="128" customFormat="false" ht="15" hidden="false" customHeight="false" outlineLevel="0" collapsed="false">
      <c r="A128" s="9"/>
      <c r="B128" s="10"/>
      <c r="C128" s="11"/>
      <c r="D128" s="11"/>
      <c r="E128" s="11"/>
      <c r="F128" s="11"/>
      <c r="G128" s="12"/>
      <c r="H128" s="12"/>
      <c r="I128" s="10"/>
      <c r="J128" s="12"/>
      <c r="K128" s="13" t="str">
        <f aca="false">IF(ISNUMBER(B128),YEAR(B128),"")</f>
        <v/>
      </c>
      <c r="L128" s="13" t="str">
        <f aca="false">IF(ISNUMBER(B128),MONTH(B128),"")</f>
        <v/>
      </c>
      <c r="M128" s="13" t="str">
        <f aca="false">IF(AND(ISNUMBER(B128),ISNUMBER(I128)),B128-I128+1,"")</f>
        <v/>
      </c>
      <c r="N128" s="14" t="str">
        <f aca="false">IF(B128="","",IF(M128="","시작일 미입력",IF(M128&lt;1,"시작일 이전(확인)",IF(M128=1,"1일째",IF(M128=2,"2일째",IF(M128=3,"3일째",IF(M128&lt;=7,"일주일 이내",IF(M128&lt;=14,"이주일 이내","15일 이후"))))))))</f>
        <v/>
      </c>
      <c r="O128" s="0" t="str">
        <f aca="false">IF(AND(COUNTA($A128:$J128)&gt;0,OR(클레임조회!$C$4="",AND(ISNUMBER($B128),$B128&gt;=클레임조회!$C$4)),OR(클레임조회!$C$5="",AND(ISNUMBER($B128),$B128&lt;=클레임조회!$C$5)),OR(클레임조회!$C$6="",$C128=클레임조회!$C$6),OR(클레임조회!$C$7="",$D128=클레임조회!$C$7),OR(클레임조회!$C$8="",$E128=클레임조회!$C$8),OR(클레임조회!$C$9="",$F128=클레임조회!$C$9),OR(클레임조회!$C$10="",ISNUMBER(SEARCH(클레임조회!$C$10,$C128&amp;" "&amp;$F128&amp;" "&amp;$G128&amp;" "&amp;$H128)))),COUNT(O$1:O127)+1,"")</f>
        <v/>
      </c>
      <c r="P128" s="0" t="str">
        <f aca="false">IF(AND(TRIM(C128)&lt;&gt;"",COUNTIF(C$2:C128,C128)=1),MAX(P$1:P127)+1,"")</f>
        <v/>
      </c>
      <c r="Q128" s="0" t="str">
        <f aca="false">IF(AND(TRIM(F128)&lt;&gt;"",COUNTIF(F$2:F128,F128)=1),MAX(Q$1:Q127)+1,"")</f>
        <v/>
      </c>
    </row>
    <row r="129" customFormat="false" ht="15" hidden="false" customHeight="false" outlineLevel="0" collapsed="false">
      <c r="A129" s="9"/>
      <c r="B129" s="10"/>
      <c r="C129" s="11"/>
      <c r="D129" s="11"/>
      <c r="E129" s="11"/>
      <c r="F129" s="11"/>
      <c r="G129" s="12"/>
      <c r="H129" s="12"/>
      <c r="I129" s="10"/>
      <c r="J129" s="12"/>
      <c r="K129" s="13" t="str">
        <f aca="false">IF(ISNUMBER(B129),YEAR(B129),"")</f>
        <v/>
      </c>
      <c r="L129" s="13" t="str">
        <f aca="false">IF(ISNUMBER(B129),MONTH(B129),"")</f>
        <v/>
      </c>
      <c r="M129" s="13" t="str">
        <f aca="false">IF(AND(ISNUMBER(B129),ISNUMBER(I129)),B129-I129+1,"")</f>
        <v/>
      </c>
      <c r="N129" s="14" t="str">
        <f aca="false">IF(B129="","",IF(M129="","시작일 미입력",IF(M129&lt;1,"시작일 이전(확인)",IF(M129=1,"1일째",IF(M129=2,"2일째",IF(M129=3,"3일째",IF(M129&lt;=7,"일주일 이내",IF(M129&lt;=14,"이주일 이내","15일 이후"))))))))</f>
        <v/>
      </c>
      <c r="O129" s="0" t="str">
        <f aca="false">IF(AND(COUNTA($A129:$J129)&gt;0,OR(클레임조회!$C$4="",AND(ISNUMBER($B129),$B129&gt;=클레임조회!$C$4)),OR(클레임조회!$C$5="",AND(ISNUMBER($B129),$B129&lt;=클레임조회!$C$5)),OR(클레임조회!$C$6="",$C129=클레임조회!$C$6),OR(클레임조회!$C$7="",$D129=클레임조회!$C$7),OR(클레임조회!$C$8="",$E129=클레임조회!$C$8),OR(클레임조회!$C$9="",$F129=클레임조회!$C$9),OR(클레임조회!$C$10="",ISNUMBER(SEARCH(클레임조회!$C$10,$C129&amp;" "&amp;$F129&amp;" "&amp;$G129&amp;" "&amp;$H129)))),COUNT(O$1:O128)+1,"")</f>
        <v/>
      </c>
      <c r="P129" s="0" t="str">
        <f aca="false">IF(AND(TRIM(C129)&lt;&gt;"",COUNTIF(C$2:C129,C129)=1),MAX(P$1:P128)+1,"")</f>
        <v/>
      </c>
      <c r="Q129" s="0" t="str">
        <f aca="false">IF(AND(TRIM(F129)&lt;&gt;"",COUNTIF(F$2:F129,F129)=1),MAX(Q$1:Q128)+1,"")</f>
        <v/>
      </c>
    </row>
    <row r="130" customFormat="false" ht="15" hidden="false" customHeight="false" outlineLevel="0" collapsed="false">
      <c r="A130" s="9"/>
      <c r="B130" s="10"/>
      <c r="C130" s="11"/>
      <c r="D130" s="11"/>
      <c r="E130" s="11"/>
      <c r="F130" s="11"/>
      <c r="G130" s="12"/>
      <c r="H130" s="12"/>
      <c r="I130" s="10"/>
      <c r="J130" s="12"/>
      <c r="K130" s="13" t="str">
        <f aca="false">IF(ISNUMBER(B130),YEAR(B130),"")</f>
        <v/>
      </c>
      <c r="L130" s="13" t="str">
        <f aca="false">IF(ISNUMBER(B130),MONTH(B130),"")</f>
        <v/>
      </c>
      <c r="M130" s="13" t="str">
        <f aca="false">IF(AND(ISNUMBER(B130),ISNUMBER(I130)),B130-I130+1,"")</f>
        <v/>
      </c>
      <c r="N130" s="14" t="str">
        <f aca="false">IF(B130="","",IF(M130="","시작일 미입력",IF(M130&lt;1,"시작일 이전(확인)",IF(M130=1,"1일째",IF(M130=2,"2일째",IF(M130=3,"3일째",IF(M130&lt;=7,"일주일 이내",IF(M130&lt;=14,"이주일 이내","15일 이후"))))))))</f>
        <v/>
      </c>
      <c r="O130" s="0" t="str">
        <f aca="false">IF(AND(COUNTA($A130:$J130)&gt;0,OR(클레임조회!$C$4="",AND(ISNUMBER($B130),$B130&gt;=클레임조회!$C$4)),OR(클레임조회!$C$5="",AND(ISNUMBER($B130),$B130&lt;=클레임조회!$C$5)),OR(클레임조회!$C$6="",$C130=클레임조회!$C$6),OR(클레임조회!$C$7="",$D130=클레임조회!$C$7),OR(클레임조회!$C$8="",$E130=클레임조회!$C$8),OR(클레임조회!$C$9="",$F130=클레임조회!$C$9),OR(클레임조회!$C$10="",ISNUMBER(SEARCH(클레임조회!$C$10,$C130&amp;" "&amp;$F130&amp;" "&amp;$G130&amp;" "&amp;$H130)))),COUNT(O$1:O129)+1,"")</f>
        <v/>
      </c>
      <c r="P130" s="0" t="str">
        <f aca="false">IF(AND(TRIM(C130)&lt;&gt;"",COUNTIF(C$2:C130,C130)=1),MAX(P$1:P129)+1,"")</f>
        <v/>
      </c>
      <c r="Q130" s="0" t="str">
        <f aca="false">IF(AND(TRIM(F130)&lt;&gt;"",COUNTIF(F$2:F130,F130)=1),MAX(Q$1:Q129)+1,"")</f>
        <v/>
      </c>
    </row>
    <row r="131" customFormat="false" ht="15" hidden="false" customHeight="false" outlineLevel="0" collapsed="false">
      <c r="A131" s="9"/>
      <c r="B131" s="10"/>
      <c r="C131" s="11"/>
      <c r="D131" s="11"/>
      <c r="E131" s="11"/>
      <c r="F131" s="11"/>
      <c r="G131" s="12"/>
      <c r="H131" s="12"/>
      <c r="I131" s="10"/>
      <c r="J131" s="12"/>
      <c r="K131" s="13" t="str">
        <f aca="false">IF(ISNUMBER(B131),YEAR(B131),"")</f>
        <v/>
      </c>
      <c r="L131" s="13" t="str">
        <f aca="false">IF(ISNUMBER(B131),MONTH(B131),"")</f>
        <v/>
      </c>
      <c r="M131" s="13" t="str">
        <f aca="false">IF(AND(ISNUMBER(B131),ISNUMBER(I131)),B131-I131+1,"")</f>
        <v/>
      </c>
      <c r="N131" s="14" t="str">
        <f aca="false">IF(B131="","",IF(M131="","시작일 미입력",IF(M131&lt;1,"시작일 이전(확인)",IF(M131=1,"1일째",IF(M131=2,"2일째",IF(M131=3,"3일째",IF(M131&lt;=7,"일주일 이내",IF(M131&lt;=14,"이주일 이내","15일 이후"))))))))</f>
        <v/>
      </c>
      <c r="O131" s="0" t="str">
        <f aca="false">IF(AND(COUNTA($A131:$J131)&gt;0,OR(클레임조회!$C$4="",AND(ISNUMBER($B131),$B131&gt;=클레임조회!$C$4)),OR(클레임조회!$C$5="",AND(ISNUMBER($B131),$B131&lt;=클레임조회!$C$5)),OR(클레임조회!$C$6="",$C131=클레임조회!$C$6),OR(클레임조회!$C$7="",$D131=클레임조회!$C$7),OR(클레임조회!$C$8="",$E131=클레임조회!$C$8),OR(클레임조회!$C$9="",$F131=클레임조회!$C$9),OR(클레임조회!$C$10="",ISNUMBER(SEARCH(클레임조회!$C$10,$C131&amp;" "&amp;$F131&amp;" "&amp;$G131&amp;" "&amp;$H131)))),COUNT(O$1:O130)+1,"")</f>
        <v/>
      </c>
      <c r="P131" s="0" t="str">
        <f aca="false">IF(AND(TRIM(C131)&lt;&gt;"",COUNTIF(C$2:C131,C131)=1),MAX(P$1:P130)+1,"")</f>
        <v/>
      </c>
      <c r="Q131" s="0" t="str">
        <f aca="false">IF(AND(TRIM(F131)&lt;&gt;"",COUNTIF(F$2:F131,F131)=1),MAX(Q$1:Q130)+1,"")</f>
        <v/>
      </c>
    </row>
    <row r="132" customFormat="false" ht="15" hidden="false" customHeight="false" outlineLevel="0" collapsed="false">
      <c r="A132" s="9"/>
      <c r="B132" s="10"/>
      <c r="C132" s="11"/>
      <c r="D132" s="11"/>
      <c r="E132" s="11"/>
      <c r="F132" s="11"/>
      <c r="G132" s="12"/>
      <c r="H132" s="12"/>
      <c r="I132" s="10"/>
      <c r="J132" s="12"/>
      <c r="K132" s="13" t="str">
        <f aca="false">IF(ISNUMBER(B132),YEAR(B132),"")</f>
        <v/>
      </c>
      <c r="L132" s="13" t="str">
        <f aca="false">IF(ISNUMBER(B132),MONTH(B132),"")</f>
        <v/>
      </c>
      <c r="M132" s="13" t="str">
        <f aca="false">IF(AND(ISNUMBER(B132),ISNUMBER(I132)),B132-I132+1,"")</f>
        <v/>
      </c>
      <c r="N132" s="14" t="str">
        <f aca="false">IF(B132="","",IF(M132="","시작일 미입력",IF(M132&lt;1,"시작일 이전(확인)",IF(M132=1,"1일째",IF(M132=2,"2일째",IF(M132=3,"3일째",IF(M132&lt;=7,"일주일 이내",IF(M132&lt;=14,"이주일 이내","15일 이후"))))))))</f>
        <v/>
      </c>
      <c r="O132" s="0" t="str">
        <f aca="false">IF(AND(COUNTA($A132:$J132)&gt;0,OR(클레임조회!$C$4="",AND(ISNUMBER($B132),$B132&gt;=클레임조회!$C$4)),OR(클레임조회!$C$5="",AND(ISNUMBER($B132),$B132&lt;=클레임조회!$C$5)),OR(클레임조회!$C$6="",$C132=클레임조회!$C$6),OR(클레임조회!$C$7="",$D132=클레임조회!$C$7),OR(클레임조회!$C$8="",$E132=클레임조회!$C$8),OR(클레임조회!$C$9="",$F132=클레임조회!$C$9),OR(클레임조회!$C$10="",ISNUMBER(SEARCH(클레임조회!$C$10,$C132&amp;" "&amp;$F132&amp;" "&amp;$G132&amp;" "&amp;$H132)))),COUNT(O$1:O131)+1,"")</f>
        <v/>
      </c>
      <c r="P132" s="0" t="str">
        <f aca="false">IF(AND(TRIM(C132)&lt;&gt;"",COUNTIF(C$2:C132,C132)=1),MAX(P$1:P131)+1,"")</f>
        <v/>
      </c>
      <c r="Q132" s="0" t="str">
        <f aca="false">IF(AND(TRIM(F132)&lt;&gt;"",COUNTIF(F$2:F132,F132)=1),MAX(Q$1:Q131)+1,"")</f>
        <v/>
      </c>
    </row>
    <row r="133" customFormat="false" ht="15" hidden="false" customHeight="false" outlineLevel="0" collapsed="false">
      <c r="A133" s="9"/>
      <c r="B133" s="10"/>
      <c r="C133" s="11"/>
      <c r="D133" s="11"/>
      <c r="E133" s="11"/>
      <c r="F133" s="11"/>
      <c r="G133" s="12"/>
      <c r="H133" s="12"/>
      <c r="I133" s="10"/>
      <c r="J133" s="12"/>
      <c r="K133" s="13" t="str">
        <f aca="false">IF(ISNUMBER(B133),YEAR(B133),"")</f>
        <v/>
      </c>
      <c r="L133" s="13" t="str">
        <f aca="false">IF(ISNUMBER(B133),MONTH(B133),"")</f>
        <v/>
      </c>
      <c r="M133" s="13" t="str">
        <f aca="false">IF(AND(ISNUMBER(B133),ISNUMBER(I133)),B133-I133+1,"")</f>
        <v/>
      </c>
      <c r="N133" s="14" t="str">
        <f aca="false">IF(B133="","",IF(M133="","시작일 미입력",IF(M133&lt;1,"시작일 이전(확인)",IF(M133=1,"1일째",IF(M133=2,"2일째",IF(M133=3,"3일째",IF(M133&lt;=7,"일주일 이내",IF(M133&lt;=14,"이주일 이내","15일 이후"))))))))</f>
        <v/>
      </c>
      <c r="O133" s="0" t="str">
        <f aca="false">IF(AND(COUNTA($A133:$J133)&gt;0,OR(클레임조회!$C$4="",AND(ISNUMBER($B133),$B133&gt;=클레임조회!$C$4)),OR(클레임조회!$C$5="",AND(ISNUMBER($B133),$B133&lt;=클레임조회!$C$5)),OR(클레임조회!$C$6="",$C133=클레임조회!$C$6),OR(클레임조회!$C$7="",$D133=클레임조회!$C$7),OR(클레임조회!$C$8="",$E133=클레임조회!$C$8),OR(클레임조회!$C$9="",$F133=클레임조회!$C$9),OR(클레임조회!$C$10="",ISNUMBER(SEARCH(클레임조회!$C$10,$C133&amp;" "&amp;$F133&amp;" "&amp;$G133&amp;" "&amp;$H133)))),COUNT(O$1:O132)+1,"")</f>
        <v/>
      </c>
      <c r="P133" s="0" t="str">
        <f aca="false">IF(AND(TRIM(C133)&lt;&gt;"",COUNTIF(C$2:C133,C133)=1),MAX(P$1:P132)+1,"")</f>
        <v/>
      </c>
      <c r="Q133" s="0" t="str">
        <f aca="false">IF(AND(TRIM(F133)&lt;&gt;"",COUNTIF(F$2:F133,F133)=1),MAX(Q$1:Q132)+1,"")</f>
        <v/>
      </c>
    </row>
    <row r="134" customFormat="false" ht="15" hidden="false" customHeight="false" outlineLevel="0" collapsed="false">
      <c r="A134" s="9"/>
      <c r="B134" s="10"/>
      <c r="C134" s="11"/>
      <c r="D134" s="11"/>
      <c r="E134" s="11"/>
      <c r="F134" s="11"/>
      <c r="G134" s="12"/>
      <c r="H134" s="12"/>
      <c r="I134" s="10"/>
      <c r="J134" s="12"/>
      <c r="K134" s="13" t="str">
        <f aca="false">IF(ISNUMBER(B134),YEAR(B134),"")</f>
        <v/>
      </c>
      <c r="L134" s="13" t="str">
        <f aca="false">IF(ISNUMBER(B134),MONTH(B134),"")</f>
        <v/>
      </c>
      <c r="M134" s="13" t="str">
        <f aca="false">IF(AND(ISNUMBER(B134),ISNUMBER(I134)),B134-I134+1,"")</f>
        <v/>
      </c>
      <c r="N134" s="14" t="str">
        <f aca="false">IF(B134="","",IF(M134="","시작일 미입력",IF(M134&lt;1,"시작일 이전(확인)",IF(M134=1,"1일째",IF(M134=2,"2일째",IF(M134=3,"3일째",IF(M134&lt;=7,"일주일 이내",IF(M134&lt;=14,"이주일 이내","15일 이후"))))))))</f>
        <v/>
      </c>
      <c r="O134" s="0" t="str">
        <f aca="false">IF(AND(COUNTA($A134:$J134)&gt;0,OR(클레임조회!$C$4="",AND(ISNUMBER($B134),$B134&gt;=클레임조회!$C$4)),OR(클레임조회!$C$5="",AND(ISNUMBER($B134),$B134&lt;=클레임조회!$C$5)),OR(클레임조회!$C$6="",$C134=클레임조회!$C$6),OR(클레임조회!$C$7="",$D134=클레임조회!$C$7),OR(클레임조회!$C$8="",$E134=클레임조회!$C$8),OR(클레임조회!$C$9="",$F134=클레임조회!$C$9),OR(클레임조회!$C$10="",ISNUMBER(SEARCH(클레임조회!$C$10,$C134&amp;" "&amp;$F134&amp;" "&amp;$G134&amp;" "&amp;$H134)))),COUNT(O$1:O133)+1,"")</f>
        <v/>
      </c>
      <c r="P134" s="0" t="str">
        <f aca="false">IF(AND(TRIM(C134)&lt;&gt;"",COUNTIF(C$2:C134,C134)=1),MAX(P$1:P133)+1,"")</f>
        <v/>
      </c>
      <c r="Q134" s="0" t="str">
        <f aca="false">IF(AND(TRIM(F134)&lt;&gt;"",COUNTIF(F$2:F134,F134)=1),MAX(Q$1:Q133)+1,"")</f>
        <v/>
      </c>
    </row>
    <row r="135" customFormat="false" ht="15" hidden="false" customHeight="false" outlineLevel="0" collapsed="false">
      <c r="A135" s="9"/>
      <c r="B135" s="10"/>
      <c r="C135" s="11"/>
      <c r="D135" s="11"/>
      <c r="E135" s="11"/>
      <c r="F135" s="11"/>
      <c r="G135" s="12"/>
      <c r="H135" s="12"/>
      <c r="I135" s="10"/>
      <c r="J135" s="12"/>
      <c r="K135" s="13" t="str">
        <f aca="false">IF(ISNUMBER(B135),YEAR(B135),"")</f>
        <v/>
      </c>
      <c r="L135" s="13" t="str">
        <f aca="false">IF(ISNUMBER(B135),MONTH(B135),"")</f>
        <v/>
      </c>
      <c r="M135" s="13" t="str">
        <f aca="false">IF(AND(ISNUMBER(B135),ISNUMBER(I135)),B135-I135+1,"")</f>
        <v/>
      </c>
      <c r="N135" s="14" t="str">
        <f aca="false">IF(B135="","",IF(M135="","시작일 미입력",IF(M135&lt;1,"시작일 이전(확인)",IF(M135=1,"1일째",IF(M135=2,"2일째",IF(M135=3,"3일째",IF(M135&lt;=7,"일주일 이내",IF(M135&lt;=14,"이주일 이내","15일 이후"))))))))</f>
        <v/>
      </c>
      <c r="O135" s="0" t="str">
        <f aca="false">IF(AND(COUNTA($A135:$J135)&gt;0,OR(클레임조회!$C$4="",AND(ISNUMBER($B135),$B135&gt;=클레임조회!$C$4)),OR(클레임조회!$C$5="",AND(ISNUMBER($B135),$B135&lt;=클레임조회!$C$5)),OR(클레임조회!$C$6="",$C135=클레임조회!$C$6),OR(클레임조회!$C$7="",$D135=클레임조회!$C$7),OR(클레임조회!$C$8="",$E135=클레임조회!$C$8),OR(클레임조회!$C$9="",$F135=클레임조회!$C$9),OR(클레임조회!$C$10="",ISNUMBER(SEARCH(클레임조회!$C$10,$C135&amp;" "&amp;$F135&amp;" "&amp;$G135&amp;" "&amp;$H135)))),COUNT(O$1:O134)+1,"")</f>
        <v/>
      </c>
      <c r="P135" s="0" t="str">
        <f aca="false">IF(AND(TRIM(C135)&lt;&gt;"",COUNTIF(C$2:C135,C135)=1),MAX(P$1:P134)+1,"")</f>
        <v/>
      </c>
      <c r="Q135" s="0" t="str">
        <f aca="false">IF(AND(TRIM(F135)&lt;&gt;"",COUNTIF(F$2:F135,F135)=1),MAX(Q$1:Q134)+1,"")</f>
        <v/>
      </c>
    </row>
    <row r="136" customFormat="false" ht="15" hidden="false" customHeight="false" outlineLevel="0" collapsed="false">
      <c r="A136" s="9"/>
      <c r="B136" s="10"/>
      <c r="C136" s="11"/>
      <c r="D136" s="11"/>
      <c r="E136" s="11"/>
      <c r="F136" s="11"/>
      <c r="G136" s="12"/>
      <c r="H136" s="12"/>
      <c r="I136" s="10"/>
      <c r="J136" s="12"/>
      <c r="K136" s="13" t="str">
        <f aca="false">IF(ISNUMBER(B136),YEAR(B136),"")</f>
        <v/>
      </c>
      <c r="L136" s="13" t="str">
        <f aca="false">IF(ISNUMBER(B136),MONTH(B136),"")</f>
        <v/>
      </c>
      <c r="M136" s="13" t="str">
        <f aca="false">IF(AND(ISNUMBER(B136),ISNUMBER(I136)),B136-I136+1,"")</f>
        <v/>
      </c>
      <c r="N136" s="14" t="str">
        <f aca="false">IF(B136="","",IF(M136="","시작일 미입력",IF(M136&lt;1,"시작일 이전(확인)",IF(M136=1,"1일째",IF(M136=2,"2일째",IF(M136=3,"3일째",IF(M136&lt;=7,"일주일 이내",IF(M136&lt;=14,"이주일 이내","15일 이후"))))))))</f>
        <v/>
      </c>
      <c r="O136" s="0" t="str">
        <f aca="false">IF(AND(COUNTA($A136:$J136)&gt;0,OR(클레임조회!$C$4="",AND(ISNUMBER($B136),$B136&gt;=클레임조회!$C$4)),OR(클레임조회!$C$5="",AND(ISNUMBER($B136),$B136&lt;=클레임조회!$C$5)),OR(클레임조회!$C$6="",$C136=클레임조회!$C$6),OR(클레임조회!$C$7="",$D136=클레임조회!$C$7),OR(클레임조회!$C$8="",$E136=클레임조회!$C$8),OR(클레임조회!$C$9="",$F136=클레임조회!$C$9),OR(클레임조회!$C$10="",ISNUMBER(SEARCH(클레임조회!$C$10,$C136&amp;" "&amp;$F136&amp;" "&amp;$G136&amp;" "&amp;$H136)))),COUNT(O$1:O135)+1,"")</f>
        <v/>
      </c>
      <c r="P136" s="0" t="str">
        <f aca="false">IF(AND(TRIM(C136)&lt;&gt;"",COUNTIF(C$2:C136,C136)=1),MAX(P$1:P135)+1,"")</f>
        <v/>
      </c>
      <c r="Q136" s="0" t="str">
        <f aca="false">IF(AND(TRIM(F136)&lt;&gt;"",COUNTIF(F$2:F136,F136)=1),MAX(Q$1:Q135)+1,"")</f>
        <v/>
      </c>
    </row>
    <row r="137" customFormat="false" ht="15" hidden="false" customHeight="false" outlineLevel="0" collapsed="false">
      <c r="A137" s="9"/>
      <c r="B137" s="10"/>
      <c r="C137" s="11"/>
      <c r="D137" s="11"/>
      <c r="E137" s="11"/>
      <c r="F137" s="11"/>
      <c r="G137" s="12"/>
      <c r="H137" s="12"/>
      <c r="I137" s="10"/>
      <c r="J137" s="12"/>
      <c r="K137" s="13" t="str">
        <f aca="false">IF(ISNUMBER(B137),YEAR(B137),"")</f>
        <v/>
      </c>
      <c r="L137" s="13" t="str">
        <f aca="false">IF(ISNUMBER(B137),MONTH(B137),"")</f>
        <v/>
      </c>
      <c r="M137" s="13" t="str">
        <f aca="false">IF(AND(ISNUMBER(B137),ISNUMBER(I137)),B137-I137+1,"")</f>
        <v/>
      </c>
      <c r="N137" s="14" t="str">
        <f aca="false">IF(B137="","",IF(M137="","시작일 미입력",IF(M137&lt;1,"시작일 이전(확인)",IF(M137=1,"1일째",IF(M137=2,"2일째",IF(M137=3,"3일째",IF(M137&lt;=7,"일주일 이내",IF(M137&lt;=14,"이주일 이내","15일 이후"))))))))</f>
        <v/>
      </c>
      <c r="O137" s="0" t="str">
        <f aca="false">IF(AND(COUNTA($A137:$J137)&gt;0,OR(클레임조회!$C$4="",AND(ISNUMBER($B137),$B137&gt;=클레임조회!$C$4)),OR(클레임조회!$C$5="",AND(ISNUMBER($B137),$B137&lt;=클레임조회!$C$5)),OR(클레임조회!$C$6="",$C137=클레임조회!$C$6),OR(클레임조회!$C$7="",$D137=클레임조회!$C$7),OR(클레임조회!$C$8="",$E137=클레임조회!$C$8),OR(클레임조회!$C$9="",$F137=클레임조회!$C$9),OR(클레임조회!$C$10="",ISNUMBER(SEARCH(클레임조회!$C$10,$C137&amp;" "&amp;$F137&amp;" "&amp;$G137&amp;" "&amp;$H137)))),COUNT(O$1:O136)+1,"")</f>
        <v/>
      </c>
      <c r="P137" s="0" t="str">
        <f aca="false">IF(AND(TRIM(C137)&lt;&gt;"",COUNTIF(C$2:C137,C137)=1),MAX(P$1:P136)+1,"")</f>
        <v/>
      </c>
      <c r="Q137" s="0" t="str">
        <f aca="false">IF(AND(TRIM(F137)&lt;&gt;"",COUNTIF(F$2:F137,F137)=1),MAX(Q$1:Q136)+1,"")</f>
        <v/>
      </c>
    </row>
    <row r="138" customFormat="false" ht="15" hidden="false" customHeight="false" outlineLevel="0" collapsed="false">
      <c r="A138" s="9"/>
      <c r="B138" s="10"/>
      <c r="C138" s="11"/>
      <c r="D138" s="11"/>
      <c r="E138" s="11"/>
      <c r="F138" s="11"/>
      <c r="G138" s="12"/>
      <c r="H138" s="12"/>
      <c r="I138" s="10"/>
      <c r="J138" s="12"/>
      <c r="K138" s="13" t="str">
        <f aca="false">IF(ISNUMBER(B138),YEAR(B138),"")</f>
        <v/>
      </c>
      <c r="L138" s="13" t="str">
        <f aca="false">IF(ISNUMBER(B138),MONTH(B138),"")</f>
        <v/>
      </c>
      <c r="M138" s="13" t="str">
        <f aca="false">IF(AND(ISNUMBER(B138),ISNUMBER(I138)),B138-I138+1,"")</f>
        <v/>
      </c>
      <c r="N138" s="14" t="str">
        <f aca="false">IF(B138="","",IF(M138="","시작일 미입력",IF(M138&lt;1,"시작일 이전(확인)",IF(M138=1,"1일째",IF(M138=2,"2일째",IF(M138=3,"3일째",IF(M138&lt;=7,"일주일 이내",IF(M138&lt;=14,"이주일 이내","15일 이후"))))))))</f>
        <v/>
      </c>
      <c r="O138" s="0" t="str">
        <f aca="false">IF(AND(COUNTA($A138:$J138)&gt;0,OR(클레임조회!$C$4="",AND(ISNUMBER($B138),$B138&gt;=클레임조회!$C$4)),OR(클레임조회!$C$5="",AND(ISNUMBER($B138),$B138&lt;=클레임조회!$C$5)),OR(클레임조회!$C$6="",$C138=클레임조회!$C$6),OR(클레임조회!$C$7="",$D138=클레임조회!$C$7),OR(클레임조회!$C$8="",$E138=클레임조회!$C$8),OR(클레임조회!$C$9="",$F138=클레임조회!$C$9),OR(클레임조회!$C$10="",ISNUMBER(SEARCH(클레임조회!$C$10,$C138&amp;" "&amp;$F138&amp;" "&amp;$G138&amp;" "&amp;$H138)))),COUNT(O$1:O137)+1,"")</f>
        <v/>
      </c>
      <c r="P138" s="0" t="str">
        <f aca="false">IF(AND(TRIM(C138)&lt;&gt;"",COUNTIF(C$2:C138,C138)=1),MAX(P$1:P137)+1,"")</f>
        <v/>
      </c>
      <c r="Q138" s="0" t="str">
        <f aca="false">IF(AND(TRIM(F138)&lt;&gt;"",COUNTIF(F$2:F138,F138)=1),MAX(Q$1:Q137)+1,"")</f>
        <v/>
      </c>
    </row>
    <row r="139" customFormat="false" ht="15" hidden="false" customHeight="false" outlineLevel="0" collapsed="false">
      <c r="A139" s="9"/>
      <c r="B139" s="10"/>
      <c r="C139" s="11"/>
      <c r="D139" s="11"/>
      <c r="E139" s="11"/>
      <c r="F139" s="11"/>
      <c r="G139" s="12"/>
      <c r="H139" s="12"/>
      <c r="I139" s="10"/>
      <c r="J139" s="12"/>
      <c r="K139" s="13" t="str">
        <f aca="false">IF(ISNUMBER(B139),YEAR(B139),"")</f>
        <v/>
      </c>
      <c r="L139" s="13" t="str">
        <f aca="false">IF(ISNUMBER(B139),MONTH(B139),"")</f>
        <v/>
      </c>
      <c r="M139" s="13" t="str">
        <f aca="false">IF(AND(ISNUMBER(B139),ISNUMBER(I139)),B139-I139+1,"")</f>
        <v/>
      </c>
      <c r="N139" s="14" t="str">
        <f aca="false">IF(B139="","",IF(M139="","시작일 미입력",IF(M139&lt;1,"시작일 이전(확인)",IF(M139=1,"1일째",IF(M139=2,"2일째",IF(M139=3,"3일째",IF(M139&lt;=7,"일주일 이내",IF(M139&lt;=14,"이주일 이내","15일 이후"))))))))</f>
        <v/>
      </c>
      <c r="O139" s="0" t="str">
        <f aca="false">IF(AND(COUNTA($A139:$J139)&gt;0,OR(클레임조회!$C$4="",AND(ISNUMBER($B139),$B139&gt;=클레임조회!$C$4)),OR(클레임조회!$C$5="",AND(ISNUMBER($B139),$B139&lt;=클레임조회!$C$5)),OR(클레임조회!$C$6="",$C139=클레임조회!$C$6),OR(클레임조회!$C$7="",$D139=클레임조회!$C$7),OR(클레임조회!$C$8="",$E139=클레임조회!$C$8),OR(클레임조회!$C$9="",$F139=클레임조회!$C$9),OR(클레임조회!$C$10="",ISNUMBER(SEARCH(클레임조회!$C$10,$C139&amp;" "&amp;$F139&amp;" "&amp;$G139&amp;" "&amp;$H139)))),COUNT(O$1:O138)+1,"")</f>
        <v/>
      </c>
      <c r="P139" s="0" t="str">
        <f aca="false">IF(AND(TRIM(C139)&lt;&gt;"",COUNTIF(C$2:C139,C139)=1),MAX(P$1:P138)+1,"")</f>
        <v/>
      </c>
      <c r="Q139" s="0" t="str">
        <f aca="false">IF(AND(TRIM(F139)&lt;&gt;"",COUNTIF(F$2:F139,F139)=1),MAX(Q$1:Q138)+1,"")</f>
        <v/>
      </c>
    </row>
    <row r="140" customFormat="false" ht="15" hidden="false" customHeight="false" outlineLevel="0" collapsed="false">
      <c r="A140" s="9"/>
      <c r="B140" s="10"/>
      <c r="C140" s="11"/>
      <c r="D140" s="11"/>
      <c r="E140" s="11"/>
      <c r="F140" s="11"/>
      <c r="G140" s="12"/>
      <c r="H140" s="12"/>
      <c r="I140" s="10"/>
      <c r="J140" s="12"/>
      <c r="K140" s="13" t="str">
        <f aca="false">IF(ISNUMBER(B140),YEAR(B140),"")</f>
        <v/>
      </c>
      <c r="L140" s="13" t="str">
        <f aca="false">IF(ISNUMBER(B140),MONTH(B140),"")</f>
        <v/>
      </c>
      <c r="M140" s="13" t="str">
        <f aca="false">IF(AND(ISNUMBER(B140),ISNUMBER(I140)),B140-I140+1,"")</f>
        <v/>
      </c>
      <c r="N140" s="14" t="str">
        <f aca="false">IF(B140="","",IF(M140="","시작일 미입력",IF(M140&lt;1,"시작일 이전(확인)",IF(M140=1,"1일째",IF(M140=2,"2일째",IF(M140=3,"3일째",IF(M140&lt;=7,"일주일 이내",IF(M140&lt;=14,"이주일 이내","15일 이후"))))))))</f>
        <v/>
      </c>
      <c r="O140" s="0" t="str">
        <f aca="false">IF(AND(COUNTA($A140:$J140)&gt;0,OR(클레임조회!$C$4="",AND(ISNUMBER($B140),$B140&gt;=클레임조회!$C$4)),OR(클레임조회!$C$5="",AND(ISNUMBER($B140),$B140&lt;=클레임조회!$C$5)),OR(클레임조회!$C$6="",$C140=클레임조회!$C$6),OR(클레임조회!$C$7="",$D140=클레임조회!$C$7),OR(클레임조회!$C$8="",$E140=클레임조회!$C$8),OR(클레임조회!$C$9="",$F140=클레임조회!$C$9),OR(클레임조회!$C$10="",ISNUMBER(SEARCH(클레임조회!$C$10,$C140&amp;" "&amp;$F140&amp;" "&amp;$G140&amp;" "&amp;$H140)))),COUNT(O$1:O139)+1,"")</f>
        <v/>
      </c>
      <c r="P140" s="0" t="str">
        <f aca="false">IF(AND(TRIM(C140)&lt;&gt;"",COUNTIF(C$2:C140,C140)=1),MAX(P$1:P139)+1,"")</f>
        <v/>
      </c>
      <c r="Q140" s="0" t="str">
        <f aca="false">IF(AND(TRIM(F140)&lt;&gt;"",COUNTIF(F$2:F140,F140)=1),MAX(Q$1:Q139)+1,"")</f>
        <v/>
      </c>
    </row>
    <row r="141" customFormat="false" ht="15" hidden="false" customHeight="false" outlineLevel="0" collapsed="false">
      <c r="A141" s="9"/>
      <c r="B141" s="10"/>
      <c r="C141" s="11"/>
      <c r="D141" s="11"/>
      <c r="E141" s="11"/>
      <c r="F141" s="11"/>
      <c r="G141" s="12"/>
      <c r="H141" s="12"/>
      <c r="I141" s="10"/>
      <c r="J141" s="12"/>
      <c r="K141" s="13" t="str">
        <f aca="false">IF(ISNUMBER(B141),YEAR(B141),"")</f>
        <v/>
      </c>
      <c r="L141" s="13" t="str">
        <f aca="false">IF(ISNUMBER(B141),MONTH(B141),"")</f>
        <v/>
      </c>
      <c r="M141" s="13" t="str">
        <f aca="false">IF(AND(ISNUMBER(B141),ISNUMBER(I141)),B141-I141+1,"")</f>
        <v/>
      </c>
      <c r="N141" s="14" t="str">
        <f aca="false">IF(B141="","",IF(M141="","시작일 미입력",IF(M141&lt;1,"시작일 이전(확인)",IF(M141=1,"1일째",IF(M141=2,"2일째",IF(M141=3,"3일째",IF(M141&lt;=7,"일주일 이내",IF(M141&lt;=14,"이주일 이내","15일 이후"))))))))</f>
        <v/>
      </c>
      <c r="O141" s="0" t="str">
        <f aca="false">IF(AND(COUNTA($A141:$J141)&gt;0,OR(클레임조회!$C$4="",AND(ISNUMBER($B141),$B141&gt;=클레임조회!$C$4)),OR(클레임조회!$C$5="",AND(ISNUMBER($B141),$B141&lt;=클레임조회!$C$5)),OR(클레임조회!$C$6="",$C141=클레임조회!$C$6),OR(클레임조회!$C$7="",$D141=클레임조회!$C$7),OR(클레임조회!$C$8="",$E141=클레임조회!$C$8),OR(클레임조회!$C$9="",$F141=클레임조회!$C$9),OR(클레임조회!$C$10="",ISNUMBER(SEARCH(클레임조회!$C$10,$C141&amp;" "&amp;$F141&amp;" "&amp;$G141&amp;" "&amp;$H141)))),COUNT(O$1:O140)+1,"")</f>
        <v/>
      </c>
      <c r="P141" s="0" t="str">
        <f aca="false">IF(AND(TRIM(C141)&lt;&gt;"",COUNTIF(C$2:C141,C141)=1),MAX(P$1:P140)+1,"")</f>
        <v/>
      </c>
      <c r="Q141" s="0" t="str">
        <f aca="false">IF(AND(TRIM(F141)&lt;&gt;"",COUNTIF(F$2:F141,F141)=1),MAX(Q$1:Q140)+1,"")</f>
        <v/>
      </c>
    </row>
    <row r="142" customFormat="false" ht="15" hidden="false" customHeight="false" outlineLevel="0" collapsed="false">
      <c r="A142" s="9"/>
      <c r="B142" s="10"/>
      <c r="C142" s="11"/>
      <c r="D142" s="11"/>
      <c r="E142" s="11"/>
      <c r="F142" s="11"/>
      <c r="G142" s="12"/>
      <c r="H142" s="12"/>
      <c r="I142" s="10"/>
      <c r="J142" s="12"/>
      <c r="K142" s="13" t="str">
        <f aca="false">IF(ISNUMBER(B142),YEAR(B142),"")</f>
        <v/>
      </c>
      <c r="L142" s="13" t="str">
        <f aca="false">IF(ISNUMBER(B142),MONTH(B142),"")</f>
        <v/>
      </c>
      <c r="M142" s="13" t="str">
        <f aca="false">IF(AND(ISNUMBER(B142),ISNUMBER(I142)),B142-I142+1,"")</f>
        <v/>
      </c>
      <c r="N142" s="14" t="str">
        <f aca="false">IF(B142="","",IF(M142="","시작일 미입력",IF(M142&lt;1,"시작일 이전(확인)",IF(M142=1,"1일째",IF(M142=2,"2일째",IF(M142=3,"3일째",IF(M142&lt;=7,"일주일 이내",IF(M142&lt;=14,"이주일 이내","15일 이후"))))))))</f>
        <v/>
      </c>
      <c r="O142" s="0" t="str">
        <f aca="false">IF(AND(COUNTA($A142:$J142)&gt;0,OR(클레임조회!$C$4="",AND(ISNUMBER($B142),$B142&gt;=클레임조회!$C$4)),OR(클레임조회!$C$5="",AND(ISNUMBER($B142),$B142&lt;=클레임조회!$C$5)),OR(클레임조회!$C$6="",$C142=클레임조회!$C$6),OR(클레임조회!$C$7="",$D142=클레임조회!$C$7),OR(클레임조회!$C$8="",$E142=클레임조회!$C$8),OR(클레임조회!$C$9="",$F142=클레임조회!$C$9),OR(클레임조회!$C$10="",ISNUMBER(SEARCH(클레임조회!$C$10,$C142&amp;" "&amp;$F142&amp;" "&amp;$G142&amp;" "&amp;$H142)))),COUNT(O$1:O141)+1,"")</f>
        <v/>
      </c>
      <c r="P142" s="0" t="str">
        <f aca="false">IF(AND(TRIM(C142)&lt;&gt;"",COUNTIF(C$2:C142,C142)=1),MAX(P$1:P141)+1,"")</f>
        <v/>
      </c>
      <c r="Q142" s="0" t="str">
        <f aca="false">IF(AND(TRIM(F142)&lt;&gt;"",COUNTIF(F$2:F142,F142)=1),MAX(Q$1:Q141)+1,"")</f>
        <v/>
      </c>
    </row>
    <row r="143" customFormat="false" ht="15" hidden="false" customHeight="false" outlineLevel="0" collapsed="false">
      <c r="A143" s="9"/>
      <c r="B143" s="10"/>
      <c r="C143" s="11"/>
      <c r="D143" s="11"/>
      <c r="E143" s="11"/>
      <c r="F143" s="11"/>
      <c r="G143" s="12"/>
      <c r="H143" s="12"/>
      <c r="I143" s="10"/>
      <c r="J143" s="12"/>
      <c r="K143" s="13" t="str">
        <f aca="false">IF(ISNUMBER(B143),YEAR(B143),"")</f>
        <v/>
      </c>
      <c r="L143" s="13" t="str">
        <f aca="false">IF(ISNUMBER(B143),MONTH(B143),"")</f>
        <v/>
      </c>
      <c r="M143" s="13" t="str">
        <f aca="false">IF(AND(ISNUMBER(B143),ISNUMBER(I143)),B143-I143+1,"")</f>
        <v/>
      </c>
      <c r="N143" s="14" t="str">
        <f aca="false">IF(B143="","",IF(M143="","시작일 미입력",IF(M143&lt;1,"시작일 이전(확인)",IF(M143=1,"1일째",IF(M143=2,"2일째",IF(M143=3,"3일째",IF(M143&lt;=7,"일주일 이내",IF(M143&lt;=14,"이주일 이내","15일 이후"))))))))</f>
        <v/>
      </c>
      <c r="O143" s="0" t="str">
        <f aca="false">IF(AND(COUNTA($A143:$J143)&gt;0,OR(클레임조회!$C$4="",AND(ISNUMBER($B143),$B143&gt;=클레임조회!$C$4)),OR(클레임조회!$C$5="",AND(ISNUMBER($B143),$B143&lt;=클레임조회!$C$5)),OR(클레임조회!$C$6="",$C143=클레임조회!$C$6),OR(클레임조회!$C$7="",$D143=클레임조회!$C$7),OR(클레임조회!$C$8="",$E143=클레임조회!$C$8),OR(클레임조회!$C$9="",$F143=클레임조회!$C$9),OR(클레임조회!$C$10="",ISNUMBER(SEARCH(클레임조회!$C$10,$C143&amp;" "&amp;$F143&amp;" "&amp;$G143&amp;" "&amp;$H143)))),COUNT(O$1:O142)+1,"")</f>
        <v/>
      </c>
      <c r="P143" s="0" t="str">
        <f aca="false">IF(AND(TRIM(C143)&lt;&gt;"",COUNTIF(C$2:C143,C143)=1),MAX(P$1:P142)+1,"")</f>
        <v/>
      </c>
      <c r="Q143" s="0" t="str">
        <f aca="false">IF(AND(TRIM(F143)&lt;&gt;"",COUNTIF(F$2:F143,F143)=1),MAX(Q$1:Q142)+1,"")</f>
        <v/>
      </c>
    </row>
    <row r="144" customFormat="false" ht="15" hidden="false" customHeight="false" outlineLevel="0" collapsed="false">
      <c r="A144" s="9"/>
      <c r="B144" s="10"/>
      <c r="C144" s="11"/>
      <c r="D144" s="11"/>
      <c r="E144" s="11"/>
      <c r="F144" s="11"/>
      <c r="G144" s="12"/>
      <c r="H144" s="12"/>
      <c r="I144" s="10"/>
      <c r="J144" s="12"/>
      <c r="K144" s="13" t="str">
        <f aca="false">IF(ISNUMBER(B144),YEAR(B144),"")</f>
        <v/>
      </c>
      <c r="L144" s="13" t="str">
        <f aca="false">IF(ISNUMBER(B144),MONTH(B144),"")</f>
        <v/>
      </c>
      <c r="M144" s="13" t="str">
        <f aca="false">IF(AND(ISNUMBER(B144),ISNUMBER(I144)),B144-I144+1,"")</f>
        <v/>
      </c>
      <c r="N144" s="14" t="str">
        <f aca="false">IF(B144="","",IF(M144="","시작일 미입력",IF(M144&lt;1,"시작일 이전(확인)",IF(M144=1,"1일째",IF(M144=2,"2일째",IF(M144=3,"3일째",IF(M144&lt;=7,"일주일 이내",IF(M144&lt;=14,"이주일 이내","15일 이후"))))))))</f>
        <v/>
      </c>
      <c r="O144" s="0" t="str">
        <f aca="false">IF(AND(COUNTA($A144:$J144)&gt;0,OR(클레임조회!$C$4="",AND(ISNUMBER($B144),$B144&gt;=클레임조회!$C$4)),OR(클레임조회!$C$5="",AND(ISNUMBER($B144),$B144&lt;=클레임조회!$C$5)),OR(클레임조회!$C$6="",$C144=클레임조회!$C$6),OR(클레임조회!$C$7="",$D144=클레임조회!$C$7),OR(클레임조회!$C$8="",$E144=클레임조회!$C$8),OR(클레임조회!$C$9="",$F144=클레임조회!$C$9),OR(클레임조회!$C$10="",ISNUMBER(SEARCH(클레임조회!$C$10,$C144&amp;" "&amp;$F144&amp;" "&amp;$G144&amp;" "&amp;$H144)))),COUNT(O$1:O143)+1,"")</f>
        <v/>
      </c>
      <c r="P144" s="0" t="str">
        <f aca="false">IF(AND(TRIM(C144)&lt;&gt;"",COUNTIF(C$2:C144,C144)=1),MAX(P$1:P143)+1,"")</f>
        <v/>
      </c>
      <c r="Q144" s="0" t="str">
        <f aca="false">IF(AND(TRIM(F144)&lt;&gt;"",COUNTIF(F$2:F144,F144)=1),MAX(Q$1:Q143)+1,"")</f>
        <v/>
      </c>
    </row>
    <row r="145" customFormat="false" ht="15" hidden="false" customHeight="false" outlineLevel="0" collapsed="false">
      <c r="A145" s="9"/>
      <c r="B145" s="10"/>
      <c r="C145" s="11"/>
      <c r="D145" s="11"/>
      <c r="E145" s="11"/>
      <c r="F145" s="11"/>
      <c r="G145" s="12"/>
      <c r="H145" s="12"/>
      <c r="I145" s="10"/>
      <c r="J145" s="12"/>
      <c r="K145" s="13" t="str">
        <f aca="false">IF(ISNUMBER(B145),YEAR(B145),"")</f>
        <v/>
      </c>
      <c r="L145" s="13" t="str">
        <f aca="false">IF(ISNUMBER(B145),MONTH(B145),"")</f>
        <v/>
      </c>
      <c r="M145" s="13" t="str">
        <f aca="false">IF(AND(ISNUMBER(B145),ISNUMBER(I145)),B145-I145+1,"")</f>
        <v/>
      </c>
      <c r="N145" s="14" t="str">
        <f aca="false">IF(B145="","",IF(M145="","시작일 미입력",IF(M145&lt;1,"시작일 이전(확인)",IF(M145=1,"1일째",IF(M145=2,"2일째",IF(M145=3,"3일째",IF(M145&lt;=7,"일주일 이내",IF(M145&lt;=14,"이주일 이내","15일 이후"))))))))</f>
        <v/>
      </c>
      <c r="O145" s="0" t="str">
        <f aca="false">IF(AND(COUNTA($A145:$J145)&gt;0,OR(클레임조회!$C$4="",AND(ISNUMBER($B145),$B145&gt;=클레임조회!$C$4)),OR(클레임조회!$C$5="",AND(ISNUMBER($B145),$B145&lt;=클레임조회!$C$5)),OR(클레임조회!$C$6="",$C145=클레임조회!$C$6),OR(클레임조회!$C$7="",$D145=클레임조회!$C$7),OR(클레임조회!$C$8="",$E145=클레임조회!$C$8),OR(클레임조회!$C$9="",$F145=클레임조회!$C$9),OR(클레임조회!$C$10="",ISNUMBER(SEARCH(클레임조회!$C$10,$C145&amp;" "&amp;$F145&amp;" "&amp;$G145&amp;" "&amp;$H145)))),COUNT(O$1:O144)+1,"")</f>
        <v/>
      </c>
      <c r="P145" s="0" t="str">
        <f aca="false">IF(AND(TRIM(C145)&lt;&gt;"",COUNTIF(C$2:C145,C145)=1),MAX(P$1:P144)+1,"")</f>
        <v/>
      </c>
      <c r="Q145" s="0" t="str">
        <f aca="false">IF(AND(TRIM(F145)&lt;&gt;"",COUNTIF(F$2:F145,F145)=1),MAX(Q$1:Q144)+1,"")</f>
        <v/>
      </c>
    </row>
    <row r="146" customFormat="false" ht="15" hidden="false" customHeight="false" outlineLevel="0" collapsed="false">
      <c r="A146" s="9"/>
      <c r="B146" s="10"/>
      <c r="C146" s="11"/>
      <c r="D146" s="11"/>
      <c r="E146" s="11"/>
      <c r="F146" s="11"/>
      <c r="G146" s="12"/>
      <c r="H146" s="12"/>
      <c r="I146" s="10"/>
      <c r="J146" s="12"/>
      <c r="K146" s="13" t="str">
        <f aca="false">IF(ISNUMBER(B146),YEAR(B146),"")</f>
        <v/>
      </c>
      <c r="L146" s="13" t="str">
        <f aca="false">IF(ISNUMBER(B146),MONTH(B146),"")</f>
        <v/>
      </c>
      <c r="M146" s="13" t="str">
        <f aca="false">IF(AND(ISNUMBER(B146),ISNUMBER(I146)),B146-I146+1,"")</f>
        <v/>
      </c>
      <c r="N146" s="14" t="str">
        <f aca="false">IF(B146="","",IF(M146="","시작일 미입력",IF(M146&lt;1,"시작일 이전(확인)",IF(M146=1,"1일째",IF(M146=2,"2일째",IF(M146=3,"3일째",IF(M146&lt;=7,"일주일 이내",IF(M146&lt;=14,"이주일 이내","15일 이후"))))))))</f>
        <v/>
      </c>
      <c r="O146" s="0" t="str">
        <f aca="false">IF(AND(COUNTA($A146:$J146)&gt;0,OR(클레임조회!$C$4="",AND(ISNUMBER($B146),$B146&gt;=클레임조회!$C$4)),OR(클레임조회!$C$5="",AND(ISNUMBER($B146),$B146&lt;=클레임조회!$C$5)),OR(클레임조회!$C$6="",$C146=클레임조회!$C$6),OR(클레임조회!$C$7="",$D146=클레임조회!$C$7),OR(클레임조회!$C$8="",$E146=클레임조회!$C$8),OR(클레임조회!$C$9="",$F146=클레임조회!$C$9),OR(클레임조회!$C$10="",ISNUMBER(SEARCH(클레임조회!$C$10,$C146&amp;" "&amp;$F146&amp;" "&amp;$G146&amp;" "&amp;$H146)))),COUNT(O$1:O145)+1,"")</f>
        <v/>
      </c>
      <c r="P146" s="0" t="str">
        <f aca="false">IF(AND(TRIM(C146)&lt;&gt;"",COUNTIF(C$2:C146,C146)=1),MAX(P$1:P145)+1,"")</f>
        <v/>
      </c>
      <c r="Q146" s="0" t="str">
        <f aca="false">IF(AND(TRIM(F146)&lt;&gt;"",COUNTIF(F$2:F146,F146)=1),MAX(Q$1:Q145)+1,"")</f>
        <v/>
      </c>
    </row>
    <row r="147" customFormat="false" ht="15" hidden="false" customHeight="false" outlineLevel="0" collapsed="false">
      <c r="A147" s="9"/>
      <c r="B147" s="10"/>
      <c r="C147" s="11"/>
      <c r="D147" s="11"/>
      <c r="E147" s="11"/>
      <c r="F147" s="11"/>
      <c r="G147" s="12"/>
      <c r="H147" s="12"/>
      <c r="I147" s="10"/>
      <c r="J147" s="12"/>
      <c r="K147" s="13" t="str">
        <f aca="false">IF(ISNUMBER(B147),YEAR(B147),"")</f>
        <v/>
      </c>
      <c r="L147" s="13" t="str">
        <f aca="false">IF(ISNUMBER(B147),MONTH(B147),"")</f>
        <v/>
      </c>
      <c r="M147" s="13" t="str">
        <f aca="false">IF(AND(ISNUMBER(B147),ISNUMBER(I147)),B147-I147+1,"")</f>
        <v/>
      </c>
      <c r="N147" s="14" t="str">
        <f aca="false">IF(B147="","",IF(M147="","시작일 미입력",IF(M147&lt;1,"시작일 이전(확인)",IF(M147=1,"1일째",IF(M147=2,"2일째",IF(M147=3,"3일째",IF(M147&lt;=7,"일주일 이내",IF(M147&lt;=14,"이주일 이내","15일 이후"))))))))</f>
        <v/>
      </c>
      <c r="O147" s="0" t="str">
        <f aca="false">IF(AND(COUNTA($A147:$J147)&gt;0,OR(클레임조회!$C$4="",AND(ISNUMBER($B147),$B147&gt;=클레임조회!$C$4)),OR(클레임조회!$C$5="",AND(ISNUMBER($B147),$B147&lt;=클레임조회!$C$5)),OR(클레임조회!$C$6="",$C147=클레임조회!$C$6),OR(클레임조회!$C$7="",$D147=클레임조회!$C$7),OR(클레임조회!$C$8="",$E147=클레임조회!$C$8),OR(클레임조회!$C$9="",$F147=클레임조회!$C$9),OR(클레임조회!$C$10="",ISNUMBER(SEARCH(클레임조회!$C$10,$C147&amp;" "&amp;$F147&amp;" "&amp;$G147&amp;" "&amp;$H147)))),COUNT(O$1:O146)+1,"")</f>
        <v/>
      </c>
      <c r="P147" s="0" t="str">
        <f aca="false">IF(AND(TRIM(C147)&lt;&gt;"",COUNTIF(C$2:C147,C147)=1),MAX(P$1:P146)+1,"")</f>
        <v/>
      </c>
      <c r="Q147" s="0" t="str">
        <f aca="false">IF(AND(TRIM(F147)&lt;&gt;"",COUNTIF(F$2:F147,F147)=1),MAX(Q$1:Q146)+1,"")</f>
        <v/>
      </c>
    </row>
    <row r="148" customFormat="false" ht="15" hidden="false" customHeight="false" outlineLevel="0" collapsed="false">
      <c r="A148" s="9"/>
      <c r="B148" s="10"/>
      <c r="C148" s="11"/>
      <c r="D148" s="11"/>
      <c r="E148" s="11"/>
      <c r="F148" s="11"/>
      <c r="G148" s="12"/>
      <c r="H148" s="12"/>
      <c r="I148" s="10"/>
      <c r="J148" s="12"/>
      <c r="K148" s="13" t="str">
        <f aca="false">IF(ISNUMBER(B148),YEAR(B148),"")</f>
        <v/>
      </c>
      <c r="L148" s="13" t="str">
        <f aca="false">IF(ISNUMBER(B148),MONTH(B148),"")</f>
        <v/>
      </c>
      <c r="M148" s="13" t="str">
        <f aca="false">IF(AND(ISNUMBER(B148),ISNUMBER(I148)),B148-I148+1,"")</f>
        <v/>
      </c>
      <c r="N148" s="14" t="str">
        <f aca="false">IF(B148="","",IF(M148="","시작일 미입력",IF(M148&lt;1,"시작일 이전(확인)",IF(M148=1,"1일째",IF(M148=2,"2일째",IF(M148=3,"3일째",IF(M148&lt;=7,"일주일 이내",IF(M148&lt;=14,"이주일 이내","15일 이후"))))))))</f>
        <v/>
      </c>
      <c r="O148" s="0" t="str">
        <f aca="false">IF(AND(COUNTA($A148:$J148)&gt;0,OR(클레임조회!$C$4="",AND(ISNUMBER($B148),$B148&gt;=클레임조회!$C$4)),OR(클레임조회!$C$5="",AND(ISNUMBER($B148),$B148&lt;=클레임조회!$C$5)),OR(클레임조회!$C$6="",$C148=클레임조회!$C$6),OR(클레임조회!$C$7="",$D148=클레임조회!$C$7),OR(클레임조회!$C$8="",$E148=클레임조회!$C$8),OR(클레임조회!$C$9="",$F148=클레임조회!$C$9),OR(클레임조회!$C$10="",ISNUMBER(SEARCH(클레임조회!$C$10,$C148&amp;" "&amp;$F148&amp;" "&amp;$G148&amp;" "&amp;$H148)))),COUNT(O$1:O147)+1,"")</f>
        <v/>
      </c>
      <c r="P148" s="0" t="str">
        <f aca="false">IF(AND(TRIM(C148)&lt;&gt;"",COUNTIF(C$2:C148,C148)=1),MAX(P$1:P147)+1,"")</f>
        <v/>
      </c>
      <c r="Q148" s="0" t="str">
        <f aca="false">IF(AND(TRIM(F148)&lt;&gt;"",COUNTIF(F$2:F148,F148)=1),MAX(Q$1:Q147)+1,"")</f>
        <v/>
      </c>
    </row>
    <row r="149" customFormat="false" ht="15" hidden="false" customHeight="false" outlineLevel="0" collapsed="false">
      <c r="A149" s="9"/>
      <c r="B149" s="10"/>
      <c r="C149" s="11"/>
      <c r="D149" s="11"/>
      <c r="E149" s="11"/>
      <c r="F149" s="11"/>
      <c r="G149" s="12"/>
      <c r="H149" s="12"/>
      <c r="I149" s="10"/>
      <c r="J149" s="12"/>
      <c r="K149" s="13" t="str">
        <f aca="false">IF(ISNUMBER(B149),YEAR(B149),"")</f>
        <v/>
      </c>
      <c r="L149" s="13" t="str">
        <f aca="false">IF(ISNUMBER(B149),MONTH(B149),"")</f>
        <v/>
      </c>
      <c r="M149" s="13" t="str">
        <f aca="false">IF(AND(ISNUMBER(B149),ISNUMBER(I149)),B149-I149+1,"")</f>
        <v/>
      </c>
      <c r="N149" s="14" t="str">
        <f aca="false">IF(B149="","",IF(M149="","시작일 미입력",IF(M149&lt;1,"시작일 이전(확인)",IF(M149=1,"1일째",IF(M149=2,"2일째",IF(M149=3,"3일째",IF(M149&lt;=7,"일주일 이내",IF(M149&lt;=14,"이주일 이내","15일 이후"))))))))</f>
        <v/>
      </c>
      <c r="O149" s="0" t="str">
        <f aca="false">IF(AND(COUNTA($A149:$J149)&gt;0,OR(클레임조회!$C$4="",AND(ISNUMBER($B149),$B149&gt;=클레임조회!$C$4)),OR(클레임조회!$C$5="",AND(ISNUMBER($B149),$B149&lt;=클레임조회!$C$5)),OR(클레임조회!$C$6="",$C149=클레임조회!$C$6),OR(클레임조회!$C$7="",$D149=클레임조회!$C$7),OR(클레임조회!$C$8="",$E149=클레임조회!$C$8),OR(클레임조회!$C$9="",$F149=클레임조회!$C$9),OR(클레임조회!$C$10="",ISNUMBER(SEARCH(클레임조회!$C$10,$C149&amp;" "&amp;$F149&amp;" "&amp;$G149&amp;" "&amp;$H149)))),COUNT(O$1:O148)+1,"")</f>
        <v/>
      </c>
      <c r="P149" s="0" t="str">
        <f aca="false">IF(AND(TRIM(C149)&lt;&gt;"",COUNTIF(C$2:C149,C149)=1),MAX(P$1:P148)+1,"")</f>
        <v/>
      </c>
      <c r="Q149" s="0" t="str">
        <f aca="false">IF(AND(TRIM(F149)&lt;&gt;"",COUNTIF(F$2:F149,F149)=1),MAX(Q$1:Q148)+1,"")</f>
        <v/>
      </c>
    </row>
    <row r="150" customFormat="false" ht="15" hidden="false" customHeight="false" outlineLevel="0" collapsed="false">
      <c r="A150" s="9"/>
      <c r="B150" s="10"/>
      <c r="C150" s="11"/>
      <c r="D150" s="11"/>
      <c r="E150" s="11"/>
      <c r="F150" s="11"/>
      <c r="G150" s="12"/>
      <c r="H150" s="12"/>
      <c r="I150" s="10"/>
      <c r="J150" s="12"/>
      <c r="K150" s="13" t="str">
        <f aca="false">IF(ISNUMBER(B150),YEAR(B150),"")</f>
        <v/>
      </c>
      <c r="L150" s="13" t="str">
        <f aca="false">IF(ISNUMBER(B150),MONTH(B150),"")</f>
        <v/>
      </c>
      <c r="M150" s="13" t="str">
        <f aca="false">IF(AND(ISNUMBER(B150),ISNUMBER(I150)),B150-I150+1,"")</f>
        <v/>
      </c>
      <c r="N150" s="14" t="str">
        <f aca="false">IF(B150="","",IF(M150="","시작일 미입력",IF(M150&lt;1,"시작일 이전(확인)",IF(M150=1,"1일째",IF(M150=2,"2일째",IF(M150=3,"3일째",IF(M150&lt;=7,"일주일 이내",IF(M150&lt;=14,"이주일 이내","15일 이후"))))))))</f>
        <v/>
      </c>
      <c r="O150" s="0" t="str">
        <f aca="false">IF(AND(COUNTA($A150:$J150)&gt;0,OR(클레임조회!$C$4="",AND(ISNUMBER($B150),$B150&gt;=클레임조회!$C$4)),OR(클레임조회!$C$5="",AND(ISNUMBER($B150),$B150&lt;=클레임조회!$C$5)),OR(클레임조회!$C$6="",$C150=클레임조회!$C$6),OR(클레임조회!$C$7="",$D150=클레임조회!$C$7),OR(클레임조회!$C$8="",$E150=클레임조회!$C$8),OR(클레임조회!$C$9="",$F150=클레임조회!$C$9),OR(클레임조회!$C$10="",ISNUMBER(SEARCH(클레임조회!$C$10,$C150&amp;" "&amp;$F150&amp;" "&amp;$G150&amp;" "&amp;$H150)))),COUNT(O$1:O149)+1,"")</f>
        <v/>
      </c>
      <c r="P150" s="0" t="str">
        <f aca="false">IF(AND(TRIM(C150)&lt;&gt;"",COUNTIF(C$2:C150,C150)=1),MAX(P$1:P149)+1,"")</f>
        <v/>
      </c>
      <c r="Q150" s="0" t="str">
        <f aca="false">IF(AND(TRIM(F150)&lt;&gt;"",COUNTIF(F$2:F150,F150)=1),MAX(Q$1:Q149)+1,"")</f>
        <v/>
      </c>
    </row>
    <row r="151" customFormat="false" ht="15" hidden="false" customHeight="false" outlineLevel="0" collapsed="false">
      <c r="A151" s="9"/>
      <c r="B151" s="10"/>
      <c r="C151" s="11"/>
      <c r="D151" s="11"/>
      <c r="E151" s="11"/>
      <c r="F151" s="11"/>
      <c r="G151" s="12"/>
      <c r="H151" s="12"/>
      <c r="I151" s="10"/>
      <c r="J151" s="12"/>
      <c r="K151" s="13" t="str">
        <f aca="false">IF(ISNUMBER(B151),YEAR(B151),"")</f>
        <v/>
      </c>
      <c r="L151" s="13" t="str">
        <f aca="false">IF(ISNUMBER(B151),MONTH(B151),"")</f>
        <v/>
      </c>
      <c r="M151" s="13" t="str">
        <f aca="false">IF(AND(ISNUMBER(B151),ISNUMBER(I151)),B151-I151+1,"")</f>
        <v/>
      </c>
      <c r="N151" s="14" t="str">
        <f aca="false">IF(B151="","",IF(M151="","시작일 미입력",IF(M151&lt;1,"시작일 이전(확인)",IF(M151=1,"1일째",IF(M151=2,"2일째",IF(M151=3,"3일째",IF(M151&lt;=7,"일주일 이내",IF(M151&lt;=14,"이주일 이내","15일 이후"))))))))</f>
        <v/>
      </c>
      <c r="O151" s="0" t="str">
        <f aca="false">IF(AND(COUNTA($A151:$J151)&gt;0,OR(클레임조회!$C$4="",AND(ISNUMBER($B151),$B151&gt;=클레임조회!$C$4)),OR(클레임조회!$C$5="",AND(ISNUMBER($B151),$B151&lt;=클레임조회!$C$5)),OR(클레임조회!$C$6="",$C151=클레임조회!$C$6),OR(클레임조회!$C$7="",$D151=클레임조회!$C$7),OR(클레임조회!$C$8="",$E151=클레임조회!$C$8),OR(클레임조회!$C$9="",$F151=클레임조회!$C$9),OR(클레임조회!$C$10="",ISNUMBER(SEARCH(클레임조회!$C$10,$C151&amp;" "&amp;$F151&amp;" "&amp;$G151&amp;" "&amp;$H151)))),COUNT(O$1:O150)+1,"")</f>
        <v/>
      </c>
      <c r="P151" s="0" t="str">
        <f aca="false">IF(AND(TRIM(C151)&lt;&gt;"",COUNTIF(C$2:C151,C151)=1),MAX(P$1:P150)+1,"")</f>
        <v/>
      </c>
      <c r="Q151" s="0" t="str">
        <f aca="false">IF(AND(TRIM(F151)&lt;&gt;"",COUNTIF(F$2:F151,F151)=1),MAX(Q$1:Q150)+1,"")</f>
        <v/>
      </c>
    </row>
    <row r="152" customFormat="false" ht="15" hidden="false" customHeight="false" outlineLevel="0" collapsed="false">
      <c r="A152" s="9"/>
      <c r="B152" s="10"/>
      <c r="C152" s="11"/>
      <c r="D152" s="11"/>
      <c r="E152" s="11"/>
      <c r="F152" s="11"/>
      <c r="G152" s="12"/>
      <c r="H152" s="12"/>
      <c r="I152" s="10"/>
      <c r="J152" s="12"/>
      <c r="K152" s="13" t="str">
        <f aca="false">IF(ISNUMBER(B152),YEAR(B152),"")</f>
        <v/>
      </c>
      <c r="L152" s="13" t="str">
        <f aca="false">IF(ISNUMBER(B152),MONTH(B152),"")</f>
        <v/>
      </c>
      <c r="M152" s="13" t="str">
        <f aca="false">IF(AND(ISNUMBER(B152),ISNUMBER(I152)),B152-I152+1,"")</f>
        <v/>
      </c>
      <c r="N152" s="14" t="str">
        <f aca="false">IF(B152="","",IF(M152="","시작일 미입력",IF(M152&lt;1,"시작일 이전(확인)",IF(M152=1,"1일째",IF(M152=2,"2일째",IF(M152=3,"3일째",IF(M152&lt;=7,"일주일 이내",IF(M152&lt;=14,"이주일 이내","15일 이후"))))))))</f>
        <v/>
      </c>
      <c r="O152" s="0" t="str">
        <f aca="false">IF(AND(COUNTA($A152:$J152)&gt;0,OR(클레임조회!$C$4="",AND(ISNUMBER($B152),$B152&gt;=클레임조회!$C$4)),OR(클레임조회!$C$5="",AND(ISNUMBER($B152),$B152&lt;=클레임조회!$C$5)),OR(클레임조회!$C$6="",$C152=클레임조회!$C$6),OR(클레임조회!$C$7="",$D152=클레임조회!$C$7),OR(클레임조회!$C$8="",$E152=클레임조회!$C$8),OR(클레임조회!$C$9="",$F152=클레임조회!$C$9),OR(클레임조회!$C$10="",ISNUMBER(SEARCH(클레임조회!$C$10,$C152&amp;" "&amp;$F152&amp;" "&amp;$G152&amp;" "&amp;$H152)))),COUNT(O$1:O151)+1,"")</f>
        <v/>
      </c>
      <c r="P152" s="0" t="str">
        <f aca="false">IF(AND(TRIM(C152)&lt;&gt;"",COUNTIF(C$2:C152,C152)=1),MAX(P$1:P151)+1,"")</f>
        <v/>
      </c>
      <c r="Q152" s="0" t="str">
        <f aca="false">IF(AND(TRIM(F152)&lt;&gt;"",COUNTIF(F$2:F152,F152)=1),MAX(Q$1:Q151)+1,"")</f>
        <v/>
      </c>
    </row>
    <row r="153" customFormat="false" ht="15" hidden="false" customHeight="false" outlineLevel="0" collapsed="false">
      <c r="A153" s="9"/>
      <c r="B153" s="10"/>
      <c r="C153" s="11"/>
      <c r="D153" s="11"/>
      <c r="E153" s="11"/>
      <c r="F153" s="11"/>
      <c r="G153" s="12"/>
      <c r="H153" s="12"/>
      <c r="I153" s="10"/>
      <c r="J153" s="12"/>
      <c r="K153" s="13" t="str">
        <f aca="false">IF(ISNUMBER(B153),YEAR(B153),"")</f>
        <v/>
      </c>
      <c r="L153" s="13" t="str">
        <f aca="false">IF(ISNUMBER(B153),MONTH(B153),"")</f>
        <v/>
      </c>
      <c r="M153" s="13" t="str">
        <f aca="false">IF(AND(ISNUMBER(B153),ISNUMBER(I153)),B153-I153+1,"")</f>
        <v/>
      </c>
      <c r="N153" s="14" t="str">
        <f aca="false">IF(B153="","",IF(M153="","시작일 미입력",IF(M153&lt;1,"시작일 이전(확인)",IF(M153=1,"1일째",IF(M153=2,"2일째",IF(M153=3,"3일째",IF(M153&lt;=7,"일주일 이내",IF(M153&lt;=14,"이주일 이내","15일 이후"))))))))</f>
        <v/>
      </c>
      <c r="O153" s="0" t="str">
        <f aca="false">IF(AND(COUNTA($A153:$J153)&gt;0,OR(클레임조회!$C$4="",AND(ISNUMBER($B153),$B153&gt;=클레임조회!$C$4)),OR(클레임조회!$C$5="",AND(ISNUMBER($B153),$B153&lt;=클레임조회!$C$5)),OR(클레임조회!$C$6="",$C153=클레임조회!$C$6),OR(클레임조회!$C$7="",$D153=클레임조회!$C$7),OR(클레임조회!$C$8="",$E153=클레임조회!$C$8),OR(클레임조회!$C$9="",$F153=클레임조회!$C$9),OR(클레임조회!$C$10="",ISNUMBER(SEARCH(클레임조회!$C$10,$C153&amp;" "&amp;$F153&amp;" "&amp;$G153&amp;" "&amp;$H153)))),COUNT(O$1:O152)+1,"")</f>
        <v/>
      </c>
      <c r="P153" s="0" t="str">
        <f aca="false">IF(AND(TRIM(C153)&lt;&gt;"",COUNTIF(C$2:C153,C153)=1),MAX(P$1:P152)+1,"")</f>
        <v/>
      </c>
      <c r="Q153" s="0" t="str">
        <f aca="false">IF(AND(TRIM(F153)&lt;&gt;"",COUNTIF(F$2:F153,F153)=1),MAX(Q$1:Q152)+1,"")</f>
        <v/>
      </c>
    </row>
    <row r="154" customFormat="false" ht="15" hidden="false" customHeight="false" outlineLevel="0" collapsed="false">
      <c r="A154" s="9"/>
      <c r="B154" s="10"/>
      <c r="C154" s="11"/>
      <c r="D154" s="11"/>
      <c r="E154" s="11"/>
      <c r="F154" s="11"/>
      <c r="G154" s="12"/>
      <c r="H154" s="12"/>
      <c r="I154" s="10"/>
      <c r="J154" s="12"/>
      <c r="K154" s="13" t="str">
        <f aca="false">IF(ISNUMBER(B154),YEAR(B154),"")</f>
        <v/>
      </c>
      <c r="L154" s="13" t="str">
        <f aca="false">IF(ISNUMBER(B154),MONTH(B154),"")</f>
        <v/>
      </c>
      <c r="M154" s="13" t="str">
        <f aca="false">IF(AND(ISNUMBER(B154),ISNUMBER(I154)),B154-I154+1,"")</f>
        <v/>
      </c>
      <c r="N154" s="14" t="str">
        <f aca="false">IF(B154="","",IF(M154="","시작일 미입력",IF(M154&lt;1,"시작일 이전(확인)",IF(M154=1,"1일째",IF(M154=2,"2일째",IF(M154=3,"3일째",IF(M154&lt;=7,"일주일 이내",IF(M154&lt;=14,"이주일 이내","15일 이후"))))))))</f>
        <v/>
      </c>
      <c r="O154" s="0" t="str">
        <f aca="false">IF(AND(COUNTA($A154:$J154)&gt;0,OR(클레임조회!$C$4="",AND(ISNUMBER($B154),$B154&gt;=클레임조회!$C$4)),OR(클레임조회!$C$5="",AND(ISNUMBER($B154),$B154&lt;=클레임조회!$C$5)),OR(클레임조회!$C$6="",$C154=클레임조회!$C$6),OR(클레임조회!$C$7="",$D154=클레임조회!$C$7),OR(클레임조회!$C$8="",$E154=클레임조회!$C$8),OR(클레임조회!$C$9="",$F154=클레임조회!$C$9),OR(클레임조회!$C$10="",ISNUMBER(SEARCH(클레임조회!$C$10,$C154&amp;" "&amp;$F154&amp;" "&amp;$G154&amp;" "&amp;$H154)))),COUNT(O$1:O153)+1,"")</f>
        <v/>
      </c>
      <c r="P154" s="0" t="str">
        <f aca="false">IF(AND(TRIM(C154)&lt;&gt;"",COUNTIF(C$2:C154,C154)=1),MAX(P$1:P153)+1,"")</f>
        <v/>
      </c>
      <c r="Q154" s="0" t="str">
        <f aca="false">IF(AND(TRIM(F154)&lt;&gt;"",COUNTIF(F$2:F154,F154)=1),MAX(Q$1:Q153)+1,"")</f>
        <v/>
      </c>
    </row>
    <row r="155" customFormat="false" ht="15" hidden="false" customHeight="false" outlineLevel="0" collapsed="false">
      <c r="A155" s="9"/>
      <c r="B155" s="10"/>
      <c r="C155" s="11"/>
      <c r="D155" s="11"/>
      <c r="E155" s="11"/>
      <c r="F155" s="11"/>
      <c r="G155" s="12"/>
      <c r="H155" s="12"/>
      <c r="I155" s="10"/>
      <c r="J155" s="12"/>
      <c r="K155" s="13" t="str">
        <f aca="false">IF(ISNUMBER(B155),YEAR(B155),"")</f>
        <v/>
      </c>
      <c r="L155" s="13" t="str">
        <f aca="false">IF(ISNUMBER(B155),MONTH(B155),"")</f>
        <v/>
      </c>
      <c r="M155" s="13" t="str">
        <f aca="false">IF(AND(ISNUMBER(B155),ISNUMBER(I155)),B155-I155+1,"")</f>
        <v/>
      </c>
      <c r="N155" s="14" t="str">
        <f aca="false">IF(B155="","",IF(M155="","시작일 미입력",IF(M155&lt;1,"시작일 이전(확인)",IF(M155=1,"1일째",IF(M155=2,"2일째",IF(M155=3,"3일째",IF(M155&lt;=7,"일주일 이내",IF(M155&lt;=14,"이주일 이내","15일 이후"))))))))</f>
        <v/>
      </c>
      <c r="O155" s="0" t="str">
        <f aca="false">IF(AND(COUNTA($A155:$J155)&gt;0,OR(클레임조회!$C$4="",AND(ISNUMBER($B155),$B155&gt;=클레임조회!$C$4)),OR(클레임조회!$C$5="",AND(ISNUMBER($B155),$B155&lt;=클레임조회!$C$5)),OR(클레임조회!$C$6="",$C155=클레임조회!$C$6),OR(클레임조회!$C$7="",$D155=클레임조회!$C$7),OR(클레임조회!$C$8="",$E155=클레임조회!$C$8),OR(클레임조회!$C$9="",$F155=클레임조회!$C$9),OR(클레임조회!$C$10="",ISNUMBER(SEARCH(클레임조회!$C$10,$C155&amp;" "&amp;$F155&amp;" "&amp;$G155&amp;" "&amp;$H155)))),COUNT(O$1:O154)+1,"")</f>
        <v/>
      </c>
      <c r="P155" s="0" t="str">
        <f aca="false">IF(AND(TRIM(C155)&lt;&gt;"",COUNTIF(C$2:C155,C155)=1),MAX(P$1:P154)+1,"")</f>
        <v/>
      </c>
      <c r="Q155" s="0" t="str">
        <f aca="false">IF(AND(TRIM(F155)&lt;&gt;"",COUNTIF(F$2:F155,F155)=1),MAX(Q$1:Q154)+1,"")</f>
        <v/>
      </c>
    </row>
    <row r="156" customFormat="false" ht="15" hidden="false" customHeight="false" outlineLevel="0" collapsed="false">
      <c r="A156" s="9"/>
      <c r="B156" s="10"/>
      <c r="C156" s="11"/>
      <c r="D156" s="11"/>
      <c r="E156" s="11"/>
      <c r="F156" s="11"/>
      <c r="G156" s="12"/>
      <c r="H156" s="12"/>
      <c r="I156" s="10"/>
      <c r="J156" s="12"/>
      <c r="K156" s="13" t="str">
        <f aca="false">IF(ISNUMBER(B156),YEAR(B156),"")</f>
        <v/>
      </c>
      <c r="L156" s="13" t="str">
        <f aca="false">IF(ISNUMBER(B156),MONTH(B156),"")</f>
        <v/>
      </c>
      <c r="M156" s="13" t="str">
        <f aca="false">IF(AND(ISNUMBER(B156),ISNUMBER(I156)),B156-I156+1,"")</f>
        <v/>
      </c>
      <c r="N156" s="14" t="str">
        <f aca="false">IF(B156="","",IF(M156="","시작일 미입력",IF(M156&lt;1,"시작일 이전(확인)",IF(M156=1,"1일째",IF(M156=2,"2일째",IF(M156=3,"3일째",IF(M156&lt;=7,"일주일 이내",IF(M156&lt;=14,"이주일 이내","15일 이후"))))))))</f>
        <v/>
      </c>
      <c r="O156" s="0" t="str">
        <f aca="false">IF(AND(COUNTA($A156:$J156)&gt;0,OR(클레임조회!$C$4="",AND(ISNUMBER($B156),$B156&gt;=클레임조회!$C$4)),OR(클레임조회!$C$5="",AND(ISNUMBER($B156),$B156&lt;=클레임조회!$C$5)),OR(클레임조회!$C$6="",$C156=클레임조회!$C$6),OR(클레임조회!$C$7="",$D156=클레임조회!$C$7),OR(클레임조회!$C$8="",$E156=클레임조회!$C$8),OR(클레임조회!$C$9="",$F156=클레임조회!$C$9),OR(클레임조회!$C$10="",ISNUMBER(SEARCH(클레임조회!$C$10,$C156&amp;" "&amp;$F156&amp;" "&amp;$G156&amp;" "&amp;$H156)))),COUNT(O$1:O155)+1,"")</f>
        <v/>
      </c>
      <c r="P156" s="0" t="str">
        <f aca="false">IF(AND(TRIM(C156)&lt;&gt;"",COUNTIF(C$2:C156,C156)=1),MAX(P$1:P155)+1,"")</f>
        <v/>
      </c>
      <c r="Q156" s="0" t="str">
        <f aca="false">IF(AND(TRIM(F156)&lt;&gt;"",COUNTIF(F$2:F156,F156)=1),MAX(Q$1:Q155)+1,"")</f>
        <v/>
      </c>
    </row>
    <row r="157" customFormat="false" ht="15" hidden="false" customHeight="false" outlineLevel="0" collapsed="false">
      <c r="A157" s="9"/>
      <c r="B157" s="10"/>
      <c r="C157" s="11"/>
      <c r="D157" s="11"/>
      <c r="E157" s="11"/>
      <c r="F157" s="11"/>
      <c r="G157" s="12"/>
      <c r="H157" s="12"/>
      <c r="I157" s="10"/>
      <c r="J157" s="12"/>
      <c r="K157" s="13" t="str">
        <f aca="false">IF(ISNUMBER(B157),YEAR(B157),"")</f>
        <v/>
      </c>
      <c r="L157" s="13" t="str">
        <f aca="false">IF(ISNUMBER(B157),MONTH(B157),"")</f>
        <v/>
      </c>
      <c r="M157" s="13" t="str">
        <f aca="false">IF(AND(ISNUMBER(B157),ISNUMBER(I157)),B157-I157+1,"")</f>
        <v/>
      </c>
      <c r="N157" s="14" t="str">
        <f aca="false">IF(B157="","",IF(M157="","시작일 미입력",IF(M157&lt;1,"시작일 이전(확인)",IF(M157=1,"1일째",IF(M157=2,"2일째",IF(M157=3,"3일째",IF(M157&lt;=7,"일주일 이내",IF(M157&lt;=14,"이주일 이내","15일 이후"))))))))</f>
        <v/>
      </c>
      <c r="O157" s="0" t="str">
        <f aca="false">IF(AND(COUNTA($A157:$J157)&gt;0,OR(클레임조회!$C$4="",AND(ISNUMBER($B157),$B157&gt;=클레임조회!$C$4)),OR(클레임조회!$C$5="",AND(ISNUMBER($B157),$B157&lt;=클레임조회!$C$5)),OR(클레임조회!$C$6="",$C157=클레임조회!$C$6),OR(클레임조회!$C$7="",$D157=클레임조회!$C$7),OR(클레임조회!$C$8="",$E157=클레임조회!$C$8),OR(클레임조회!$C$9="",$F157=클레임조회!$C$9),OR(클레임조회!$C$10="",ISNUMBER(SEARCH(클레임조회!$C$10,$C157&amp;" "&amp;$F157&amp;" "&amp;$G157&amp;" "&amp;$H157)))),COUNT(O$1:O156)+1,"")</f>
        <v/>
      </c>
      <c r="P157" s="0" t="str">
        <f aca="false">IF(AND(TRIM(C157)&lt;&gt;"",COUNTIF(C$2:C157,C157)=1),MAX(P$1:P156)+1,"")</f>
        <v/>
      </c>
      <c r="Q157" s="0" t="str">
        <f aca="false">IF(AND(TRIM(F157)&lt;&gt;"",COUNTIF(F$2:F157,F157)=1),MAX(Q$1:Q156)+1,"")</f>
        <v/>
      </c>
    </row>
    <row r="158" customFormat="false" ht="15" hidden="false" customHeight="false" outlineLevel="0" collapsed="false">
      <c r="A158" s="9"/>
      <c r="B158" s="10"/>
      <c r="C158" s="11"/>
      <c r="D158" s="11"/>
      <c r="E158" s="11"/>
      <c r="F158" s="11"/>
      <c r="G158" s="12"/>
      <c r="H158" s="12"/>
      <c r="I158" s="10"/>
      <c r="J158" s="12"/>
      <c r="K158" s="13" t="str">
        <f aca="false">IF(ISNUMBER(B158),YEAR(B158),"")</f>
        <v/>
      </c>
      <c r="L158" s="13" t="str">
        <f aca="false">IF(ISNUMBER(B158),MONTH(B158),"")</f>
        <v/>
      </c>
      <c r="M158" s="13" t="str">
        <f aca="false">IF(AND(ISNUMBER(B158),ISNUMBER(I158)),B158-I158+1,"")</f>
        <v/>
      </c>
      <c r="N158" s="14" t="str">
        <f aca="false">IF(B158="","",IF(M158="","시작일 미입력",IF(M158&lt;1,"시작일 이전(확인)",IF(M158=1,"1일째",IF(M158=2,"2일째",IF(M158=3,"3일째",IF(M158&lt;=7,"일주일 이내",IF(M158&lt;=14,"이주일 이내","15일 이후"))))))))</f>
        <v/>
      </c>
      <c r="O158" s="0" t="str">
        <f aca="false">IF(AND(COUNTA($A158:$J158)&gt;0,OR(클레임조회!$C$4="",AND(ISNUMBER($B158),$B158&gt;=클레임조회!$C$4)),OR(클레임조회!$C$5="",AND(ISNUMBER($B158),$B158&lt;=클레임조회!$C$5)),OR(클레임조회!$C$6="",$C158=클레임조회!$C$6),OR(클레임조회!$C$7="",$D158=클레임조회!$C$7),OR(클레임조회!$C$8="",$E158=클레임조회!$C$8),OR(클레임조회!$C$9="",$F158=클레임조회!$C$9),OR(클레임조회!$C$10="",ISNUMBER(SEARCH(클레임조회!$C$10,$C158&amp;" "&amp;$F158&amp;" "&amp;$G158&amp;" "&amp;$H158)))),COUNT(O$1:O157)+1,"")</f>
        <v/>
      </c>
      <c r="P158" s="0" t="str">
        <f aca="false">IF(AND(TRIM(C158)&lt;&gt;"",COUNTIF(C$2:C158,C158)=1),MAX(P$1:P157)+1,"")</f>
        <v/>
      </c>
      <c r="Q158" s="0" t="str">
        <f aca="false">IF(AND(TRIM(F158)&lt;&gt;"",COUNTIF(F$2:F158,F158)=1),MAX(Q$1:Q157)+1,"")</f>
        <v/>
      </c>
    </row>
    <row r="159" customFormat="false" ht="15" hidden="false" customHeight="false" outlineLevel="0" collapsed="false">
      <c r="A159" s="9"/>
      <c r="B159" s="10"/>
      <c r="C159" s="11"/>
      <c r="D159" s="11"/>
      <c r="E159" s="11"/>
      <c r="F159" s="11"/>
      <c r="G159" s="12"/>
      <c r="H159" s="12"/>
      <c r="I159" s="10"/>
      <c r="J159" s="12"/>
      <c r="K159" s="13" t="str">
        <f aca="false">IF(ISNUMBER(B159),YEAR(B159),"")</f>
        <v/>
      </c>
      <c r="L159" s="13" t="str">
        <f aca="false">IF(ISNUMBER(B159),MONTH(B159),"")</f>
        <v/>
      </c>
      <c r="M159" s="13" t="str">
        <f aca="false">IF(AND(ISNUMBER(B159),ISNUMBER(I159)),B159-I159+1,"")</f>
        <v/>
      </c>
      <c r="N159" s="14" t="str">
        <f aca="false">IF(B159="","",IF(M159="","시작일 미입력",IF(M159&lt;1,"시작일 이전(확인)",IF(M159=1,"1일째",IF(M159=2,"2일째",IF(M159=3,"3일째",IF(M159&lt;=7,"일주일 이내",IF(M159&lt;=14,"이주일 이내","15일 이후"))))))))</f>
        <v/>
      </c>
      <c r="O159" s="0" t="str">
        <f aca="false">IF(AND(COUNTA($A159:$J159)&gt;0,OR(클레임조회!$C$4="",AND(ISNUMBER($B159),$B159&gt;=클레임조회!$C$4)),OR(클레임조회!$C$5="",AND(ISNUMBER($B159),$B159&lt;=클레임조회!$C$5)),OR(클레임조회!$C$6="",$C159=클레임조회!$C$6),OR(클레임조회!$C$7="",$D159=클레임조회!$C$7),OR(클레임조회!$C$8="",$E159=클레임조회!$C$8),OR(클레임조회!$C$9="",$F159=클레임조회!$C$9),OR(클레임조회!$C$10="",ISNUMBER(SEARCH(클레임조회!$C$10,$C159&amp;" "&amp;$F159&amp;" "&amp;$G159&amp;" "&amp;$H159)))),COUNT(O$1:O158)+1,"")</f>
        <v/>
      </c>
      <c r="P159" s="0" t="str">
        <f aca="false">IF(AND(TRIM(C159)&lt;&gt;"",COUNTIF(C$2:C159,C159)=1),MAX(P$1:P158)+1,"")</f>
        <v/>
      </c>
      <c r="Q159" s="0" t="str">
        <f aca="false">IF(AND(TRIM(F159)&lt;&gt;"",COUNTIF(F$2:F159,F159)=1),MAX(Q$1:Q158)+1,"")</f>
        <v/>
      </c>
    </row>
    <row r="160" customFormat="false" ht="15" hidden="false" customHeight="false" outlineLevel="0" collapsed="false">
      <c r="A160" s="9"/>
      <c r="B160" s="10"/>
      <c r="C160" s="11"/>
      <c r="D160" s="11"/>
      <c r="E160" s="11"/>
      <c r="F160" s="11"/>
      <c r="G160" s="12"/>
      <c r="H160" s="12"/>
      <c r="I160" s="10"/>
      <c r="J160" s="12"/>
      <c r="K160" s="13" t="str">
        <f aca="false">IF(ISNUMBER(B160),YEAR(B160),"")</f>
        <v/>
      </c>
      <c r="L160" s="13" t="str">
        <f aca="false">IF(ISNUMBER(B160),MONTH(B160),"")</f>
        <v/>
      </c>
      <c r="M160" s="13" t="str">
        <f aca="false">IF(AND(ISNUMBER(B160),ISNUMBER(I160)),B160-I160+1,"")</f>
        <v/>
      </c>
      <c r="N160" s="14" t="str">
        <f aca="false">IF(B160="","",IF(M160="","시작일 미입력",IF(M160&lt;1,"시작일 이전(확인)",IF(M160=1,"1일째",IF(M160=2,"2일째",IF(M160=3,"3일째",IF(M160&lt;=7,"일주일 이내",IF(M160&lt;=14,"이주일 이내","15일 이후"))))))))</f>
        <v/>
      </c>
      <c r="O160" s="0" t="str">
        <f aca="false">IF(AND(COUNTA($A160:$J160)&gt;0,OR(클레임조회!$C$4="",AND(ISNUMBER($B160),$B160&gt;=클레임조회!$C$4)),OR(클레임조회!$C$5="",AND(ISNUMBER($B160),$B160&lt;=클레임조회!$C$5)),OR(클레임조회!$C$6="",$C160=클레임조회!$C$6),OR(클레임조회!$C$7="",$D160=클레임조회!$C$7),OR(클레임조회!$C$8="",$E160=클레임조회!$C$8),OR(클레임조회!$C$9="",$F160=클레임조회!$C$9),OR(클레임조회!$C$10="",ISNUMBER(SEARCH(클레임조회!$C$10,$C160&amp;" "&amp;$F160&amp;" "&amp;$G160&amp;" "&amp;$H160)))),COUNT(O$1:O159)+1,"")</f>
        <v/>
      </c>
      <c r="P160" s="0" t="str">
        <f aca="false">IF(AND(TRIM(C160)&lt;&gt;"",COUNTIF(C$2:C160,C160)=1),MAX(P$1:P159)+1,"")</f>
        <v/>
      </c>
      <c r="Q160" s="0" t="str">
        <f aca="false">IF(AND(TRIM(F160)&lt;&gt;"",COUNTIF(F$2:F160,F160)=1),MAX(Q$1:Q159)+1,"")</f>
        <v/>
      </c>
    </row>
    <row r="161" customFormat="false" ht="15" hidden="false" customHeight="false" outlineLevel="0" collapsed="false">
      <c r="A161" s="9"/>
      <c r="B161" s="10"/>
      <c r="C161" s="11"/>
      <c r="D161" s="11"/>
      <c r="E161" s="11"/>
      <c r="F161" s="11"/>
      <c r="G161" s="12"/>
      <c r="H161" s="12"/>
      <c r="I161" s="10"/>
      <c r="J161" s="12"/>
      <c r="K161" s="13" t="str">
        <f aca="false">IF(ISNUMBER(B161),YEAR(B161),"")</f>
        <v/>
      </c>
      <c r="L161" s="13" t="str">
        <f aca="false">IF(ISNUMBER(B161),MONTH(B161),"")</f>
        <v/>
      </c>
      <c r="M161" s="13" t="str">
        <f aca="false">IF(AND(ISNUMBER(B161),ISNUMBER(I161)),B161-I161+1,"")</f>
        <v/>
      </c>
      <c r="N161" s="14" t="str">
        <f aca="false">IF(B161="","",IF(M161="","시작일 미입력",IF(M161&lt;1,"시작일 이전(확인)",IF(M161=1,"1일째",IF(M161=2,"2일째",IF(M161=3,"3일째",IF(M161&lt;=7,"일주일 이내",IF(M161&lt;=14,"이주일 이내","15일 이후"))))))))</f>
        <v/>
      </c>
      <c r="O161" s="0" t="str">
        <f aca="false">IF(AND(COUNTA($A161:$J161)&gt;0,OR(클레임조회!$C$4="",AND(ISNUMBER($B161),$B161&gt;=클레임조회!$C$4)),OR(클레임조회!$C$5="",AND(ISNUMBER($B161),$B161&lt;=클레임조회!$C$5)),OR(클레임조회!$C$6="",$C161=클레임조회!$C$6),OR(클레임조회!$C$7="",$D161=클레임조회!$C$7),OR(클레임조회!$C$8="",$E161=클레임조회!$C$8),OR(클레임조회!$C$9="",$F161=클레임조회!$C$9),OR(클레임조회!$C$10="",ISNUMBER(SEARCH(클레임조회!$C$10,$C161&amp;" "&amp;$F161&amp;" "&amp;$G161&amp;" "&amp;$H161)))),COUNT(O$1:O160)+1,"")</f>
        <v/>
      </c>
      <c r="P161" s="0" t="str">
        <f aca="false">IF(AND(TRIM(C161)&lt;&gt;"",COUNTIF(C$2:C161,C161)=1),MAX(P$1:P160)+1,"")</f>
        <v/>
      </c>
      <c r="Q161" s="0" t="str">
        <f aca="false">IF(AND(TRIM(F161)&lt;&gt;"",COUNTIF(F$2:F161,F161)=1),MAX(Q$1:Q160)+1,"")</f>
        <v/>
      </c>
    </row>
    <row r="162" customFormat="false" ht="15" hidden="false" customHeight="false" outlineLevel="0" collapsed="false">
      <c r="A162" s="9"/>
      <c r="B162" s="10"/>
      <c r="C162" s="11"/>
      <c r="D162" s="11"/>
      <c r="E162" s="11"/>
      <c r="F162" s="11"/>
      <c r="G162" s="12"/>
      <c r="H162" s="12"/>
      <c r="I162" s="10"/>
      <c r="J162" s="12"/>
      <c r="K162" s="13" t="str">
        <f aca="false">IF(ISNUMBER(B162),YEAR(B162),"")</f>
        <v/>
      </c>
      <c r="L162" s="13" t="str">
        <f aca="false">IF(ISNUMBER(B162),MONTH(B162),"")</f>
        <v/>
      </c>
      <c r="M162" s="13" t="str">
        <f aca="false">IF(AND(ISNUMBER(B162),ISNUMBER(I162)),B162-I162+1,"")</f>
        <v/>
      </c>
      <c r="N162" s="14" t="str">
        <f aca="false">IF(B162="","",IF(M162="","시작일 미입력",IF(M162&lt;1,"시작일 이전(확인)",IF(M162=1,"1일째",IF(M162=2,"2일째",IF(M162=3,"3일째",IF(M162&lt;=7,"일주일 이내",IF(M162&lt;=14,"이주일 이내","15일 이후"))))))))</f>
        <v/>
      </c>
      <c r="O162" s="0" t="str">
        <f aca="false">IF(AND(COUNTA($A162:$J162)&gt;0,OR(클레임조회!$C$4="",AND(ISNUMBER($B162),$B162&gt;=클레임조회!$C$4)),OR(클레임조회!$C$5="",AND(ISNUMBER($B162),$B162&lt;=클레임조회!$C$5)),OR(클레임조회!$C$6="",$C162=클레임조회!$C$6),OR(클레임조회!$C$7="",$D162=클레임조회!$C$7),OR(클레임조회!$C$8="",$E162=클레임조회!$C$8),OR(클레임조회!$C$9="",$F162=클레임조회!$C$9),OR(클레임조회!$C$10="",ISNUMBER(SEARCH(클레임조회!$C$10,$C162&amp;" "&amp;$F162&amp;" "&amp;$G162&amp;" "&amp;$H162)))),COUNT(O$1:O161)+1,"")</f>
        <v/>
      </c>
      <c r="P162" s="0" t="str">
        <f aca="false">IF(AND(TRIM(C162)&lt;&gt;"",COUNTIF(C$2:C162,C162)=1),MAX(P$1:P161)+1,"")</f>
        <v/>
      </c>
      <c r="Q162" s="0" t="str">
        <f aca="false">IF(AND(TRIM(F162)&lt;&gt;"",COUNTIF(F$2:F162,F162)=1),MAX(Q$1:Q161)+1,"")</f>
        <v/>
      </c>
    </row>
    <row r="163" customFormat="false" ht="15" hidden="false" customHeight="false" outlineLevel="0" collapsed="false">
      <c r="A163" s="9"/>
      <c r="B163" s="10"/>
      <c r="C163" s="11"/>
      <c r="D163" s="11"/>
      <c r="E163" s="11"/>
      <c r="F163" s="11"/>
      <c r="G163" s="12"/>
      <c r="H163" s="12"/>
      <c r="I163" s="10"/>
      <c r="J163" s="12"/>
      <c r="K163" s="13" t="str">
        <f aca="false">IF(ISNUMBER(B163),YEAR(B163),"")</f>
        <v/>
      </c>
      <c r="L163" s="13" t="str">
        <f aca="false">IF(ISNUMBER(B163),MONTH(B163),"")</f>
        <v/>
      </c>
      <c r="M163" s="13" t="str">
        <f aca="false">IF(AND(ISNUMBER(B163),ISNUMBER(I163)),B163-I163+1,"")</f>
        <v/>
      </c>
      <c r="N163" s="14" t="str">
        <f aca="false">IF(B163="","",IF(M163="","시작일 미입력",IF(M163&lt;1,"시작일 이전(확인)",IF(M163=1,"1일째",IF(M163=2,"2일째",IF(M163=3,"3일째",IF(M163&lt;=7,"일주일 이내",IF(M163&lt;=14,"이주일 이내","15일 이후"))))))))</f>
        <v/>
      </c>
      <c r="O163" s="0" t="str">
        <f aca="false">IF(AND(COUNTA($A163:$J163)&gt;0,OR(클레임조회!$C$4="",AND(ISNUMBER($B163),$B163&gt;=클레임조회!$C$4)),OR(클레임조회!$C$5="",AND(ISNUMBER($B163),$B163&lt;=클레임조회!$C$5)),OR(클레임조회!$C$6="",$C163=클레임조회!$C$6),OR(클레임조회!$C$7="",$D163=클레임조회!$C$7),OR(클레임조회!$C$8="",$E163=클레임조회!$C$8),OR(클레임조회!$C$9="",$F163=클레임조회!$C$9),OR(클레임조회!$C$10="",ISNUMBER(SEARCH(클레임조회!$C$10,$C163&amp;" "&amp;$F163&amp;" "&amp;$G163&amp;" "&amp;$H163)))),COUNT(O$1:O162)+1,"")</f>
        <v/>
      </c>
      <c r="P163" s="0" t="str">
        <f aca="false">IF(AND(TRIM(C163)&lt;&gt;"",COUNTIF(C$2:C163,C163)=1),MAX(P$1:P162)+1,"")</f>
        <v/>
      </c>
      <c r="Q163" s="0" t="str">
        <f aca="false">IF(AND(TRIM(F163)&lt;&gt;"",COUNTIF(F$2:F163,F163)=1),MAX(Q$1:Q162)+1,"")</f>
        <v/>
      </c>
    </row>
    <row r="164" customFormat="false" ht="15" hidden="false" customHeight="false" outlineLevel="0" collapsed="false">
      <c r="A164" s="9"/>
      <c r="B164" s="10"/>
      <c r="C164" s="11"/>
      <c r="D164" s="11"/>
      <c r="E164" s="11"/>
      <c r="F164" s="11"/>
      <c r="G164" s="12"/>
      <c r="H164" s="12"/>
      <c r="I164" s="10"/>
      <c r="J164" s="12"/>
      <c r="K164" s="13" t="str">
        <f aca="false">IF(ISNUMBER(B164),YEAR(B164),"")</f>
        <v/>
      </c>
      <c r="L164" s="13" t="str">
        <f aca="false">IF(ISNUMBER(B164),MONTH(B164),"")</f>
        <v/>
      </c>
      <c r="M164" s="13" t="str">
        <f aca="false">IF(AND(ISNUMBER(B164),ISNUMBER(I164)),B164-I164+1,"")</f>
        <v/>
      </c>
      <c r="N164" s="14" t="str">
        <f aca="false">IF(B164="","",IF(M164="","시작일 미입력",IF(M164&lt;1,"시작일 이전(확인)",IF(M164=1,"1일째",IF(M164=2,"2일째",IF(M164=3,"3일째",IF(M164&lt;=7,"일주일 이내",IF(M164&lt;=14,"이주일 이내","15일 이후"))))))))</f>
        <v/>
      </c>
      <c r="O164" s="0" t="str">
        <f aca="false">IF(AND(COUNTA($A164:$J164)&gt;0,OR(클레임조회!$C$4="",AND(ISNUMBER($B164),$B164&gt;=클레임조회!$C$4)),OR(클레임조회!$C$5="",AND(ISNUMBER($B164),$B164&lt;=클레임조회!$C$5)),OR(클레임조회!$C$6="",$C164=클레임조회!$C$6),OR(클레임조회!$C$7="",$D164=클레임조회!$C$7),OR(클레임조회!$C$8="",$E164=클레임조회!$C$8),OR(클레임조회!$C$9="",$F164=클레임조회!$C$9),OR(클레임조회!$C$10="",ISNUMBER(SEARCH(클레임조회!$C$10,$C164&amp;" "&amp;$F164&amp;" "&amp;$G164&amp;" "&amp;$H164)))),COUNT(O$1:O163)+1,"")</f>
        <v/>
      </c>
      <c r="P164" s="0" t="str">
        <f aca="false">IF(AND(TRIM(C164)&lt;&gt;"",COUNTIF(C$2:C164,C164)=1),MAX(P$1:P163)+1,"")</f>
        <v/>
      </c>
      <c r="Q164" s="0" t="str">
        <f aca="false">IF(AND(TRIM(F164)&lt;&gt;"",COUNTIF(F$2:F164,F164)=1),MAX(Q$1:Q163)+1,"")</f>
        <v/>
      </c>
    </row>
    <row r="165" customFormat="false" ht="15" hidden="false" customHeight="false" outlineLevel="0" collapsed="false">
      <c r="A165" s="9"/>
      <c r="B165" s="10"/>
      <c r="C165" s="11"/>
      <c r="D165" s="11"/>
      <c r="E165" s="11"/>
      <c r="F165" s="11"/>
      <c r="G165" s="12"/>
      <c r="H165" s="12"/>
      <c r="I165" s="10"/>
      <c r="J165" s="12"/>
      <c r="K165" s="13" t="str">
        <f aca="false">IF(ISNUMBER(B165),YEAR(B165),"")</f>
        <v/>
      </c>
      <c r="L165" s="13" t="str">
        <f aca="false">IF(ISNUMBER(B165),MONTH(B165),"")</f>
        <v/>
      </c>
      <c r="M165" s="13" t="str">
        <f aca="false">IF(AND(ISNUMBER(B165),ISNUMBER(I165)),B165-I165+1,"")</f>
        <v/>
      </c>
      <c r="N165" s="14" t="str">
        <f aca="false">IF(B165="","",IF(M165="","시작일 미입력",IF(M165&lt;1,"시작일 이전(확인)",IF(M165=1,"1일째",IF(M165=2,"2일째",IF(M165=3,"3일째",IF(M165&lt;=7,"일주일 이내",IF(M165&lt;=14,"이주일 이내","15일 이후"))))))))</f>
        <v/>
      </c>
      <c r="O165" s="0" t="str">
        <f aca="false">IF(AND(COUNTA($A165:$J165)&gt;0,OR(클레임조회!$C$4="",AND(ISNUMBER($B165),$B165&gt;=클레임조회!$C$4)),OR(클레임조회!$C$5="",AND(ISNUMBER($B165),$B165&lt;=클레임조회!$C$5)),OR(클레임조회!$C$6="",$C165=클레임조회!$C$6),OR(클레임조회!$C$7="",$D165=클레임조회!$C$7),OR(클레임조회!$C$8="",$E165=클레임조회!$C$8),OR(클레임조회!$C$9="",$F165=클레임조회!$C$9),OR(클레임조회!$C$10="",ISNUMBER(SEARCH(클레임조회!$C$10,$C165&amp;" "&amp;$F165&amp;" "&amp;$G165&amp;" "&amp;$H165)))),COUNT(O$1:O164)+1,"")</f>
        <v/>
      </c>
      <c r="P165" s="0" t="str">
        <f aca="false">IF(AND(TRIM(C165)&lt;&gt;"",COUNTIF(C$2:C165,C165)=1),MAX(P$1:P164)+1,"")</f>
        <v/>
      </c>
      <c r="Q165" s="0" t="str">
        <f aca="false">IF(AND(TRIM(F165)&lt;&gt;"",COUNTIF(F$2:F165,F165)=1),MAX(Q$1:Q164)+1,"")</f>
        <v/>
      </c>
    </row>
    <row r="166" customFormat="false" ht="15" hidden="false" customHeight="false" outlineLevel="0" collapsed="false">
      <c r="A166" s="9"/>
      <c r="B166" s="10"/>
      <c r="C166" s="11"/>
      <c r="D166" s="11"/>
      <c r="E166" s="11"/>
      <c r="F166" s="11"/>
      <c r="G166" s="12"/>
      <c r="H166" s="12"/>
      <c r="I166" s="10"/>
      <c r="J166" s="12"/>
      <c r="K166" s="13" t="str">
        <f aca="false">IF(ISNUMBER(B166),YEAR(B166),"")</f>
        <v/>
      </c>
      <c r="L166" s="13" t="str">
        <f aca="false">IF(ISNUMBER(B166),MONTH(B166),"")</f>
        <v/>
      </c>
      <c r="M166" s="13" t="str">
        <f aca="false">IF(AND(ISNUMBER(B166),ISNUMBER(I166)),B166-I166+1,"")</f>
        <v/>
      </c>
      <c r="N166" s="14" t="str">
        <f aca="false">IF(B166="","",IF(M166="","시작일 미입력",IF(M166&lt;1,"시작일 이전(확인)",IF(M166=1,"1일째",IF(M166=2,"2일째",IF(M166=3,"3일째",IF(M166&lt;=7,"일주일 이내",IF(M166&lt;=14,"이주일 이내","15일 이후"))))))))</f>
        <v/>
      </c>
      <c r="O166" s="0" t="str">
        <f aca="false">IF(AND(COUNTA($A166:$J166)&gt;0,OR(클레임조회!$C$4="",AND(ISNUMBER($B166),$B166&gt;=클레임조회!$C$4)),OR(클레임조회!$C$5="",AND(ISNUMBER($B166),$B166&lt;=클레임조회!$C$5)),OR(클레임조회!$C$6="",$C166=클레임조회!$C$6),OR(클레임조회!$C$7="",$D166=클레임조회!$C$7),OR(클레임조회!$C$8="",$E166=클레임조회!$C$8),OR(클레임조회!$C$9="",$F166=클레임조회!$C$9),OR(클레임조회!$C$10="",ISNUMBER(SEARCH(클레임조회!$C$10,$C166&amp;" "&amp;$F166&amp;" "&amp;$G166&amp;" "&amp;$H166)))),COUNT(O$1:O165)+1,"")</f>
        <v/>
      </c>
      <c r="P166" s="0" t="str">
        <f aca="false">IF(AND(TRIM(C166)&lt;&gt;"",COUNTIF(C$2:C166,C166)=1),MAX(P$1:P165)+1,"")</f>
        <v/>
      </c>
      <c r="Q166" s="0" t="str">
        <f aca="false">IF(AND(TRIM(F166)&lt;&gt;"",COUNTIF(F$2:F166,F166)=1),MAX(Q$1:Q165)+1,"")</f>
        <v/>
      </c>
    </row>
    <row r="167" customFormat="false" ht="15" hidden="false" customHeight="false" outlineLevel="0" collapsed="false">
      <c r="A167" s="9"/>
      <c r="B167" s="10"/>
      <c r="C167" s="11"/>
      <c r="D167" s="11"/>
      <c r="E167" s="11"/>
      <c r="F167" s="11"/>
      <c r="G167" s="12"/>
      <c r="H167" s="12"/>
      <c r="I167" s="10"/>
      <c r="J167" s="12"/>
      <c r="K167" s="13" t="str">
        <f aca="false">IF(ISNUMBER(B167),YEAR(B167),"")</f>
        <v/>
      </c>
      <c r="L167" s="13" t="str">
        <f aca="false">IF(ISNUMBER(B167),MONTH(B167),"")</f>
        <v/>
      </c>
      <c r="M167" s="13" t="str">
        <f aca="false">IF(AND(ISNUMBER(B167),ISNUMBER(I167)),B167-I167+1,"")</f>
        <v/>
      </c>
      <c r="N167" s="14" t="str">
        <f aca="false">IF(B167="","",IF(M167="","시작일 미입력",IF(M167&lt;1,"시작일 이전(확인)",IF(M167=1,"1일째",IF(M167=2,"2일째",IF(M167=3,"3일째",IF(M167&lt;=7,"일주일 이내",IF(M167&lt;=14,"이주일 이내","15일 이후"))))))))</f>
        <v/>
      </c>
      <c r="O167" s="0" t="str">
        <f aca="false">IF(AND(COUNTA($A167:$J167)&gt;0,OR(클레임조회!$C$4="",AND(ISNUMBER($B167),$B167&gt;=클레임조회!$C$4)),OR(클레임조회!$C$5="",AND(ISNUMBER($B167),$B167&lt;=클레임조회!$C$5)),OR(클레임조회!$C$6="",$C167=클레임조회!$C$6),OR(클레임조회!$C$7="",$D167=클레임조회!$C$7),OR(클레임조회!$C$8="",$E167=클레임조회!$C$8),OR(클레임조회!$C$9="",$F167=클레임조회!$C$9),OR(클레임조회!$C$10="",ISNUMBER(SEARCH(클레임조회!$C$10,$C167&amp;" "&amp;$F167&amp;" "&amp;$G167&amp;" "&amp;$H167)))),COUNT(O$1:O166)+1,"")</f>
        <v/>
      </c>
      <c r="P167" s="0" t="str">
        <f aca="false">IF(AND(TRIM(C167)&lt;&gt;"",COUNTIF(C$2:C167,C167)=1),MAX(P$1:P166)+1,"")</f>
        <v/>
      </c>
      <c r="Q167" s="0" t="str">
        <f aca="false">IF(AND(TRIM(F167)&lt;&gt;"",COUNTIF(F$2:F167,F167)=1),MAX(Q$1:Q166)+1,"")</f>
        <v/>
      </c>
    </row>
    <row r="168" customFormat="false" ht="15" hidden="false" customHeight="false" outlineLevel="0" collapsed="false">
      <c r="A168" s="9"/>
      <c r="B168" s="10"/>
      <c r="C168" s="11"/>
      <c r="D168" s="11"/>
      <c r="E168" s="11"/>
      <c r="F168" s="11"/>
      <c r="G168" s="12"/>
      <c r="H168" s="12"/>
      <c r="I168" s="10"/>
      <c r="J168" s="12"/>
      <c r="K168" s="13" t="str">
        <f aca="false">IF(ISNUMBER(B168),YEAR(B168),"")</f>
        <v/>
      </c>
      <c r="L168" s="13" t="str">
        <f aca="false">IF(ISNUMBER(B168),MONTH(B168),"")</f>
        <v/>
      </c>
      <c r="M168" s="13" t="str">
        <f aca="false">IF(AND(ISNUMBER(B168),ISNUMBER(I168)),B168-I168+1,"")</f>
        <v/>
      </c>
      <c r="N168" s="14" t="str">
        <f aca="false">IF(B168="","",IF(M168="","시작일 미입력",IF(M168&lt;1,"시작일 이전(확인)",IF(M168=1,"1일째",IF(M168=2,"2일째",IF(M168=3,"3일째",IF(M168&lt;=7,"일주일 이내",IF(M168&lt;=14,"이주일 이내","15일 이후"))))))))</f>
        <v/>
      </c>
      <c r="O168" s="0" t="str">
        <f aca="false">IF(AND(COUNTA($A168:$J168)&gt;0,OR(클레임조회!$C$4="",AND(ISNUMBER($B168),$B168&gt;=클레임조회!$C$4)),OR(클레임조회!$C$5="",AND(ISNUMBER($B168),$B168&lt;=클레임조회!$C$5)),OR(클레임조회!$C$6="",$C168=클레임조회!$C$6),OR(클레임조회!$C$7="",$D168=클레임조회!$C$7),OR(클레임조회!$C$8="",$E168=클레임조회!$C$8),OR(클레임조회!$C$9="",$F168=클레임조회!$C$9),OR(클레임조회!$C$10="",ISNUMBER(SEARCH(클레임조회!$C$10,$C168&amp;" "&amp;$F168&amp;" "&amp;$G168&amp;" "&amp;$H168)))),COUNT(O$1:O167)+1,"")</f>
        <v/>
      </c>
      <c r="P168" s="0" t="str">
        <f aca="false">IF(AND(TRIM(C168)&lt;&gt;"",COUNTIF(C$2:C168,C168)=1),MAX(P$1:P167)+1,"")</f>
        <v/>
      </c>
      <c r="Q168" s="0" t="str">
        <f aca="false">IF(AND(TRIM(F168)&lt;&gt;"",COUNTIF(F$2:F168,F168)=1),MAX(Q$1:Q167)+1,"")</f>
        <v/>
      </c>
    </row>
    <row r="169" customFormat="false" ht="15" hidden="false" customHeight="false" outlineLevel="0" collapsed="false">
      <c r="A169" s="9"/>
      <c r="B169" s="10"/>
      <c r="C169" s="11"/>
      <c r="D169" s="11"/>
      <c r="E169" s="11"/>
      <c r="F169" s="11"/>
      <c r="G169" s="12"/>
      <c r="H169" s="12"/>
      <c r="I169" s="10"/>
      <c r="J169" s="12"/>
      <c r="K169" s="13" t="str">
        <f aca="false">IF(ISNUMBER(B169),YEAR(B169),"")</f>
        <v/>
      </c>
      <c r="L169" s="13" t="str">
        <f aca="false">IF(ISNUMBER(B169),MONTH(B169),"")</f>
        <v/>
      </c>
      <c r="M169" s="13" t="str">
        <f aca="false">IF(AND(ISNUMBER(B169),ISNUMBER(I169)),B169-I169+1,"")</f>
        <v/>
      </c>
      <c r="N169" s="14" t="str">
        <f aca="false">IF(B169="","",IF(M169="","시작일 미입력",IF(M169&lt;1,"시작일 이전(확인)",IF(M169=1,"1일째",IF(M169=2,"2일째",IF(M169=3,"3일째",IF(M169&lt;=7,"일주일 이내",IF(M169&lt;=14,"이주일 이내","15일 이후"))))))))</f>
        <v/>
      </c>
      <c r="O169" s="0" t="str">
        <f aca="false">IF(AND(COUNTA($A169:$J169)&gt;0,OR(클레임조회!$C$4="",AND(ISNUMBER($B169),$B169&gt;=클레임조회!$C$4)),OR(클레임조회!$C$5="",AND(ISNUMBER($B169),$B169&lt;=클레임조회!$C$5)),OR(클레임조회!$C$6="",$C169=클레임조회!$C$6),OR(클레임조회!$C$7="",$D169=클레임조회!$C$7),OR(클레임조회!$C$8="",$E169=클레임조회!$C$8),OR(클레임조회!$C$9="",$F169=클레임조회!$C$9),OR(클레임조회!$C$10="",ISNUMBER(SEARCH(클레임조회!$C$10,$C169&amp;" "&amp;$F169&amp;" "&amp;$G169&amp;" "&amp;$H169)))),COUNT(O$1:O168)+1,"")</f>
        <v/>
      </c>
      <c r="P169" s="0" t="str">
        <f aca="false">IF(AND(TRIM(C169)&lt;&gt;"",COUNTIF(C$2:C169,C169)=1),MAX(P$1:P168)+1,"")</f>
        <v/>
      </c>
      <c r="Q169" s="0" t="str">
        <f aca="false">IF(AND(TRIM(F169)&lt;&gt;"",COUNTIF(F$2:F169,F169)=1),MAX(Q$1:Q168)+1,"")</f>
        <v/>
      </c>
    </row>
    <row r="170" customFormat="false" ht="15" hidden="false" customHeight="false" outlineLevel="0" collapsed="false">
      <c r="A170" s="9"/>
      <c r="B170" s="10"/>
      <c r="C170" s="11"/>
      <c r="D170" s="11"/>
      <c r="E170" s="11"/>
      <c r="F170" s="11"/>
      <c r="G170" s="12"/>
      <c r="H170" s="12"/>
      <c r="I170" s="10"/>
      <c r="J170" s="12"/>
      <c r="K170" s="13" t="str">
        <f aca="false">IF(ISNUMBER(B170),YEAR(B170),"")</f>
        <v/>
      </c>
      <c r="L170" s="13" t="str">
        <f aca="false">IF(ISNUMBER(B170),MONTH(B170),"")</f>
        <v/>
      </c>
      <c r="M170" s="13" t="str">
        <f aca="false">IF(AND(ISNUMBER(B170),ISNUMBER(I170)),B170-I170+1,"")</f>
        <v/>
      </c>
      <c r="N170" s="14" t="str">
        <f aca="false">IF(B170="","",IF(M170="","시작일 미입력",IF(M170&lt;1,"시작일 이전(확인)",IF(M170=1,"1일째",IF(M170=2,"2일째",IF(M170=3,"3일째",IF(M170&lt;=7,"일주일 이내",IF(M170&lt;=14,"이주일 이내","15일 이후"))))))))</f>
        <v/>
      </c>
      <c r="O170" s="0" t="str">
        <f aca="false">IF(AND(COUNTA($A170:$J170)&gt;0,OR(클레임조회!$C$4="",AND(ISNUMBER($B170),$B170&gt;=클레임조회!$C$4)),OR(클레임조회!$C$5="",AND(ISNUMBER($B170),$B170&lt;=클레임조회!$C$5)),OR(클레임조회!$C$6="",$C170=클레임조회!$C$6),OR(클레임조회!$C$7="",$D170=클레임조회!$C$7),OR(클레임조회!$C$8="",$E170=클레임조회!$C$8),OR(클레임조회!$C$9="",$F170=클레임조회!$C$9),OR(클레임조회!$C$10="",ISNUMBER(SEARCH(클레임조회!$C$10,$C170&amp;" "&amp;$F170&amp;" "&amp;$G170&amp;" "&amp;$H170)))),COUNT(O$1:O169)+1,"")</f>
        <v/>
      </c>
      <c r="P170" s="0" t="str">
        <f aca="false">IF(AND(TRIM(C170)&lt;&gt;"",COUNTIF(C$2:C170,C170)=1),MAX(P$1:P169)+1,"")</f>
        <v/>
      </c>
      <c r="Q170" s="0" t="str">
        <f aca="false">IF(AND(TRIM(F170)&lt;&gt;"",COUNTIF(F$2:F170,F170)=1),MAX(Q$1:Q169)+1,"")</f>
        <v/>
      </c>
    </row>
    <row r="171" customFormat="false" ht="15" hidden="false" customHeight="false" outlineLevel="0" collapsed="false">
      <c r="A171" s="9"/>
      <c r="B171" s="10"/>
      <c r="C171" s="11"/>
      <c r="D171" s="11"/>
      <c r="E171" s="11"/>
      <c r="F171" s="11"/>
      <c r="G171" s="12"/>
      <c r="H171" s="12"/>
      <c r="I171" s="10"/>
      <c r="J171" s="12"/>
      <c r="K171" s="13" t="str">
        <f aca="false">IF(ISNUMBER(B171),YEAR(B171),"")</f>
        <v/>
      </c>
      <c r="L171" s="13" t="str">
        <f aca="false">IF(ISNUMBER(B171),MONTH(B171),"")</f>
        <v/>
      </c>
      <c r="M171" s="13" t="str">
        <f aca="false">IF(AND(ISNUMBER(B171),ISNUMBER(I171)),B171-I171+1,"")</f>
        <v/>
      </c>
      <c r="N171" s="14" t="str">
        <f aca="false">IF(B171="","",IF(M171="","시작일 미입력",IF(M171&lt;1,"시작일 이전(확인)",IF(M171=1,"1일째",IF(M171=2,"2일째",IF(M171=3,"3일째",IF(M171&lt;=7,"일주일 이내",IF(M171&lt;=14,"이주일 이내","15일 이후"))))))))</f>
        <v/>
      </c>
      <c r="O171" s="0" t="str">
        <f aca="false">IF(AND(COUNTA($A171:$J171)&gt;0,OR(클레임조회!$C$4="",AND(ISNUMBER($B171),$B171&gt;=클레임조회!$C$4)),OR(클레임조회!$C$5="",AND(ISNUMBER($B171),$B171&lt;=클레임조회!$C$5)),OR(클레임조회!$C$6="",$C171=클레임조회!$C$6),OR(클레임조회!$C$7="",$D171=클레임조회!$C$7),OR(클레임조회!$C$8="",$E171=클레임조회!$C$8),OR(클레임조회!$C$9="",$F171=클레임조회!$C$9),OR(클레임조회!$C$10="",ISNUMBER(SEARCH(클레임조회!$C$10,$C171&amp;" "&amp;$F171&amp;" "&amp;$G171&amp;" "&amp;$H171)))),COUNT(O$1:O170)+1,"")</f>
        <v/>
      </c>
      <c r="P171" s="0" t="str">
        <f aca="false">IF(AND(TRIM(C171)&lt;&gt;"",COUNTIF(C$2:C171,C171)=1),MAX(P$1:P170)+1,"")</f>
        <v/>
      </c>
      <c r="Q171" s="0" t="str">
        <f aca="false">IF(AND(TRIM(F171)&lt;&gt;"",COUNTIF(F$2:F171,F171)=1),MAX(Q$1:Q170)+1,"")</f>
        <v/>
      </c>
    </row>
    <row r="172" customFormat="false" ht="15" hidden="false" customHeight="false" outlineLevel="0" collapsed="false">
      <c r="A172" s="9"/>
      <c r="B172" s="10"/>
      <c r="C172" s="11"/>
      <c r="D172" s="11"/>
      <c r="E172" s="11"/>
      <c r="F172" s="11"/>
      <c r="G172" s="12"/>
      <c r="H172" s="12"/>
      <c r="I172" s="10"/>
      <c r="J172" s="12"/>
      <c r="K172" s="13" t="str">
        <f aca="false">IF(ISNUMBER(B172),YEAR(B172),"")</f>
        <v/>
      </c>
      <c r="L172" s="13" t="str">
        <f aca="false">IF(ISNUMBER(B172),MONTH(B172),"")</f>
        <v/>
      </c>
      <c r="M172" s="13" t="str">
        <f aca="false">IF(AND(ISNUMBER(B172),ISNUMBER(I172)),B172-I172+1,"")</f>
        <v/>
      </c>
      <c r="N172" s="14" t="str">
        <f aca="false">IF(B172="","",IF(M172="","시작일 미입력",IF(M172&lt;1,"시작일 이전(확인)",IF(M172=1,"1일째",IF(M172=2,"2일째",IF(M172=3,"3일째",IF(M172&lt;=7,"일주일 이내",IF(M172&lt;=14,"이주일 이내","15일 이후"))))))))</f>
        <v/>
      </c>
      <c r="O172" s="0" t="str">
        <f aca="false">IF(AND(COUNTA($A172:$J172)&gt;0,OR(클레임조회!$C$4="",AND(ISNUMBER($B172),$B172&gt;=클레임조회!$C$4)),OR(클레임조회!$C$5="",AND(ISNUMBER($B172),$B172&lt;=클레임조회!$C$5)),OR(클레임조회!$C$6="",$C172=클레임조회!$C$6),OR(클레임조회!$C$7="",$D172=클레임조회!$C$7),OR(클레임조회!$C$8="",$E172=클레임조회!$C$8),OR(클레임조회!$C$9="",$F172=클레임조회!$C$9),OR(클레임조회!$C$10="",ISNUMBER(SEARCH(클레임조회!$C$10,$C172&amp;" "&amp;$F172&amp;" "&amp;$G172&amp;" "&amp;$H172)))),COUNT(O$1:O171)+1,"")</f>
        <v/>
      </c>
      <c r="P172" s="0" t="str">
        <f aca="false">IF(AND(TRIM(C172)&lt;&gt;"",COUNTIF(C$2:C172,C172)=1),MAX(P$1:P171)+1,"")</f>
        <v/>
      </c>
      <c r="Q172" s="0" t="str">
        <f aca="false">IF(AND(TRIM(F172)&lt;&gt;"",COUNTIF(F$2:F172,F172)=1),MAX(Q$1:Q171)+1,"")</f>
        <v/>
      </c>
    </row>
    <row r="173" customFormat="false" ht="15" hidden="false" customHeight="false" outlineLevel="0" collapsed="false">
      <c r="A173" s="9"/>
      <c r="B173" s="10"/>
      <c r="C173" s="11"/>
      <c r="D173" s="11"/>
      <c r="E173" s="11"/>
      <c r="F173" s="11"/>
      <c r="G173" s="12"/>
      <c r="H173" s="12"/>
      <c r="I173" s="10"/>
      <c r="J173" s="12"/>
      <c r="K173" s="13" t="str">
        <f aca="false">IF(ISNUMBER(B173),YEAR(B173),"")</f>
        <v/>
      </c>
      <c r="L173" s="13" t="str">
        <f aca="false">IF(ISNUMBER(B173),MONTH(B173),"")</f>
        <v/>
      </c>
      <c r="M173" s="13" t="str">
        <f aca="false">IF(AND(ISNUMBER(B173),ISNUMBER(I173)),B173-I173+1,"")</f>
        <v/>
      </c>
      <c r="N173" s="14" t="str">
        <f aca="false">IF(B173="","",IF(M173="","시작일 미입력",IF(M173&lt;1,"시작일 이전(확인)",IF(M173=1,"1일째",IF(M173=2,"2일째",IF(M173=3,"3일째",IF(M173&lt;=7,"일주일 이내",IF(M173&lt;=14,"이주일 이내","15일 이후"))))))))</f>
        <v/>
      </c>
      <c r="O173" s="0" t="str">
        <f aca="false">IF(AND(COUNTA($A173:$J173)&gt;0,OR(클레임조회!$C$4="",AND(ISNUMBER($B173),$B173&gt;=클레임조회!$C$4)),OR(클레임조회!$C$5="",AND(ISNUMBER($B173),$B173&lt;=클레임조회!$C$5)),OR(클레임조회!$C$6="",$C173=클레임조회!$C$6),OR(클레임조회!$C$7="",$D173=클레임조회!$C$7),OR(클레임조회!$C$8="",$E173=클레임조회!$C$8),OR(클레임조회!$C$9="",$F173=클레임조회!$C$9),OR(클레임조회!$C$10="",ISNUMBER(SEARCH(클레임조회!$C$10,$C173&amp;" "&amp;$F173&amp;" "&amp;$G173&amp;" "&amp;$H173)))),COUNT(O$1:O172)+1,"")</f>
        <v/>
      </c>
      <c r="P173" s="0" t="str">
        <f aca="false">IF(AND(TRIM(C173)&lt;&gt;"",COUNTIF(C$2:C173,C173)=1),MAX(P$1:P172)+1,"")</f>
        <v/>
      </c>
      <c r="Q173" s="0" t="str">
        <f aca="false">IF(AND(TRIM(F173)&lt;&gt;"",COUNTIF(F$2:F173,F173)=1),MAX(Q$1:Q172)+1,"")</f>
        <v/>
      </c>
    </row>
    <row r="174" customFormat="false" ht="15" hidden="false" customHeight="false" outlineLevel="0" collapsed="false">
      <c r="A174" s="9"/>
      <c r="B174" s="10"/>
      <c r="C174" s="11"/>
      <c r="D174" s="11"/>
      <c r="E174" s="11"/>
      <c r="F174" s="11"/>
      <c r="G174" s="12"/>
      <c r="H174" s="12"/>
      <c r="I174" s="10"/>
      <c r="J174" s="12"/>
      <c r="K174" s="13" t="str">
        <f aca="false">IF(ISNUMBER(B174),YEAR(B174),"")</f>
        <v/>
      </c>
      <c r="L174" s="13" t="str">
        <f aca="false">IF(ISNUMBER(B174),MONTH(B174),"")</f>
        <v/>
      </c>
      <c r="M174" s="13" t="str">
        <f aca="false">IF(AND(ISNUMBER(B174),ISNUMBER(I174)),B174-I174+1,"")</f>
        <v/>
      </c>
      <c r="N174" s="14" t="str">
        <f aca="false">IF(B174="","",IF(M174="","시작일 미입력",IF(M174&lt;1,"시작일 이전(확인)",IF(M174=1,"1일째",IF(M174=2,"2일째",IF(M174=3,"3일째",IF(M174&lt;=7,"일주일 이내",IF(M174&lt;=14,"이주일 이내","15일 이후"))))))))</f>
        <v/>
      </c>
      <c r="O174" s="0" t="str">
        <f aca="false">IF(AND(COUNTA($A174:$J174)&gt;0,OR(클레임조회!$C$4="",AND(ISNUMBER($B174),$B174&gt;=클레임조회!$C$4)),OR(클레임조회!$C$5="",AND(ISNUMBER($B174),$B174&lt;=클레임조회!$C$5)),OR(클레임조회!$C$6="",$C174=클레임조회!$C$6),OR(클레임조회!$C$7="",$D174=클레임조회!$C$7),OR(클레임조회!$C$8="",$E174=클레임조회!$C$8),OR(클레임조회!$C$9="",$F174=클레임조회!$C$9),OR(클레임조회!$C$10="",ISNUMBER(SEARCH(클레임조회!$C$10,$C174&amp;" "&amp;$F174&amp;" "&amp;$G174&amp;" "&amp;$H174)))),COUNT(O$1:O173)+1,"")</f>
        <v/>
      </c>
      <c r="P174" s="0" t="str">
        <f aca="false">IF(AND(TRIM(C174)&lt;&gt;"",COUNTIF(C$2:C174,C174)=1),MAX(P$1:P173)+1,"")</f>
        <v/>
      </c>
      <c r="Q174" s="0" t="str">
        <f aca="false">IF(AND(TRIM(F174)&lt;&gt;"",COUNTIF(F$2:F174,F174)=1),MAX(Q$1:Q173)+1,"")</f>
        <v/>
      </c>
    </row>
    <row r="175" customFormat="false" ht="15" hidden="false" customHeight="false" outlineLevel="0" collapsed="false">
      <c r="A175" s="9"/>
      <c r="B175" s="10"/>
      <c r="C175" s="11"/>
      <c r="D175" s="11"/>
      <c r="E175" s="11"/>
      <c r="F175" s="11"/>
      <c r="G175" s="12"/>
      <c r="H175" s="12"/>
      <c r="I175" s="10"/>
      <c r="J175" s="12"/>
      <c r="K175" s="13" t="str">
        <f aca="false">IF(ISNUMBER(B175),YEAR(B175),"")</f>
        <v/>
      </c>
      <c r="L175" s="13" t="str">
        <f aca="false">IF(ISNUMBER(B175),MONTH(B175),"")</f>
        <v/>
      </c>
      <c r="M175" s="13" t="str">
        <f aca="false">IF(AND(ISNUMBER(B175),ISNUMBER(I175)),B175-I175+1,"")</f>
        <v/>
      </c>
      <c r="N175" s="14" t="str">
        <f aca="false">IF(B175="","",IF(M175="","시작일 미입력",IF(M175&lt;1,"시작일 이전(확인)",IF(M175=1,"1일째",IF(M175=2,"2일째",IF(M175=3,"3일째",IF(M175&lt;=7,"일주일 이내",IF(M175&lt;=14,"이주일 이내","15일 이후"))))))))</f>
        <v/>
      </c>
      <c r="O175" s="0" t="str">
        <f aca="false">IF(AND(COUNTA($A175:$J175)&gt;0,OR(클레임조회!$C$4="",AND(ISNUMBER($B175),$B175&gt;=클레임조회!$C$4)),OR(클레임조회!$C$5="",AND(ISNUMBER($B175),$B175&lt;=클레임조회!$C$5)),OR(클레임조회!$C$6="",$C175=클레임조회!$C$6),OR(클레임조회!$C$7="",$D175=클레임조회!$C$7),OR(클레임조회!$C$8="",$E175=클레임조회!$C$8),OR(클레임조회!$C$9="",$F175=클레임조회!$C$9),OR(클레임조회!$C$10="",ISNUMBER(SEARCH(클레임조회!$C$10,$C175&amp;" "&amp;$F175&amp;" "&amp;$G175&amp;" "&amp;$H175)))),COUNT(O$1:O174)+1,"")</f>
        <v/>
      </c>
      <c r="P175" s="0" t="str">
        <f aca="false">IF(AND(TRIM(C175)&lt;&gt;"",COUNTIF(C$2:C175,C175)=1),MAX(P$1:P174)+1,"")</f>
        <v/>
      </c>
      <c r="Q175" s="0" t="str">
        <f aca="false">IF(AND(TRIM(F175)&lt;&gt;"",COUNTIF(F$2:F175,F175)=1),MAX(Q$1:Q174)+1,"")</f>
        <v/>
      </c>
    </row>
    <row r="176" customFormat="false" ht="15" hidden="false" customHeight="false" outlineLevel="0" collapsed="false">
      <c r="A176" s="9"/>
      <c r="B176" s="10"/>
      <c r="C176" s="11"/>
      <c r="D176" s="11"/>
      <c r="E176" s="11"/>
      <c r="F176" s="11"/>
      <c r="G176" s="12"/>
      <c r="H176" s="12"/>
      <c r="I176" s="10"/>
      <c r="J176" s="12"/>
      <c r="K176" s="13" t="str">
        <f aca="false">IF(ISNUMBER(B176),YEAR(B176),"")</f>
        <v/>
      </c>
      <c r="L176" s="13" t="str">
        <f aca="false">IF(ISNUMBER(B176),MONTH(B176),"")</f>
        <v/>
      </c>
      <c r="M176" s="13" t="str">
        <f aca="false">IF(AND(ISNUMBER(B176),ISNUMBER(I176)),B176-I176+1,"")</f>
        <v/>
      </c>
      <c r="N176" s="14" t="str">
        <f aca="false">IF(B176="","",IF(M176="","시작일 미입력",IF(M176&lt;1,"시작일 이전(확인)",IF(M176=1,"1일째",IF(M176=2,"2일째",IF(M176=3,"3일째",IF(M176&lt;=7,"일주일 이내",IF(M176&lt;=14,"이주일 이내","15일 이후"))))))))</f>
        <v/>
      </c>
      <c r="O176" s="0" t="str">
        <f aca="false">IF(AND(COUNTA($A176:$J176)&gt;0,OR(클레임조회!$C$4="",AND(ISNUMBER($B176),$B176&gt;=클레임조회!$C$4)),OR(클레임조회!$C$5="",AND(ISNUMBER($B176),$B176&lt;=클레임조회!$C$5)),OR(클레임조회!$C$6="",$C176=클레임조회!$C$6),OR(클레임조회!$C$7="",$D176=클레임조회!$C$7),OR(클레임조회!$C$8="",$E176=클레임조회!$C$8),OR(클레임조회!$C$9="",$F176=클레임조회!$C$9),OR(클레임조회!$C$10="",ISNUMBER(SEARCH(클레임조회!$C$10,$C176&amp;" "&amp;$F176&amp;" "&amp;$G176&amp;" "&amp;$H176)))),COUNT(O$1:O175)+1,"")</f>
        <v/>
      </c>
      <c r="P176" s="0" t="str">
        <f aca="false">IF(AND(TRIM(C176)&lt;&gt;"",COUNTIF(C$2:C176,C176)=1),MAX(P$1:P175)+1,"")</f>
        <v/>
      </c>
      <c r="Q176" s="0" t="str">
        <f aca="false">IF(AND(TRIM(F176)&lt;&gt;"",COUNTIF(F$2:F176,F176)=1),MAX(Q$1:Q175)+1,"")</f>
        <v/>
      </c>
    </row>
    <row r="177" customFormat="false" ht="15" hidden="false" customHeight="false" outlineLevel="0" collapsed="false">
      <c r="A177" s="9"/>
      <c r="B177" s="10"/>
      <c r="C177" s="11"/>
      <c r="D177" s="11"/>
      <c r="E177" s="11"/>
      <c r="F177" s="11"/>
      <c r="G177" s="12"/>
      <c r="H177" s="12"/>
      <c r="I177" s="10"/>
      <c r="J177" s="12"/>
      <c r="K177" s="13" t="str">
        <f aca="false">IF(ISNUMBER(B177),YEAR(B177),"")</f>
        <v/>
      </c>
      <c r="L177" s="13" t="str">
        <f aca="false">IF(ISNUMBER(B177),MONTH(B177),"")</f>
        <v/>
      </c>
      <c r="M177" s="13" t="str">
        <f aca="false">IF(AND(ISNUMBER(B177),ISNUMBER(I177)),B177-I177+1,"")</f>
        <v/>
      </c>
      <c r="N177" s="14" t="str">
        <f aca="false">IF(B177="","",IF(M177="","시작일 미입력",IF(M177&lt;1,"시작일 이전(확인)",IF(M177=1,"1일째",IF(M177=2,"2일째",IF(M177=3,"3일째",IF(M177&lt;=7,"일주일 이내",IF(M177&lt;=14,"이주일 이내","15일 이후"))))))))</f>
        <v/>
      </c>
      <c r="O177" s="0" t="str">
        <f aca="false">IF(AND(COUNTA($A177:$J177)&gt;0,OR(클레임조회!$C$4="",AND(ISNUMBER($B177),$B177&gt;=클레임조회!$C$4)),OR(클레임조회!$C$5="",AND(ISNUMBER($B177),$B177&lt;=클레임조회!$C$5)),OR(클레임조회!$C$6="",$C177=클레임조회!$C$6),OR(클레임조회!$C$7="",$D177=클레임조회!$C$7),OR(클레임조회!$C$8="",$E177=클레임조회!$C$8),OR(클레임조회!$C$9="",$F177=클레임조회!$C$9),OR(클레임조회!$C$10="",ISNUMBER(SEARCH(클레임조회!$C$10,$C177&amp;" "&amp;$F177&amp;" "&amp;$G177&amp;" "&amp;$H177)))),COUNT(O$1:O176)+1,"")</f>
        <v/>
      </c>
      <c r="P177" s="0" t="str">
        <f aca="false">IF(AND(TRIM(C177)&lt;&gt;"",COUNTIF(C$2:C177,C177)=1),MAX(P$1:P176)+1,"")</f>
        <v/>
      </c>
      <c r="Q177" s="0" t="str">
        <f aca="false">IF(AND(TRIM(F177)&lt;&gt;"",COUNTIF(F$2:F177,F177)=1),MAX(Q$1:Q176)+1,"")</f>
        <v/>
      </c>
    </row>
    <row r="178" customFormat="false" ht="15" hidden="false" customHeight="false" outlineLevel="0" collapsed="false">
      <c r="A178" s="9"/>
      <c r="B178" s="10"/>
      <c r="C178" s="11"/>
      <c r="D178" s="11"/>
      <c r="E178" s="11"/>
      <c r="F178" s="11"/>
      <c r="G178" s="12"/>
      <c r="H178" s="12"/>
      <c r="I178" s="10"/>
      <c r="J178" s="12"/>
      <c r="K178" s="13" t="str">
        <f aca="false">IF(ISNUMBER(B178),YEAR(B178),"")</f>
        <v/>
      </c>
      <c r="L178" s="13" t="str">
        <f aca="false">IF(ISNUMBER(B178),MONTH(B178),"")</f>
        <v/>
      </c>
      <c r="M178" s="13" t="str">
        <f aca="false">IF(AND(ISNUMBER(B178),ISNUMBER(I178)),B178-I178+1,"")</f>
        <v/>
      </c>
      <c r="N178" s="14" t="str">
        <f aca="false">IF(B178="","",IF(M178="","시작일 미입력",IF(M178&lt;1,"시작일 이전(확인)",IF(M178=1,"1일째",IF(M178=2,"2일째",IF(M178=3,"3일째",IF(M178&lt;=7,"일주일 이내",IF(M178&lt;=14,"이주일 이내","15일 이후"))))))))</f>
        <v/>
      </c>
      <c r="O178" s="0" t="str">
        <f aca="false">IF(AND(COUNTA($A178:$J178)&gt;0,OR(클레임조회!$C$4="",AND(ISNUMBER($B178),$B178&gt;=클레임조회!$C$4)),OR(클레임조회!$C$5="",AND(ISNUMBER($B178),$B178&lt;=클레임조회!$C$5)),OR(클레임조회!$C$6="",$C178=클레임조회!$C$6),OR(클레임조회!$C$7="",$D178=클레임조회!$C$7),OR(클레임조회!$C$8="",$E178=클레임조회!$C$8),OR(클레임조회!$C$9="",$F178=클레임조회!$C$9),OR(클레임조회!$C$10="",ISNUMBER(SEARCH(클레임조회!$C$10,$C178&amp;" "&amp;$F178&amp;" "&amp;$G178&amp;" "&amp;$H178)))),COUNT(O$1:O177)+1,"")</f>
        <v/>
      </c>
      <c r="P178" s="0" t="str">
        <f aca="false">IF(AND(TRIM(C178)&lt;&gt;"",COUNTIF(C$2:C178,C178)=1),MAX(P$1:P177)+1,"")</f>
        <v/>
      </c>
      <c r="Q178" s="0" t="str">
        <f aca="false">IF(AND(TRIM(F178)&lt;&gt;"",COUNTIF(F$2:F178,F178)=1),MAX(Q$1:Q177)+1,"")</f>
        <v/>
      </c>
    </row>
    <row r="179" customFormat="false" ht="15" hidden="false" customHeight="false" outlineLevel="0" collapsed="false">
      <c r="A179" s="9"/>
      <c r="B179" s="10"/>
      <c r="C179" s="11"/>
      <c r="D179" s="11"/>
      <c r="E179" s="11"/>
      <c r="F179" s="11"/>
      <c r="G179" s="12"/>
      <c r="H179" s="12"/>
      <c r="I179" s="10"/>
      <c r="J179" s="12"/>
      <c r="K179" s="13" t="str">
        <f aca="false">IF(ISNUMBER(B179),YEAR(B179),"")</f>
        <v/>
      </c>
      <c r="L179" s="13" t="str">
        <f aca="false">IF(ISNUMBER(B179),MONTH(B179),"")</f>
        <v/>
      </c>
      <c r="M179" s="13" t="str">
        <f aca="false">IF(AND(ISNUMBER(B179),ISNUMBER(I179)),B179-I179+1,"")</f>
        <v/>
      </c>
      <c r="N179" s="14" t="str">
        <f aca="false">IF(B179="","",IF(M179="","시작일 미입력",IF(M179&lt;1,"시작일 이전(확인)",IF(M179=1,"1일째",IF(M179=2,"2일째",IF(M179=3,"3일째",IF(M179&lt;=7,"일주일 이내",IF(M179&lt;=14,"이주일 이내","15일 이후"))))))))</f>
        <v/>
      </c>
      <c r="O179" s="0" t="str">
        <f aca="false">IF(AND(COUNTA($A179:$J179)&gt;0,OR(클레임조회!$C$4="",AND(ISNUMBER($B179),$B179&gt;=클레임조회!$C$4)),OR(클레임조회!$C$5="",AND(ISNUMBER($B179),$B179&lt;=클레임조회!$C$5)),OR(클레임조회!$C$6="",$C179=클레임조회!$C$6),OR(클레임조회!$C$7="",$D179=클레임조회!$C$7),OR(클레임조회!$C$8="",$E179=클레임조회!$C$8),OR(클레임조회!$C$9="",$F179=클레임조회!$C$9),OR(클레임조회!$C$10="",ISNUMBER(SEARCH(클레임조회!$C$10,$C179&amp;" "&amp;$F179&amp;" "&amp;$G179&amp;" "&amp;$H179)))),COUNT(O$1:O178)+1,"")</f>
        <v/>
      </c>
      <c r="P179" s="0" t="str">
        <f aca="false">IF(AND(TRIM(C179)&lt;&gt;"",COUNTIF(C$2:C179,C179)=1),MAX(P$1:P178)+1,"")</f>
        <v/>
      </c>
      <c r="Q179" s="0" t="str">
        <f aca="false">IF(AND(TRIM(F179)&lt;&gt;"",COUNTIF(F$2:F179,F179)=1),MAX(Q$1:Q178)+1,"")</f>
        <v/>
      </c>
    </row>
    <row r="180" customFormat="false" ht="15" hidden="false" customHeight="false" outlineLevel="0" collapsed="false">
      <c r="A180" s="9"/>
      <c r="B180" s="10"/>
      <c r="C180" s="11"/>
      <c r="D180" s="11"/>
      <c r="E180" s="11"/>
      <c r="F180" s="11"/>
      <c r="G180" s="12"/>
      <c r="H180" s="12"/>
      <c r="I180" s="10"/>
      <c r="J180" s="12"/>
      <c r="K180" s="13" t="str">
        <f aca="false">IF(ISNUMBER(B180),YEAR(B180),"")</f>
        <v/>
      </c>
      <c r="L180" s="13" t="str">
        <f aca="false">IF(ISNUMBER(B180),MONTH(B180),"")</f>
        <v/>
      </c>
      <c r="M180" s="13" t="str">
        <f aca="false">IF(AND(ISNUMBER(B180),ISNUMBER(I180)),B180-I180+1,"")</f>
        <v/>
      </c>
      <c r="N180" s="14" t="str">
        <f aca="false">IF(B180="","",IF(M180="","시작일 미입력",IF(M180&lt;1,"시작일 이전(확인)",IF(M180=1,"1일째",IF(M180=2,"2일째",IF(M180=3,"3일째",IF(M180&lt;=7,"일주일 이내",IF(M180&lt;=14,"이주일 이내","15일 이후"))))))))</f>
        <v/>
      </c>
      <c r="O180" s="0" t="str">
        <f aca="false">IF(AND(COUNTA($A180:$J180)&gt;0,OR(클레임조회!$C$4="",AND(ISNUMBER($B180),$B180&gt;=클레임조회!$C$4)),OR(클레임조회!$C$5="",AND(ISNUMBER($B180),$B180&lt;=클레임조회!$C$5)),OR(클레임조회!$C$6="",$C180=클레임조회!$C$6),OR(클레임조회!$C$7="",$D180=클레임조회!$C$7),OR(클레임조회!$C$8="",$E180=클레임조회!$C$8),OR(클레임조회!$C$9="",$F180=클레임조회!$C$9),OR(클레임조회!$C$10="",ISNUMBER(SEARCH(클레임조회!$C$10,$C180&amp;" "&amp;$F180&amp;" "&amp;$G180&amp;" "&amp;$H180)))),COUNT(O$1:O179)+1,"")</f>
        <v/>
      </c>
      <c r="P180" s="0" t="str">
        <f aca="false">IF(AND(TRIM(C180)&lt;&gt;"",COUNTIF(C$2:C180,C180)=1),MAX(P$1:P179)+1,"")</f>
        <v/>
      </c>
      <c r="Q180" s="0" t="str">
        <f aca="false">IF(AND(TRIM(F180)&lt;&gt;"",COUNTIF(F$2:F180,F180)=1),MAX(Q$1:Q179)+1,"")</f>
        <v/>
      </c>
    </row>
    <row r="181" customFormat="false" ht="15" hidden="false" customHeight="false" outlineLevel="0" collapsed="false">
      <c r="A181" s="9"/>
      <c r="B181" s="10"/>
      <c r="C181" s="11"/>
      <c r="D181" s="11"/>
      <c r="E181" s="11"/>
      <c r="F181" s="11"/>
      <c r="G181" s="12"/>
      <c r="H181" s="12"/>
      <c r="I181" s="10"/>
      <c r="J181" s="12"/>
      <c r="K181" s="13" t="str">
        <f aca="false">IF(ISNUMBER(B181),YEAR(B181),"")</f>
        <v/>
      </c>
      <c r="L181" s="13" t="str">
        <f aca="false">IF(ISNUMBER(B181),MONTH(B181),"")</f>
        <v/>
      </c>
      <c r="M181" s="13" t="str">
        <f aca="false">IF(AND(ISNUMBER(B181),ISNUMBER(I181)),B181-I181+1,"")</f>
        <v/>
      </c>
      <c r="N181" s="14" t="str">
        <f aca="false">IF(B181="","",IF(M181="","시작일 미입력",IF(M181&lt;1,"시작일 이전(확인)",IF(M181=1,"1일째",IF(M181=2,"2일째",IF(M181=3,"3일째",IF(M181&lt;=7,"일주일 이내",IF(M181&lt;=14,"이주일 이내","15일 이후"))))))))</f>
        <v/>
      </c>
      <c r="O181" s="0" t="str">
        <f aca="false">IF(AND(COUNTA($A181:$J181)&gt;0,OR(클레임조회!$C$4="",AND(ISNUMBER($B181),$B181&gt;=클레임조회!$C$4)),OR(클레임조회!$C$5="",AND(ISNUMBER($B181),$B181&lt;=클레임조회!$C$5)),OR(클레임조회!$C$6="",$C181=클레임조회!$C$6),OR(클레임조회!$C$7="",$D181=클레임조회!$C$7),OR(클레임조회!$C$8="",$E181=클레임조회!$C$8),OR(클레임조회!$C$9="",$F181=클레임조회!$C$9),OR(클레임조회!$C$10="",ISNUMBER(SEARCH(클레임조회!$C$10,$C181&amp;" "&amp;$F181&amp;" "&amp;$G181&amp;" "&amp;$H181)))),COUNT(O$1:O180)+1,"")</f>
        <v/>
      </c>
      <c r="P181" s="0" t="str">
        <f aca="false">IF(AND(TRIM(C181)&lt;&gt;"",COUNTIF(C$2:C181,C181)=1),MAX(P$1:P180)+1,"")</f>
        <v/>
      </c>
      <c r="Q181" s="0" t="str">
        <f aca="false">IF(AND(TRIM(F181)&lt;&gt;"",COUNTIF(F$2:F181,F181)=1),MAX(Q$1:Q180)+1,"")</f>
        <v/>
      </c>
    </row>
    <row r="182" customFormat="false" ht="15" hidden="false" customHeight="false" outlineLevel="0" collapsed="false">
      <c r="A182" s="9"/>
      <c r="B182" s="10"/>
      <c r="C182" s="11"/>
      <c r="D182" s="11"/>
      <c r="E182" s="11"/>
      <c r="F182" s="11"/>
      <c r="G182" s="12"/>
      <c r="H182" s="12"/>
      <c r="I182" s="10"/>
      <c r="J182" s="12"/>
      <c r="K182" s="13" t="str">
        <f aca="false">IF(ISNUMBER(B182),YEAR(B182),"")</f>
        <v/>
      </c>
      <c r="L182" s="13" t="str">
        <f aca="false">IF(ISNUMBER(B182),MONTH(B182),"")</f>
        <v/>
      </c>
      <c r="M182" s="13" t="str">
        <f aca="false">IF(AND(ISNUMBER(B182),ISNUMBER(I182)),B182-I182+1,"")</f>
        <v/>
      </c>
      <c r="N182" s="14" t="str">
        <f aca="false">IF(B182="","",IF(M182="","시작일 미입력",IF(M182&lt;1,"시작일 이전(확인)",IF(M182=1,"1일째",IF(M182=2,"2일째",IF(M182=3,"3일째",IF(M182&lt;=7,"일주일 이내",IF(M182&lt;=14,"이주일 이내","15일 이후"))))))))</f>
        <v/>
      </c>
      <c r="O182" s="0" t="str">
        <f aca="false">IF(AND(COUNTA($A182:$J182)&gt;0,OR(클레임조회!$C$4="",AND(ISNUMBER($B182),$B182&gt;=클레임조회!$C$4)),OR(클레임조회!$C$5="",AND(ISNUMBER($B182),$B182&lt;=클레임조회!$C$5)),OR(클레임조회!$C$6="",$C182=클레임조회!$C$6),OR(클레임조회!$C$7="",$D182=클레임조회!$C$7),OR(클레임조회!$C$8="",$E182=클레임조회!$C$8),OR(클레임조회!$C$9="",$F182=클레임조회!$C$9),OR(클레임조회!$C$10="",ISNUMBER(SEARCH(클레임조회!$C$10,$C182&amp;" "&amp;$F182&amp;" "&amp;$G182&amp;" "&amp;$H182)))),COUNT(O$1:O181)+1,"")</f>
        <v/>
      </c>
      <c r="P182" s="0" t="str">
        <f aca="false">IF(AND(TRIM(C182)&lt;&gt;"",COUNTIF(C$2:C182,C182)=1),MAX(P$1:P181)+1,"")</f>
        <v/>
      </c>
      <c r="Q182" s="0" t="str">
        <f aca="false">IF(AND(TRIM(F182)&lt;&gt;"",COUNTIF(F$2:F182,F182)=1),MAX(Q$1:Q181)+1,"")</f>
        <v/>
      </c>
    </row>
    <row r="183" customFormat="false" ht="15" hidden="false" customHeight="false" outlineLevel="0" collapsed="false">
      <c r="A183" s="9"/>
      <c r="B183" s="10"/>
      <c r="C183" s="11"/>
      <c r="D183" s="11"/>
      <c r="E183" s="11"/>
      <c r="F183" s="11"/>
      <c r="G183" s="12"/>
      <c r="H183" s="12"/>
      <c r="I183" s="10"/>
      <c r="J183" s="12"/>
      <c r="K183" s="13" t="str">
        <f aca="false">IF(ISNUMBER(B183),YEAR(B183),"")</f>
        <v/>
      </c>
      <c r="L183" s="13" t="str">
        <f aca="false">IF(ISNUMBER(B183),MONTH(B183),"")</f>
        <v/>
      </c>
      <c r="M183" s="13" t="str">
        <f aca="false">IF(AND(ISNUMBER(B183),ISNUMBER(I183)),B183-I183+1,"")</f>
        <v/>
      </c>
      <c r="N183" s="14" t="str">
        <f aca="false">IF(B183="","",IF(M183="","시작일 미입력",IF(M183&lt;1,"시작일 이전(확인)",IF(M183=1,"1일째",IF(M183=2,"2일째",IF(M183=3,"3일째",IF(M183&lt;=7,"일주일 이내",IF(M183&lt;=14,"이주일 이내","15일 이후"))))))))</f>
        <v/>
      </c>
      <c r="O183" s="0" t="str">
        <f aca="false">IF(AND(COUNTA($A183:$J183)&gt;0,OR(클레임조회!$C$4="",AND(ISNUMBER($B183),$B183&gt;=클레임조회!$C$4)),OR(클레임조회!$C$5="",AND(ISNUMBER($B183),$B183&lt;=클레임조회!$C$5)),OR(클레임조회!$C$6="",$C183=클레임조회!$C$6),OR(클레임조회!$C$7="",$D183=클레임조회!$C$7),OR(클레임조회!$C$8="",$E183=클레임조회!$C$8),OR(클레임조회!$C$9="",$F183=클레임조회!$C$9),OR(클레임조회!$C$10="",ISNUMBER(SEARCH(클레임조회!$C$10,$C183&amp;" "&amp;$F183&amp;" "&amp;$G183&amp;" "&amp;$H183)))),COUNT(O$1:O182)+1,"")</f>
        <v/>
      </c>
      <c r="P183" s="0" t="str">
        <f aca="false">IF(AND(TRIM(C183)&lt;&gt;"",COUNTIF(C$2:C183,C183)=1),MAX(P$1:P182)+1,"")</f>
        <v/>
      </c>
      <c r="Q183" s="0" t="str">
        <f aca="false">IF(AND(TRIM(F183)&lt;&gt;"",COUNTIF(F$2:F183,F183)=1),MAX(Q$1:Q182)+1,"")</f>
        <v/>
      </c>
    </row>
    <row r="184" customFormat="false" ht="15" hidden="false" customHeight="false" outlineLevel="0" collapsed="false">
      <c r="A184" s="9"/>
      <c r="B184" s="10"/>
      <c r="C184" s="11"/>
      <c r="D184" s="11"/>
      <c r="E184" s="11"/>
      <c r="F184" s="11"/>
      <c r="G184" s="12"/>
      <c r="H184" s="12"/>
      <c r="I184" s="10"/>
      <c r="J184" s="12"/>
      <c r="K184" s="13" t="str">
        <f aca="false">IF(ISNUMBER(B184),YEAR(B184),"")</f>
        <v/>
      </c>
      <c r="L184" s="13" t="str">
        <f aca="false">IF(ISNUMBER(B184),MONTH(B184),"")</f>
        <v/>
      </c>
      <c r="M184" s="13" t="str">
        <f aca="false">IF(AND(ISNUMBER(B184),ISNUMBER(I184)),B184-I184+1,"")</f>
        <v/>
      </c>
      <c r="N184" s="14" t="str">
        <f aca="false">IF(B184="","",IF(M184="","시작일 미입력",IF(M184&lt;1,"시작일 이전(확인)",IF(M184=1,"1일째",IF(M184=2,"2일째",IF(M184=3,"3일째",IF(M184&lt;=7,"일주일 이내",IF(M184&lt;=14,"이주일 이내","15일 이후"))))))))</f>
        <v/>
      </c>
      <c r="O184" s="0" t="str">
        <f aca="false">IF(AND(COUNTA($A184:$J184)&gt;0,OR(클레임조회!$C$4="",AND(ISNUMBER($B184),$B184&gt;=클레임조회!$C$4)),OR(클레임조회!$C$5="",AND(ISNUMBER($B184),$B184&lt;=클레임조회!$C$5)),OR(클레임조회!$C$6="",$C184=클레임조회!$C$6),OR(클레임조회!$C$7="",$D184=클레임조회!$C$7),OR(클레임조회!$C$8="",$E184=클레임조회!$C$8),OR(클레임조회!$C$9="",$F184=클레임조회!$C$9),OR(클레임조회!$C$10="",ISNUMBER(SEARCH(클레임조회!$C$10,$C184&amp;" "&amp;$F184&amp;" "&amp;$G184&amp;" "&amp;$H184)))),COUNT(O$1:O183)+1,"")</f>
        <v/>
      </c>
      <c r="P184" s="0" t="str">
        <f aca="false">IF(AND(TRIM(C184)&lt;&gt;"",COUNTIF(C$2:C184,C184)=1),MAX(P$1:P183)+1,"")</f>
        <v/>
      </c>
      <c r="Q184" s="0" t="str">
        <f aca="false">IF(AND(TRIM(F184)&lt;&gt;"",COUNTIF(F$2:F184,F184)=1),MAX(Q$1:Q183)+1,"")</f>
        <v/>
      </c>
    </row>
    <row r="185" customFormat="false" ht="15" hidden="false" customHeight="false" outlineLevel="0" collapsed="false">
      <c r="A185" s="9"/>
      <c r="B185" s="10"/>
      <c r="C185" s="11"/>
      <c r="D185" s="11"/>
      <c r="E185" s="11"/>
      <c r="F185" s="11"/>
      <c r="G185" s="12"/>
      <c r="H185" s="12"/>
      <c r="I185" s="10"/>
      <c r="J185" s="12"/>
      <c r="K185" s="13" t="str">
        <f aca="false">IF(ISNUMBER(B185),YEAR(B185),"")</f>
        <v/>
      </c>
      <c r="L185" s="13" t="str">
        <f aca="false">IF(ISNUMBER(B185),MONTH(B185),"")</f>
        <v/>
      </c>
      <c r="M185" s="13" t="str">
        <f aca="false">IF(AND(ISNUMBER(B185),ISNUMBER(I185)),B185-I185+1,"")</f>
        <v/>
      </c>
      <c r="N185" s="14" t="str">
        <f aca="false">IF(B185="","",IF(M185="","시작일 미입력",IF(M185&lt;1,"시작일 이전(확인)",IF(M185=1,"1일째",IF(M185=2,"2일째",IF(M185=3,"3일째",IF(M185&lt;=7,"일주일 이내",IF(M185&lt;=14,"이주일 이내","15일 이후"))))))))</f>
        <v/>
      </c>
      <c r="O185" s="0" t="str">
        <f aca="false">IF(AND(COUNTA($A185:$J185)&gt;0,OR(클레임조회!$C$4="",AND(ISNUMBER($B185),$B185&gt;=클레임조회!$C$4)),OR(클레임조회!$C$5="",AND(ISNUMBER($B185),$B185&lt;=클레임조회!$C$5)),OR(클레임조회!$C$6="",$C185=클레임조회!$C$6),OR(클레임조회!$C$7="",$D185=클레임조회!$C$7),OR(클레임조회!$C$8="",$E185=클레임조회!$C$8),OR(클레임조회!$C$9="",$F185=클레임조회!$C$9),OR(클레임조회!$C$10="",ISNUMBER(SEARCH(클레임조회!$C$10,$C185&amp;" "&amp;$F185&amp;" "&amp;$G185&amp;" "&amp;$H185)))),COUNT(O$1:O184)+1,"")</f>
        <v/>
      </c>
      <c r="P185" s="0" t="str">
        <f aca="false">IF(AND(TRIM(C185)&lt;&gt;"",COUNTIF(C$2:C185,C185)=1),MAX(P$1:P184)+1,"")</f>
        <v/>
      </c>
      <c r="Q185" s="0" t="str">
        <f aca="false">IF(AND(TRIM(F185)&lt;&gt;"",COUNTIF(F$2:F185,F185)=1),MAX(Q$1:Q184)+1,"")</f>
        <v/>
      </c>
    </row>
    <row r="186" customFormat="false" ht="15" hidden="false" customHeight="false" outlineLevel="0" collapsed="false">
      <c r="A186" s="9"/>
      <c r="B186" s="10"/>
      <c r="C186" s="11"/>
      <c r="D186" s="11"/>
      <c r="E186" s="11"/>
      <c r="F186" s="11"/>
      <c r="G186" s="12"/>
      <c r="H186" s="12"/>
      <c r="I186" s="10"/>
      <c r="J186" s="12"/>
      <c r="K186" s="13" t="str">
        <f aca="false">IF(ISNUMBER(B186),YEAR(B186),"")</f>
        <v/>
      </c>
      <c r="L186" s="13" t="str">
        <f aca="false">IF(ISNUMBER(B186),MONTH(B186),"")</f>
        <v/>
      </c>
      <c r="M186" s="13" t="str">
        <f aca="false">IF(AND(ISNUMBER(B186),ISNUMBER(I186)),B186-I186+1,"")</f>
        <v/>
      </c>
      <c r="N186" s="14" t="str">
        <f aca="false">IF(B186="","",IF(M186="","시작일 미입력",IF(M186&lt;1,"시작일 이전(확인)",IF(M186=1,"1일째",IF(M186=2,"2일째",IF(M186=3,"3일째",IF(M186&lt;=7,"일주일 이내",IF(M186&lt;=14,"이주일 이내","15일 이후"))))))))</f>
        <v/>
      </c>
      <c r="O186" s="0" t="str">
        <f aca="false">IF(AND(COUNTA($A186:$J186)&gt;0,OR(클레임조회!$C$4="",AND(ISNUMBER($B186),$B186&gt;=클레임조회!$C$4)),OR(클레임조회!$C$5="",AND(ISNUMBER($B186),$B186&lt;=클레임조회!$C$5)),OR(클레임조회!$C$6="",$C186=클레임조회!$C$6),OR(클레임조회!$C$7="",$D186=클레임조회!$C$7),OR(클레임조회!$C$8="",$E186=클레임조회!$C$8),OR(클레임조회!$C$9="",$F186=클레임조회!$C$9),OR(클레임조회!$C$10="",ISNUMBER(SEARCH(클레임조회!$C$10,$C186&amp;" "&amp;$F186&amp;" "&amp;$G186&amp;" "&amp;$H186)))),COUNT(O$1:O185)+1,"")</f>
        <v/>
      </c>
      <c r="P186" s="0" t="str">
        <f aca="false">IF(AND(TRIM(C186)&lt;&gt;"",COUNTIF(C$2:C186,C186)=1),MAX(P$1:P185)+1,"")</f>
        <v/>
      </c>
      <c r="Q186" s="0" t="str">
        <f aca="false">IF(AND(TRIM(F186)&lt;&gt;"",COUNTIF(F$2:F186,F186)=1),MAX(Q$1:Q185)+1,"")</f>
        <v/>
      </c>
    </row>
    <row r="187" customFormat="false" ht="15" hidden="false" customHeight="false" outlineLevel="0" collapsed="false">
      <c r="A187" s="9"/>
      <c r="B187" s="10"/>
      <c r="C187" s="11"/>
      <c r="D187" s="11"/>
      <c r="E187" s="11"/>
      <c r="F187" s="11"/>
      <c r="G187" s="12"/>
      <c r="H187" s="12"/>
      <c r="I187" s="10"/>
      <c r="J187" s="12"/>
      <c r="K187" s="13" t="str">
        <f aca="false">IF(ISNUMBER(B187),YEAR(B187),"")</f>
        <v/>
      </c>
      <c r="L187" s="13" t="str">
        <f aca="false">IF(ISNUMBER(B187),MONTH(B187),"")</f>
        <v/>
      </c>
      <c r="M187" s="13" t="str">
        <f aca="false">IF(AND(ISNUMBER(B187),ISNUMBER(I187)),B187-I187+1,"")</f>
        <v/>
      </c>
      <c r="N187" s="14" t="str">
        <f aca="false">IF(B187="","",IF(M187="","시작일 미입력",IF(M187&lt;1,"시작일 이전(확인)",IF(M187=1,"1일째",IF(M187=2,"2일째",IF(M187=3,"3일째",IF(M187&lt;=7,"일주일 이내",IF(M187&lt;=14,"이주일 이내","15일 이후"))))))))</f>
        <v/>
      </c>
      <c r="O187" s="0" t="str">
        <f aca="false">IF(AND(COUNTA($A187:$J187)&gt;0,OR(클레임조회!$C$4="",AND(ISNUMBER($B187),$B187&gt;=클레임조회!$C$4)),OR(클레임조회!$C$5="",AND(ISNUMBER($B187),$B187&lt;=클레임조회!$C$5)),OR(클레임조회!$C$6="",$C187=클레임조회!$C$6),OR(클레임조회!$C$7="",$D187=클레임조회!$C$7),OR(클레임조회!$C$8="",$E187=클레임조회!$C$8),OR(클레임조회!$C$9="",$F187=클레임조회!$C$9),OR(클레임조회!$C$10="",ISNUMBER(SEARCH(클레임조회!$C$10,$C187&amp;" "&amp;$F187&amp;" "&amp;$G187&amp;" "&amp;$H187)))),COUNT(O$1:O186)+1,"")</f>
        <v/>
      </c>
      <c r="P187" s="0" t="str">
        <f aca="false">IF(AND(TRIM(C187)&lt;&gt;"",COUNTIF(C$2:C187,C187)=1),MAX(P$1:P186)+1,"")</f>
        <v/>
      </c>
      <c r="Q187" s="0" t="str">
        <f aca="false">IF(AND(TRIM(F187)&lt;&gt;"",COUNTIF(F$2:F187,F187)=1),MAX(Q$1:Q186)+1,"")</f>
        <v/>
      </c>
    </row>
    <row r="188" customFormat="false" ht="15" hidden="false" customHeight="false" outlineLevel="0" collapsed="false">
      <c r="A188" s="9"/>
      <c r="B188" s="10"/>
      <c r="C188" s="11"/>
      <c r="D188" s="11"/>
      <c r="E188" s="11"/>
      <c r="F188" s="11"/>
      <c r="G188" s="12"/>
      <c r="H188" s="12"/>
      <c r="I188" s="10"/>
      <c r="J188" s="12"/>
      <c r="K188" s="13" t="str">
        <f aca="false">IF(ISNUMBER(B188),YEAR(B188),"")</f>
        <v/>
      </c>
      <c r="L188" s="13" t="str">
        <f aca="false">IF(ISNUMBER(B188),MONTH(B188),"")</f>
        <v/>
      </c>
      <c r="M188" s="13" t="str">
        <f aca="false">IF(AND(ISNUMBER(B188),ISNUMBER(I188)),B188-I188+1,"")</f>
        <v/>
      </c>
      <c r="N188" s="14" t="str">
        <f aca="false">IF(B188="","",IF(M188="","시작일 미입력",IF(M188&lt;1,"시작일 이전(확인)",IF(M188=1,"1일째",IF(M188=2,"2일째",IF(M188=3,"3일째",IF(M188&lt;=7,"일주일 이내",IF(M188&lt;=14,"이주일 이내","15일 이후"))))))))</f>
        <v/>
      </c>
      <c r="O188" s="0" t="str">
        <f aca="false">IF(AND(COUNTA($A188:$J188)&gt;0,OR(클레임조회!$C$4="",AND(ISNUMBER($B188),$B188&gt;=클레임조회!$C$4)),OR(클레임조회!$C$5="",AND(ISNUMBER($B188),$B188&lt;=클레임조회!$C$5)),OR(클레임조회!$C$6="",$C188=클레임조회!$C$6),OR(클레임조회!$C$7="",$D188=클레임조회!$C$7),OR(클레임조회!$C$8="",$E188=클레임조회!$C$8),OR(클레임조회!$C$9="",$F188=클레임조회!$C$9),OR(클레임조회!$C$10="",ISNUMBER(SEARCH(클레임조회!$C$10,$C188&amp;" "&amp;$F188&amp;" "&amp;$G188&amp;" "&amp;$H188)))),COUNT(O$1:O187)+1,"")</f>
        <v/>
      </c>
      <c r="P188" s="0" t="str">
        <f aca="false">IF(AND(TRIM(C188)&lt;&gt;"",COUNTIF(C$2:C188,C188)=1),MAX(P$1:P187)+1,"")</f>
        <v/>
      </c>
      <c r="Q188" s="0" t="str">
        <f aca="false">IF(AND(TRIM(F188)&lt;&gt;"",COUNTIF(F$2:F188,F188)=1),MAX(Q$1:Q187)+1,"")</f>
        <v/>
      </c>
    </row>
    <row r="189" customFormat="false" ht="15" hidden="false" customHeight="false" outlineLevel="0" collapsed="false">
      <c r="A189" s="9"/>
      <c r="B189" s="10"/>
      <c r="C189" s="11"/>
      <c r="D189" s="11"/>
      <c r="E189" s="11"/>
      <c r="F189" s="11"/>
      <c r="G189" s="12"/>
      <c r="H189" s="12"/>
      <c r="I189" s="10"/>
      <c r="J189" s="12"/>
      <c r="K189" s="13" t="str">
        <f aca="false">IF(ISNUMBER(B189),YEAR(B189),"")</f>
        <v/>
      </c>
      <c r="L189" s="13" t="str">
        <f aca="false">IF(ISNUMBER(B189),MONTH(B189),"")</f>
        <v/>
      </c>
      <c r="M189" s="13" t="str">
        <f aca="false">IF(AND(ISNUMBER(B189),ISNUMBER(I189)),B189-I189+1,"")</f>
        <v/>
      </c>
      <c r="N189" s="14" t="str">
        <f aca="false">IF(B189="","",IF(M189="","시작일 미입력",IF(M189&lt;1,"시작일 이전(확인)",IF(M189=1,"1일째",IF(M189=2,"2일째",IF(M189=3,"3일째",IF(M189&lt;=7,"일주일 이내",IF(M189&lt;=14,"이주일 이내","15일 이후"))))))))</f>
        <v/>
      </c>
      <c r="O189" s="0" t="str">
        <f aca="false">IF(AND(COUNTA($A189:$J189)&gt;0,OR(클레임조회!$C$4="",AND(ISNUMBER($B189),$B189&gt;=클레임조회!$C$4)),OR(클레임조회!$C$5="",AND(ISNUMBER($B189),$B189&lt;=클레임조회!$C$5)),OR(클레임조회!$C$6="",$C189=클레임조회!$C$6),OR(클레임조회!$C$7="",$D189=클레임조회!$C$7),OR(클레임조회!$C$8="",$E189=클레임조회!$C$8),OR(클레임조회!$C$9="",$F189=클레임조회!$C$9),OR(클레임조회!$C$10="",ISNUMBER(SEARCH(클레임조회!$C$10,$C189&amp;" "&amp;$F189&amp;" "&amp;$G189&amp;" "&amp;$H189)))),COUNT(O$1:O188)+1,"")</f>
        <v/>
      </c>
      <c r="P189" s="0" t="str">
        <f aca="false">IF(AND(TRIM(C189)&lt;&gt;"",COUNTIF(C$2:C189,C189)=1),MAX(P$1:P188)+1,"")</f>
        <v/>
      </c>
      <c r="Q189" s="0" t="str">
        <f aca="false">IF(AND(TRIM(F189)&lt;&gt;"",COUNTIF(F$2:F189,F189)=1),MAX(Q$1:Q188)+1,"")</f>
        <v/>
      </c>
    </row>
    <row r="190" customFormat="false" ht="15" hidden="false" customHeight="false" outlineLevel="0" collapsed="false">
      <c r="A190" s="9"/>
      <c r="B190" s="10"/>
      <c r="C190" s="11"/>
      <c r="D190" s="11"/>
      <c r="E190" s="11"/>
      <c r="F190" s="11"/>
      <c r="G190" s="12"/>
      <c r="H190" s="12"/>
      <c r="I190" s="10"/>
      <c r="J190" s="12"/>
      <c r="K190" s="13" t="str">
        <f aca="false">IF(ISNUMBER(B190),YEAR(B190),"")</f>
        <v/>
      </c>
      <c r="L190" s="13" t="str">
        <f aca="false">IF(ISNUMBER(B190),MONTH(B190),"")</f>
        <v/>
      </c>
      <c r="M190" s="13" t="str">
        <f aca="false">IF(AND(ISNUMBER(B190),ISNUMBER(I190)),B190-I190+1,"")</f>
        <v/>
      </c>
      <c r="N190" s="14" t="str">
        <f aca="false">IF(B190="","",IF(M190="","시작일 미입력",IF(M190&lt;1,"시작일 이전(확인)",IF(M190=1,"1일째",IF(M190=2,"2일째",IF(M190=3,"3일째",IF(M190&lt;=7,"일주일 이내",IF(M190&lt;=14,"이주일 이내","15일 이후"))))))))</f>
        <v/>
      </c>
      <c r="O190" s="0" t="str">
        <f aca="false">IF(AND(COUNTA($A190:$J190)&gt;0,OR(클레임조회!$C$4="",AND(ISNUMBER($B190),$B190&gt;=클레임조회!$C$4)),OR(클레임조회!$C$5="",AND(ISNUMBER($B190),$B190&lt;=클레임조회!$C$5)),OR(클레임조회!$C$6="",$C190=클레임조회!$C$6),OR(클레임조회!$C$7="",$D190=클레임조회!$C$7),OR(클레임조회!$C$8="",$E190=클레임조회!$C$8),OR(클레임조회!$C$9="",$F190=클레임조회!$C$9),OR(클레임조회!$C$10="",ISNUMBER(SEARCH(클레임조회!$C$10,$C190&amp;" "&amp;$F190&amp;" "&amp;$G190&amp;" "&amp;$H190)))),COUNT(O$1:O189)+1,"")</f>
        <v/>
      </c>
      <c r="P190" s="0" t="str">
        <f aca="false">IF(AND(TRIM(C190)&lt;&gt;"",COUNTIF(C$2:C190,C190)=1),MAX(P$1:P189)+1,"")</f>
        <v/>
      </c>
      <c r="Q190" s="0" t="str">
        <f aca="false">IF(AND(TRIM(F190)&lt;&gt;"",COUNTIF(F$2:F190,F190)=1),MAX(Q$1:Q189)+1,"")</f>
        <v/>
      </c>
    </row>
    <row r="191" customFormat="false" ht="15" hidden="false" customHeight="false" outlineLevel="0" collapsed="false">
      <c r="A191" s="9"/>
      <c r="B191" s="10"/>
      <c r="C191" s="11"/>
      <c r="D191" s="11"/>
      <c r="E191" s="11"/>
      <c r="F191" s="11"/>
      <c r="G191" s="12"/>
      <c r="H191" s="12"/>
      <c r="I191" s="10"/>
      <c r="J191" s="12"/>
      <c r="K191" s="13" t="str">
        <f aca="false">IF(ISNUMBER(B191),YEAR(B191),"")</f>
        <v/>
      </c>
      <c r="L191" s="13" t="str">
        <f aca="false">IF(ISNUMBER(B191),MONTH(B191),"")</f>
        <v/>
      </c>
      <c r="M191" s="13" t="str">
        <f aca="false">IF(AND(ISNUMBER(B191),ISNUMBER(I191)),B191-I191+1,"")</f>
        <v/>
      </c>
      <c r="N191" s="14" t="str">
        <f aca="false">IF(B191="","",IF(M191="","시작일 미입력",IF(M191&lt;1,"시작일 이전(확인)",IF(M191=1,"1일째",IF(M191=2,"2일째",IF(M191=3,"3일째",IF(M191&lt;=7,"일주일 이내",IF(M191&lt;=14,"이주일 이내","15일 이후"))))))))</f>
        <v/>
      </c>
      <c r="O191" s="0" t="str">
        <f aca="false">IF(AND(COUNTA($A191:$J191)&gt;0,OR(클레임조회!$C$4="",AND(ISNUMBER($B191),$B191&gt;=클레임조회!$C$4)),OR(클레임조회!$C$5="",AND(ISNUMBER($B191),$B191&lt;=클레임조회!$C$5)),OR(클레임조회!$C$6="",$C191=클레임조회!$C$6),OR(클레임조회!$C$7="",$D191=클레임조회!$C$7),OR(클레임조회!$C$8="",$E191=클레임조회!$C$8),OR(클레임조회!$C$9="",$F191=클레임조회!$C$9),OR(클레임조회!$C$10="",ISNUMBER(SEARCH(클레임조회!$C$10,$C191&amp;" "&amp;$F191&amp;" "&amp;$G191&amp;" "&amp;$H191)))),COUNT(O$1:O190)+1,"")</f>
        <v/>
      </c>
      <c r="P191" s="0" t="str">
        <f aca="false">IF(AND(TRIM(C191)&lt;&gt;"",COUNTIF(C$2:C191,C191)=1),MAX(P$1:P190)+1,"")</f>
        <v/>
      </c>
      <c r="Q191" s="0" t="str">
        <f aca="false">IF(AND(TRIM(F191)&lt;&gt;"",COUNTIF(F$2:F191,F191)=1),MAX(Q$1:Q190)+1,"")</f>
        <v/>
      </c>
    </row>
    <row r="192" customFormat="false" ht="15" hidden="false" customHeight="false" outlineLevel="0" collapsed="false">
      <c r="A192" s="9"/>
      <c r="B192" s="10"/>
      <c r="C192" s="11"/>
      <c r="D192" s="11"/>
      <c r="E192" s="11"/>
      <c r="F192" s="11"/>
      <c r="G192" s="12"/>
      <c r="H192" s="12"/>
      <c r="I192" s="10"/>
      <c r="J192" s="12"/>
      <c r="K192" s="13" t="str">
        <f aca="false">IF(ISNUMBER(B192),YEAR(B192),"")</f>
        <v/>
      </c>
      <c r="L192" s="13" t="str">
        <f aca="false">IF(ISNUMBER(B192),MONTH(B192),"")</f>
        <v/>
      </c>
      <c r="M192" s="13" t="str">
        <f aca="false">IF(AND(ISNUMBER(B192),ISNUMBER(I192)),B192-I192+1,"")</f>
        <v/>
      </c>
      <c r="N192" s="14" t="str">
        <f aca="false">IF(B192="","",IF(M192="","시작일 미입력",IF(M192&lt;1,"시작일 이전(확인)",IF(M192=1,"1일째",IF(M192=2,"2일째",IF(M192=3,"3일째",IF(M192&lt;=7,"일주일 이내",IF(M192&lt;=14,"이주일 이내","15일 이후"))))))))</f>
        <v/>
      </c>
      <c r="O192" s="0" t="str">
        <f aca="false">IF(AND(COUNTA($A192:$J192)&gt;0,OR(클레임조회!$C$4="",AND(ISNUMBER($B192),$B192&gt;=클레임조회!$C$4)),OR(클레임조회!$C$5="",AND(ISNUMBER($B192),$B192&lt;=클레임조회!$C$5)),OR(클레임조회!$C$6="",$C192=클레임조회!$C$6),OR(클레임조회!$C$7="",$D192=클레임조회!$C$7),OR(클레임조회!$C$8="",$E192=클레임조회!$C$8),OR(클레임조회!$C$9="",$F192=클레임조회!$C$9),OR(클레임조회!$C$10="",ISNUMBER(SEARCH(클레임조회!$C$10,$C192&amp;" "&amp;$F192&amp;" "&amp;$G192&amp;" "&amp;$H192)))),COUNT(O$1:O191)+1,"")</f>
        <v/>
      </c>
      <c r="P192" s="0" t="str">
        <f aca="false">IF(AND(TRIM(C192)&lt;&gt;"",COUNTIF(C$2:C192,C192)=1),MAX(P$1:P191)+1,"")</f>
        <v/>
      </c>
      <c r="Q192" s="0" t="str">
        <f aca="false">IF(AND(TRIM(F192)&lt;&gt;"",COUNTIF(F$2:F192,F192)=1),MAX(Q$1:Q191)+1,"")</f>
        <v/>
      </c>
    </row>
    <row r="193" customFormat="false" ht="15" hidden="false" customHeight="false" outlineLevel="0" collapsed="false">
      <c r="A193" s="9"/>
      <c r="B193" s="10"/>
      <c r="C193" s="11"/>
      <c r="D193" s="11"/>
      <c r="E193" s="11"/>
      <c r="F193" s="11"/>
      <c r="G193" s="12"/>
      <c r="H193" s="12"/>
      <c r="I193" s="10"/>
      <c r="J193" s="12"/>
      <c r="K193" s="13" t="str">
        <f aca="false">IF(ISNUMBER(B193),YEAR(B193),"")</f>
        <v/>
      </c>
      <c r="L193" s="13" t="str">
        <f aca="false">IF(ISNUMBER(B193),MONTH(B193),"")</f>
        <v/>
      </c>
      <c r="M193" s="13" t="str">
        <f aca="false">IF(AND(ISNUMBER(B193),ISNUMBER(I193)),B193-I193+1,"")</f>
        <v/>
      </c>
      <c r="N193" s="14" t="str">
        <f aca="false">IF(B193="","",IF(M193="","시작일 미입력",IF(M193&lt;1,"시작일 이전(확인)",IF(M193=1,"1일째",IF(M193=2,"2일째",IF(M193=3,"3일째",IF(M193&lt;=7,"일주일 이내",IF(M193&lt;=14,"이주일 이내","15일 이후"))))))))</f>
        <v/>
      </c>
      <c r="O193" s="0" t="str">
        <f aca="false">IF(AND(COUNTA($A193:$J193)&gt;0,OR(클레임조회!$C$4="",AND(ISNUMBER($B193),$B193&gt;=클레임조회!$C$4)),OR(클레임조회!$C$5="",AND(ISNUMBER($B193),$B193&lt;=클레임조회!$C$5)),OR(클레임조회!$C$6="",$C193=클레임조회!$C$6),OR(클레임조회!$C$7="",$D193=클레임조회!$C$7),OR(클레임조회!$C$8="",$E193=클레임조회!$C$8),OR(클레임조회!$C$9="",$F193=클레임조회!$C$9),OR(클레임조회!$C$10="",ISNUMBER(SEARCH(클레임조회!$C$10,$C193&amp;" "&amp;$F193&amp;" "&amp;$G193&amp;" "&amp;$H193)))),COUNT(O$1:O192)+1,"")</f>
        <v/>
      </c>
      <c r="P193" s="0" t="str">
        <f aca="false">IF(AND(TRIM(C193)&lt;&gt;"",COUNTIF(C$2:C193,C193)=1),MAX(P$1:P192)+1,"")</f>
        <v/>
      </c>
      <c r="Q193" s="0" t="str">
        <f aca="false">IF(AND(TRIM(F193)&lt;&gt;"",COUNTIF(F$2:F193,F193)=1),MAX(Q$1:Q192)+1,"")</f>
        <v/>
      </c>
    </row>
    <row r="194" customFormat="false" ht="15" hidden="false" customHeight="false" outlineLevel="0" collapsed="false">
      <c r="A194" s="9"/>
      <c r="B194" s="10"/>
      <c r="C194" s="11"/>
      <c r="D194" s="11"/>
      <c r="E194" s="11"/>
      <c r="F194" s="11"/>
      <c r="G194" s="12"/>
      <c r="H194" s="12"/>
      <c r="I194" s="10"/>
      <c r="J194" s="12"/>
      <c r="K194" s="13" t="str">
        <f aca="false">IF(ISNUMBER(B194),YEAR(B194),"")</f>
        <v/>
      </c>
      <c r="L194" s="13" t="str">
        <f aca="false">IF(ISNUMBER(B194),MONTH(B194),"")</f>
        <v/>
      </c>
      <c r="M194" s="13" t="str">
        <f aca="false">IF(AND(ISNUMBER(B194),ISNUMBER(I194)),B194-I194+1,"")</f>
        <v/>
      </c>
      <c r="N194" s="14" t="str">
        <f aca="false">IF(B194="","",IF(M194="","시작일 미입력",IF(M194&lt;1,"시작일 이전(확인)",IF(M194=1,"1일째",IF(M194=2,"2일째",IF(M194=3,"3일째",IF(M194&lt;=7,"일주일 이내",IF(M194&lt;=14,"이주일 이내","15일 이후"))))))))</f>
        <v/>
      </c>
      <c r="O194" s="0" t="str">
        <f aca="false">IF(AND(COUNTA($A194:$J194)&gt;0,OR(클레임조회!$C$4="",AND(ISNUMBER($B194),$B194&gt;=클레임조회!$C$4)),OR(클레임조회!$C$5="",AND(ISNUMBER($B194),$B194&lt;=클레임조회!$C$5)),OR(클레임조회!$C$6="",$C194=클레임조회!$C$6),OR(클레임조회!$C$7="",$D194=클레임조회!$C$7),OR(클레임조회!$C$8="",$E194=클레임조회!$C$8),OR(클레임조회!$C$9="",$F194=클레임조회!$C$9),OR(클레임조회!$C$10="",ISNUMBER(SEARCH(클레임조회!$C$10,$C194&amp;" "&amp;$F194&amp;" "&amp;$G194&amp;" "&amp;$H194)))),COUNT(O$1:O193)+1,"")</f>
        <v/>
      </c>
      <c r="P194" s="0" t="str">
        <f aca="false">IF(AND(TRIM(C194)&lt;&gt;"",COUNTIF(C$2:C194,C194)=1),MAX(P$1:P193)+1,"")</f>
        <v/>
      </c>
      <c r="Q194" s="0" t="str">
        <f aca="false">IF(AND(TRIM(F194)&lt;&gt;"",COUNTIF(F$2:F194,F194)=1),MAX(Q$1:Q193)+1,"")</f>
        <v/>
      </c>
    </row>
    <row r="195" customFormat="false" ht="15" hidden="false" customHeight="false" outlineLevel="0" collapsed="false">
      <c r="A195" s="9"/>
      <c r="B195" s="10"/>
      <c r="C195" s="11"/>
      <c r="D195" s="11"/>
      <c r="E195" s="11"/>
      <c r="F195" s="11"/>
      <c r="G195" s="12"/>
      <c r="H195" s="12"/>
      <c r="I195" s="10"/>
      <c r="J195" s="12"/>
      <c r="K195" s="13" t="str">
        <f aca="false">IF(ISNUMBER(B195),YEAR(B195),"")</f>
        <v/>
      </c>
      <c r="L195" s="13" t="str">
        <f aca="false">IF(ISNUMBER(B195),MONTH(B195),"")</f>
        <v/>
      </c>
      <c r="M195" s="13" t="str">
        <f aca="false">IF(AND(ISNUMBER(B195),ISNUMBER(I195)),B195-I195+1,"")</f>
        <v/>
      </c>
      <c r="N195" s="14" t="str">
        <f aca="false">IF(B195="","",IF(M195="","시작일 미입력",IF(M195&lt;1,"시작일 이전(확인)",IF(M195=1,"1일째",IF(M195=2,"2일째",IF(M195=3,"3일째",IF(M195&lt;=7,"일주일 이내",IF(M195&lt;=14,"이주일 이내","15일 이후"))))))))</f>
        <v/>
      </c>
      <c r="O195" s="0" t="str">
        <f aca="false">IF(AND(COUNTA($A195:$J195)&gt;0,OR(클레임조회!$C$4="",AND(ISNUMBER($B195),$B195&gt;=클레임조회!$C$4)),OR(클레임조회!$C$5="",AND(ISNUMBER($B195),$B195&lt;=클레임조회!$C$5)),OR(클레임조회!$C$6="",$C195=클레임조회!$C$6),OR(클레임조회!$C$7="",$D195=클레임조회!$C$7),OR(클레임조회!$C$8="",$E195=클레임조회!$C$8),OR(클레임조회!$C$9="",$F195=클레임조회!$C$9),OR(클레임조회!$C$10="",ISNUMBER(SEARCH(클레임조회!$C$10,$C195&amp;" "&amp;$F195&amp;" "&amp;$G195&amp;" "&amp;$H195)))),COUNT(O$1:O194)+1,"")</f>
        <v/>
      </c>
      <c r="P195" s="0" t="str">
        <f aca="false">IF(AND(TRIM(C195)&lt;&gt;"",COUNTIF(C$2:C195,C195)=1),MAX(P$1:P194)+1,"")</f>
        <v/>
      </c>
      <c r="Q195" s="0" t="str">
        <f aca="false">IF(AND(TRIM(F195)&lt;&gt;"",COUNTIF(F$2:F195,F195)=1),MAX(Q$1:Q194)+1,"")</f>
        <v/>
      </c>
    </row>
    <row r="196" customFormat="false" ht="15" hidden="false" customHeight="false" outlineLevel="0" collapsed="false">
      <c r="A196" s="9"/>
      <c r="B196" s="10"/>
      <c r="C196" s="11"/>
      <c r="D196" s="11"/>
      <c r="E196" s="11"/>
      <c r="F196" s="11"/>
      <c r="G196" s="12"/>
      <c r="H196" s="12"/>
      <c r="I196" s="10"/>
      <c r="J196" s="12"/>
      <c r="K196" s="13" t="str">
        <f aca="false">IF(ISNUMBER(B196),YEAR(B196),"")</f>
        <v/>
      </c>
      <c r="L196" s="13" t="str">
        <f aca="false">IF(ISNUMBER(B196),MONTH(B196),"")</f>
        <v/>
      </c>
      <c r="M196" s="13" t="str">
        <f aca="false">IF(AND(ISNUMBER(B196),ISNUMBER(I196)),B196-I196+1,"")</f>
        <v/>
      </c>
      <c r="N196" s="14" t="str">
        <f aca="false">IF(B196="","",IF(M196="","시작일 미입력",IF(M196&lt;1,"시작일 이전(확인)",IF(M196=1,"1일째",IF(M196=2,"2일째",IF(M196=3,"3일째",IF(M196&lt;=7,"일주일 이내",IF(M196&lt;=14,"이주일 이내","15일 이후"))))))))</f>
        <v/>
      </c>
      <c r="O196" s="0" t="str">
        <f aca="false">IF(AND(COUNTA($A196:$J196)&gt;0,OR(클레임조회!$C$4="",AND(ISNUMBER($B196),$B196&gt;=클레임조회!$C$4)),OR(클레임조회!$C$5="",AND(ISNUMBER($B196),$B196&lt;=클레임조회!$C$5)),OR(클레임조회!$C$6="",$C196=클레임조회!$C$6),OR(클레임조회!$C$7="",$D196=클레임조회!$C$7),OR(클레임조회!$C$8="",$E196=클레임조회!$C$8),OR(클레임조회!$C$9="",$F196=클레임조회!$C$9),OR(클레임조회!$C$10="",ISNUMBER(SEARCH(클레임조회!$C$10,$C196&amp;" "&amp;$F196&amp;" "&amp;$G196&amp;" "&amp;$H196)))),COUNT(O$1:O195)+1,"")</f>
        <v/>
      </c>
      <c r="P196" s="0" t="str">
        <f aca="false">IF(AND(TRIM(C196)&lt;&gt;"",COUNTIF(C$2:C196,C196)=1),MAX(P$1:P195)+1,"")</f>
        <v/>
      </c>
      <c r="Q196" s="0" t="str">
        <f aca="false">IF(AND(TRIM(F196)&lt;&gt;"",COUNTIF(F$2:F196,F196)=1),MAX(Q$1:Q195)+1,"")</f>
        <v/>
      </c>
    </row>
    <row r="197" customFormat="false" ht="15" hidden="false" customHeight="false" outlineLevel="0" collapsed="false">
      <c r="A197" s="9"/>
      <c r="B197" s="10"/>
      <c r="C197" s="11"/>
      <c r="D197" s="11"/>
      <c r="E197" s="11"/>
      <c r="F197" s="11"/>
      <c r="G197" s="12"/>
      <c r="H197" s="12"/>
      <c r="I197" s="10"/>
      <c r="J197" s="12"/>
      <c r="K197" s="13" t="str">
        <f aca="false">IF(ISNUMBER(B197),YEAR(B197),"")</f>
        <v/>
      </c>
      <c r="L197" s="13" t="str">
        <f aca="false">IF(ISNUMBER(B197),MONTH(B197),"")</f>
        <v/>
      </c>
      <c r="M197" s="13" t="str">
        <f aca="false">IF(AND(ISNUMBER(B197),ISNUMBER(I197)),B197-I197+1,"")</f>
        <v/>
      </c>
      <c r="N197" s="14" t="str">
        <f aca="false">IF(B197="","",IF(M197="","시작일 미입력",IF(M197&lt;1,"시작일 이전(확인)",IF(M197=1,"1일째",IF(M197=2,"2일째",IF(M197=3,"3일째",IF(M197&lt;=7,"일주일 이내",IF(M197&lt;=14,"이주일 이내","15일 이후"))))))))</f>
        <v/>
      </c>
      <c r="O197" s="0" t="str">
        <f aca="false">IF(AND(COUNTA($A197:$J197)&gt;0,OR(클레임조회!$C$4="",AND(ISNUMBER($B197),$B197&gt;=클레임조회!$C$4)),OR(클레임조회!$C$5="",AND(ISNUMBER($B197),$B197&lt;=클레임조회!$C$5)),OR(클레임조회!$C$6="",$C197=클레임조회!$C$6),OR(클레임조회!$C$7="",$D197=클레임조회!$C$7),OR(클레임조회!$C$8="",$E197=클레임조회!$C$8),OR(클레임조회!$C$9="",$F197=클레임조회!$C$9),OR(클레임조회!$C$10="",ISNUMBER(SEARCH(클레임조회!$C$10,$C197&amp;" "&amp;$F197&amp;" "&amp;$G197&amp;" "&amp;$H197)))),COUNT(O$1:O196)+1,"")</f>
        <v/>
      </c>
      <c r="P197" s="0" t="str">
        <f aca="false">IF(AND(TRIM(C197)&lt;&gt;"",COUNTIF(C$2:C197,C197)=1),MAX(P$1:P196)+1,"")</f>
        <v/>
      </c>
      <c r="Q197" s="0" t="str">
        <f aca="false">IF(AND(TRIM(F197)&lt;&gt;"",COUNTIF(F$2:F197,F197)=1),MAX(Q$1:Q196)+1,"")</f>
        <v/>
      </c>
    </row>
    <row r="198" customFormat="false" ht="15" hidden="false" customHeight="false" outlineLevel="0" collapsed="false">
      <c r="A198" s="9"/>
      <c r="B198" s="10"/>
      <c r="C198" s="11"/>
      <c r="D198" s="11"/>
      <c r="E198" s="11"/>
      <c r="F198" s="11"/>
      <c r="G198" s="12"/>
      <c r="H198" s="12"/>
      <c r="I198" s="10"/>
      <c r="J198" s="12"/>
      <c r="K198" s="13" t="str">
        <f aca="false">IF(ISNUMBER(B198),YEAR(B198),"")</f>
        <v/>
      </c>
      <c r="L198" s="13" t="str">
        <f aca="false">IF(ISNUMBER(B198),MONTH(B198),"")</f>
        <v/>
      </c>
      <c r="M198" s="13" t="str">
        <f aca="false">IF(AND(ISNUMBER(B198),ISNUMBER(I198)),B198-I198+1,"")</f>
        <v/>
      </c>
      <c r="N198" s="14" t="str">
        <f aca="false">IF(B198="","",IF(M198="","시작일 미입력",IF(M198&lt;1,"시작일 이전(확인)",IF(M198=1,"1일째",IF(M198=2,"2일째",IF(M198=3,"3일째",IF(M198&lt;=7,"일주일 이내",IF(M198&lt;=14,"이주일 이내","15일 이후"))))))))</f>
        <v/>
      </c>
      <c r="O198" s="0" t="str">
        <f aca="false">IF(AND(COUNTA($A198:$J198)&gt;0,OR(클레임조회!$C$4="",AND(ISNUMBER($B198),$B198&gt;=클레임조회!$C$4)),OR(클레임조회!$C$5="",AND(ISNUMBER($B198),$B198&lt;=클레임조회!$C$5)),OR(클레임조회!$C$6="",$C198=클레임조회!$C$6),OR(클레임조회!$C$7="",$D198=클레임조회!$C$7),OR(클레임조회!$C$8="",$E198=클레임조회!$C$8),OR(클레임조회!$C$9="",$F198=클레임조회!$C$9),OR(클레임조회!$C$10="",ISNUMBER(SEARCH(클레임조회!$C$10,$C198&amp;" "&amp;$F198&amp;" "&amp;$G198&amp;" "&amp;$H198)))),COUNT(O$1:O197)+1,"")</f>
        <v/>
      </c>
      <c r="P198" s="0" t="str">
        <f aca="false">IF(AND(TRIM(C198)&lt;&gt;"",COUNTIF(C$2:C198,C198)=1),MAX(P$1:P197)+1,"")</f>
        <v/>
      </c>
      <c r="Q198" s="0" t="str">
        <f aca="false">IF(AND(TRIM(F198)&lt;&gt;"",COUNTIF(F$2:F198,F198)=1),MAX(Q$1:Q197)+1,"")</f>
        <v/>
      </c>
    </row>
    <row r="199" customFormat="false" ht="15" hidden="false" customHeight="false" outlineLevel="0" collapsed="false">
      <c r="A199" s="9"/>
      <c r="B199" s="10"/>
      <c r="C199" s="11"/>
      <c r="D199" s="11"/>
      <c r="E199" s="11"/>
      <c r="F199" s="11"/>
      <c r="G199" s="12"/>
      <c r="H199" s="12"/>
      <c r="I199" s="10"/>
      <c r="J199" s="12"/>
      <c r="K199" s="13" t="str">
        <f aca="false">IF(ISNUMBER(B199),YEAR(B199),"")</f>
        <v/>
      </c>
      <c r="L199" s="13" t="str">
        <f aca="false">IF(ISNUMBER(B199),MONTH(B199),"")</f>
        <v/>
      </c>
      <c r="M199" s="13" t="str">
        <f aca="false">IF(AND(ISNUMBER(B199),ISNUMBER(I199)),B199-I199+1,"")</f>
        <v/>
      </c>
      <c r="N199" s="14" t="str">
        <f aca="false">IF(B199="","",IF(M199="","시작일 미입력",IF(M199&lt;1,"시작일 이전(확인)",IF(M199=1,"1일째",IF(M199=2,"2일째",IF(M199=3,"3일째",IF(M199&lt;=7,"일주일 이내",IF(M199&lt;=14,"이주일 이내","15일 이후"))))))))</f>
        <v/>
      </c>
      <c r="O199" s="0" t="str">
        <f aca="false">IF(AND(COUNTA($A199:$J199)&gt;0,OR(클레임조회!$C$4="",AND(ISNUMBER($B199),$B199&gt;=클레임조회!$C$4)),OR(클레임조회!$C$5="",AND(ISNUMBER($B199),$B199&lt;=클레임조회!$C$5)),OR(클레임조회!$C$6="",$C199=클레임조회!$C$6),OR(클레임조회!$C$7="",$D199=클레임조회!$C$7),OR(클레임조회!$C$8="",$E199=클레임조회!$C$8),OR(클레임조회!$C$9="",$F199=클레임조회!$C$9),OR(클레임조회!$C$10="",ISNUMBER(SEARCH(클레임조회!$C$10,$C199&amp;" "&amp;$F199&amp;" "&amp;$G199&amp;" "&amp;$H199)))),COUNT(O$1:O198)+1,"")</f>
        <v/>
      </c>
      <c r="P199" s="0" t="str">
        <f aca="false">IF(AND(TRIM(C199)&lt;&gt;"",COUNTIF(C$2:C199,C199)=1),MAX(P$1:P198)+1,"")</f>
        <v/>
      </c>
      <c r="Q199" s="0" t="str">
        <f aca="false">IF(AND(TRIM(F199)&lt;&gt;"",COUNTIF(F$2:F199,F199)=1),MAX(Q$1:Q198)+1,"")</f>
        <v/>
      </c>
    </row>
    <row r="200" customFormat="false" ht="15" hidden="false" customHeight="false" outlineLevel="0" collapsed="false">
      <c r="A200" s="9"/>
      <c r="B200" s="10"/>
      <c r="C200" s="11"/>
      <c r="D200" s="11"/>
      <c r="E200" s="11"/>
      <c r="F200" s="11"/>
      <c r="G200" s="12"/>
      <c r="H200" s="12"/>
      <c r="I200" s="10"/>
      <c r="J200" s="12"/>
      <c r="K200" s="13" t="str">
        <f aca="false">IF(ISNUMBER(B200),YEAR(B200),"")</f>
        <v/>
      </c>
      <c r="L200" s="13" t="str">
        <f aca="false">IF(ISNUMBER(B200),MONTH(B200),"")</f>
        <v/>
      </c>
      <c r="M200" s="13" t="str">
        <f aca="false">IF(AND(ISNUMBER(B200),ISNUMBER(I200)),B200-I200+1,"")</f>
        <v/>
      </c>
      <c r="N200" s="14" t="str">
        <f aca="false">IF(B200="","",IF(M200="","시작일 미입력",IF(M200&lt;1,"시작일 이전(확인)",IF(M200=1,"1일째",IF(M200=2,"2일째",IF(M200=3,"3일째",IF(M200&lt;=7,"일주일 이내",IF(M200&lt;=14,"이주일 이내","15일 이후"))))))))</f>
        <v/>
      </c>
      <c r="O200" s="0" t="str">
        <f aca="false">IF(AND(COUNTA($A200:$J200)&gt;0,OR(클레임조회!$C$4="",AND(ISNUMBER($B200),$B200&gt;=클레임조회!$C$4)),OR(클레임조회!$C$5="",AND(ISNUMBER($B200),$B200&lt;=클레임조회!$C$5)),OR(클레임조회!$C$6="",$C200=클레임조회!$C$6),OR(클레임조회!$C$7="",$D200=클레임조회!$C$7),OR(클레임조회!$C$8="",$E200=클레임조회!$C$8),OR(클레임조회!$C$9="",$F200=클레임조회!$C$9),OR(클레임조회!$C$10="",ISNUMBER(SEARCH(클레임조회!$C$10,$C200&amp;" "&amp;$F200&amp;" "&amp;$G200&amp;" "&amp;$H200)))),COUNT(O$1:O199)+1,"")</f>
        <v/>
      </c>
      <c r="P200" s="0" t="str">
        <f aca="false">IF(AND(TRIM(C200)&lt;&gt;"",COUNTIF(C$2:C200,C200)=1),MAX(P$1:P199)+1,"")</f>
        <v/>
      </c>
      <c r="Q200" s="0" t="str">
        <f aca="false">IF(AND(TRIM(F200)&lt;&gt;"",COUNTIF(F$2:F200,F200)=1),MAX(Q$1:Q199)+1,"")</f>
        <v/>
      </c>
    </row>
    <row r="201" customFormat="false" ht="15" hidden="false" customHeight="false" outlineLevel="0" collapsed="false">
      <c r="A201" s="9"/>
      <c r="B201" s="10"/>
      <c r="C201" s="11"/>
      <c r="D201" s="11"/>
      <c r="E201" s="11"/>
      <c r="F201" s="11"/>
      <c r="G201" s="12"/>
      <c r="H201" s="12"/>
      <c r="I201" s="10"/>
      <c r="J201" s="12"/>
      <c r="K201" s="13" t="str">
        <f aca="false">IF(ISNUMBER(B201),YEAR(B201),"")</f>
        <v/>
      </c>
      <c r="L201" s="13" t="str">
        <f aca="false">IF(ISNUMBER(B201),MONTH(B201),"")</f>
        <v/>
      </c>
      <c r="M201" s="13" t="str">
        <f aca="false">IF(AND(ISNUMBER(B201),ISNUMBER(I201)),B201-I201+1,"")</f>
        <v/>
      </c>
      <c r="N201" s="14" t="str">
        <f aca="false">IF(B201="","",IF(M201="","시작일 미입력",IF(M201&lt;1,"시작일 이전(확인)",IF(M201=1,"1일째",IF(M201=2,"2일째",IF(M201=3,"3일째",IF(M201&lt;=7,"일주일 이내",IF(M201&lt;=14,"이주일 이내","15일 이후"))))))))</f>
        <v/>
      </c>
      <c r="O201" s="0" t="str">
        <f aca="false">IF(AND(COUNTA($A201:$J201)&gt;0,OR(클레임조회!$C$4="",AND(ISNUMBER($B201),$B201&gt;=클레임조회!$C$4)),OR(클레임조회!$C$5="",AND(ISNUMBER($B201),$B201&lt;=클레임조회!$C$5)),OR(클레임조회!$C$6="",$C201=클레임조회!$C$6),OR(클레임조회!$C$7="",$D201=클레임조회!$C$7),OR(클레임조회!$C$8="",$E201=클레임조회!$C$8),OR(클레임조회!$C$9="",$F201=클레임조회!$C$9),OR(클레임조회!$C$10="",ISNUMBER(SEARCH(클레임조회!$C$10,$C201&amp;" "&amp;$F201&amp;" "&amp;$G201&amp;" "&amp;$H201)))),COUNT(O$1:O200)+1,"")</f>
        <v/>
      </c>
      <c r="P201" s="0" t="str">
        <f aca="false">IF(AND(TRIM(C201)&lt;&gt;"",COUNTIF(C$2:C201,C201)=1),MAX(P$1:P200)+1,"")</f>
        <v/>
      </c>
      <c r="Q201" s="0" t="str">
        <f aca="false">IF(AND(TRIM(F201)&lt;&gt;"",COUNTIF(F$2:F201,F201)=1),MAX(Q$1:Q200)+1,"")</f>
        <v/>
      </c>
    </row>
    <row r="202" customFormat="false" ht="15" hidden="false" customHeight="false" outlineLevel="0" collapsed="false">
      <c r="A202" s="9"/>
      <c r="B202" s="10"/>
      <c r="C202" s="11"/>
      <c r="D202" s="11"/>
      <c r="E202" s="11"/>
      <c r="F202" s="11"/>
      <c r="G202" s="12"/>
      <c r="H202" s="12"/>
      <c r="I202" s="10"/>
      <c r="J202" s="12"/>
      <c r="K202" s="13" t="str">
        <f aca="false">IF(ISNUMBER(B202),YEAR(B202),"")</f>
        <v/>
      </c>
      <c r="L202" s="13" t="str">
        <f aca="false">IF(ISNUMBER(B202),MONTH(B202),"")</f>
        <v/>
      </c>
      <c r="M202" s="13" t="str">
        <f aca="false">IF(AND(ISNUMBER(B202),ISNUMBER(I202)),B202-I202+1,"")</f>
        <v/>
      </c>
      <c r="N202" s="14" t="str">
        <f aca="false">IF(B202="","",IF(M202="","시작일 미입력",IF(M202&lt;1,"시작일 이전(확인)",IF(M202=1,"1일째",IF(M202=2,"2일째",IF(M202=3,"3일째",IF(M202&lt;=7,"일주일 이내",IF(M202&lt;=14,"이주일 이내","15일 이후"))))))))</f>
        <v/>
      </c>
      <c r="O202" s="0" t="str">
        <f aca="false">IF(AND(COUNTA($A202:$J202)&gt;0,OR(클레임조회!$C$4="",AND(ISNUMBER($B202),$B202&gt;=클레임조회!$C$4)),OR(클레임조회!$C$5="",AND(ISNUMBER($B202),$B202&lt;=클레임조회!$C$5)),OR(클레임조회!$C$6="",$C202=클레임조회!$C$6),OR(클레임조회!$C$7="",$D202=클레임조회!$C$7),OR(클레임조회!$C$8="",$E202=클레임조회!$C$8),OR(클레임조회!$C$9="",$F202=클레임조회!$C$9),OR(클레임조회!$C$10="",ISNUMBER(SEARCH(클레임조회!$C$10,$C202&amp;" "&amp;$F202&amp;" "&amp;$G202&amp;" "&amp;$H202)))),COUNT(O$1:O201)+1,"")</f>
        <v/>
      </c>
      <c r="P202" s="0" t="str">
        <f aca="false">IF(AND(TRIM(C202)&lt;&gt;"",COUNTIF(C$2:C202,C202)=1),MAX(P$1:P201)+1,"")</f>
        <v/>
      </c>
      <c r="Q202" s="0" t="str">
        <f aca="false">IF(AND(TRIM(F202)&lt;&gt;"",COUNTIF(F$2:F202,F202)=1),MAX(Q$1:Q201)+1,"")</f>
        <v/>
      </c>
    </row>
    <row r="203" customFormat="false" ht="15" hidden="false" customHeight="false" outlineLevel="0" collapsed="false">
      <c r="A203" s="9"/>
      <c r="B203" s="10"/>
      <c r="C203" s="11"/>
      <c r="D203" s="11"/>
      <c r="E203" s="11"/>
      <c r="F203" s="11"/>
      <c r="G203" s="12"/>
      <c r="H203" s="12"/>
      <c r="I203" s="10"/>
      <c r="J203" s="12"/>
      <c r="K203" s="13" t="str">
        <f aca="false">IF(ISNUMBER(B203),YEAR(B203),"")</f>
        <v/>
      </c>
      <c r="L203" s="13" t="str">
        <f aca="false">IF(ISNUMBER(B203),MONTH(B203),"")</f>
        <v/>
      </c>
      <c r="M203" s="13" t="str">
        <f aca="false">IF(AND(ISNUMBER(B203),ISNUMBER(I203)),B203-I203+1,"")</f>
        <v/>
      </c>
      <c r="N203" s="14" t="str">
        <f aca="false">IF(B203="","",IF(M203="","시작일 미입력",IF(M203&lt;1,"시작일 이전(확인)",IF(M203=1,"1일째",IF(M203=2,"2일째",IF(M203=3,"3일째",IF(M203&lt;=7,"일주일 이내",IF(M203&lt;=14,"이주일 이내","15일 이후"))))))))</f>
        <v/>
      </c>
      <c r="O203" s="0" t="str">
        <f aca="false">IF(AND(COUNTA($A203:$J203)&gt;0,OR(클레임조회!$C$4="",AND(ISNUMBER($B203),$B203&gt;=클레임조회!$C$4)),OR(클레임조회!$C$5="",AND(ISNUMBER($B203),$B203&lt;=클레임조회!$C$5)),OR(클레임조회!$C$6="",$C203=클레임조회!$C$6),OR(클레임조회!$C$7="",$D203=클레임조회!$C$7),OR(클레임조회!$C$8="",$E203=클레임조회!$C$8),OR(클레임조회!$C$9="",$F203=클레임조회!$C$9),OR(클레임조회!$C$10="",ISNUMBER(SEARCH(클레임조회!$C$10,$C203&amp;" "&amp;$F203&amp;" "&amp;$G203&amp;" "&amp;$H203)))),COUNT(O$1:O202)+1,"")</f>
        <v/>
      </c>
      <c r="P203" s="0" t="str">
        <f aca="false">IF(AND(TRIM(C203)&lt;&gt;"",COUNTIF(C$2:C203,C203)=1),MAX(P$1:P202)+1,"")</f>
        <v/>
      </c>
      <c r="Q203" s="0" t="str">
        <f aca="false">IF(AND(TRIM(F203)&lt;&gt;"",COUNTIF(F$2:F203,F203)=1),MAX(Q$1:Q202)+1,"")</f>
        <v/>
      </c>
    </row>
    <row r="204" customFormat="false" ht="15" hidden="false" customHeight="false" outlineLevel="0" collapsed="false">
      <c r="A204" s="9"/>
      <c r="B204" s="10"/>
      <c r="C204" s="11"/>
      <c r="D204" s="11"/>
      <c r="E204" s="11"/>
      <c r="F204" s="11"/>
      <c r="G204" s="12"/>
      <c r="H204" s="12"/>
      <c r="I204" s="10"/>
      <c r="J204" s="12"/>
      <c r="K204" s="13" t="str">
        <f aca="false">IF(ISNUMBER(B204),YEAR(B204),"")</f>
        <v/>
      </c>
      <c r="L204" s="13" t="str">
        <f aca="false">IF(ISNUMBER(B204),MONTH(B204),"")</f>
        <v/>
      </c>
      <c r="M204" s="13" t="str">
        <f aca="false">IF(AND(ISNUMBER(B204),ISNUMBER(I204)),B204-I204+1,"")</f>
        <v/>
      </c>
      <c r="N204" s="14" t="str">
        <f aca="false">IF(B204="","",IF(M204="","시작일 미입력",IF(M204&lt;1,"시작일 이전(확인)",IF(M204=1,"1일째",IF(M204=2,"2일째",IF(M204=3,"3일째",IF(M204&lt;=7,"일주일 이내",IF(M204&lt;=14,"이주일 이내","15일 이후"))))))))</f>
        <v/>
      </c>
      <c r="O204" s="0" t="str">
        <f aca="false">IF(AND(COUNTA($A204:$J204)&gt;0,OR(클레임조회!$C$4="",AND(ISNUMBER($B204),$B204&gt;=클레임조회!$C$4)),OR(클레임조회!$C$5="",AND(ISNUMBER($B204),$B204&lt;=클레임조회!$C$5)),OR(클레임조회!$C$6="",$C204=클레임조회!$C$6),OR(클레임조회!$C$7="",$D204=클레임조회!$C$7),OR(클레임조회!$C$8="",$E204=클레임조회!$C$8),OR(클레임조회!$C$9="",$F204=클레임조회!$C$9),OR(클레임조회!$C$10="",ISNUMBER(SEARCH(클레임조회!$C$10,$C204&amp;" "&amp;$F204&amp;" "&amp;$G204&amp;" "&amp;$H204)))),COUNT(O$1:O203)+1,"")</f>
        <v/>
      </c>
      <c r="P204" s="0" t="str">
        <f aca="false">IF(AND(TRIM(C204)&lt;&gt;"",COUNTIF(C$2:C204,C204)=1),MAX(P$1:P203)+1,"")</f>
        <v/>
      </c>
      <c r="Q204" s="0" t="str">
        <f aca="false">IF(AND(TRIM(F204)&lt;&gt;"",COUNTIF(F$2:F204,F204)=1),MAX(Q$1:Q203)+1,"")</f>
        <v/>
      </c>
    </row>
    <row r="205" customFormat="false" ht="15" hidden="false" customHeight="false" outlineLevel="0" collapsed="false">
      <c r="A205" s="9"/>
      <c r="B205" s="10"/>
      <c r="C205" s="11"/>
      <c r="D205" s="11"/>
      <c r="E205" s="11"/>
      <c r="F205" s="11"/>
      <c r="G205" s="12"/>
      <c r="H205" s="12"/>
      <c r="I205" s="10"/>
      <c r="J205" s="12"/>
      <c r="K205" s="13" t="str">
        <f aca="false">IF(ISNUMBER(B205),YEAR(B205),"")</f>
        <v/>
      </c>
      <c r="L205" s="13" t="str">
        <f aca="false">IF(ISNUMBER(B205),MONTH(B205),"")</f>
        <v/>
      </c>
      <c r="M205" s="13" t="str">
        <f aca="false">IF(AND(ISNUMBER(B205),ISNUMBER(I205)),B205-I205+1,"")</f>
        <v/>
      </c>
      <c r="N205" s="14" t="str">
        <f aca="false">IF(B205="","",IF(M205="","시작일 미입력",IF(M205&lt;1,"시작일 이전(확인)",IF(M205=1,"1일째",IF(M205=2,"2일째",IF(M205=3,"3일째",IF(M205&lt;=7,"일주일 이내",IF(M205&lt;=14,"이주일 이내","15일 이후"))))))))</f>
        <v/>
      </c>
      <c r="O205" s="0" t="str">
        <f aca="false">IF(AND(COUNTA($A205:$J205)&gt;0,OR(클레임조회!$C$4="",AND(ISNUMBER($B205),$B205&gt;=클레임조회!$C$4)),OR(클레임조회!$C$5="",AND(ISNUMBER($B205),$B205&lt;=클레임조회!$C$5)),OR(클레임조회!$C$6="",$C205=클레임조회!$C$6),OR(클레임조회!$C$7="",$D205=클레임조회!$C$7),OR(클레임조회!$C$8="",$E205=클레임조회!$C$8),OR(클레임조회!$C$9="",$F205=클레임조회!$C$9),OR(클레임조회!$C$10="",ISNUMBER(SEARCH(클레임조회!$C$10,$C205&amp;" "&amp;$F205&amp;" "&amp;$G205&amp;" "&amp;$H205)))),COUNT(O$1:O204)+1,"")</f>
        <v/>
      </c>
      <c r="P205" s="0" t="str">
        <f aca="false">IF(AND(TRIM(C205)&lt;&gt;"",COUNTIF(C$2:C205,C205)=1),MAX(P$1:P204)+1,"")</f>
        <v/>
      </c>
      <c r="Q205" s="0" t="str">
        <f aca="false">IF(AND(TRIM(F205)&lt;&gt;"",COUNTIF(F$2:F205,F205)=1),MAX(Q$1:Q204)+1,"")</f>
        <v/>
      </c>
    </row>
    <row r="206" customFormat="false" ht="15" hidden="false" customHeight="false" outlineLevel="0" collapsed="false">
      <c r="A206" s="9"/>
      <c r="B206" s="10"/>
      <c r="C206" s="11"/>
      <c r="D206" s="11"/>
      <c r="E206" s="11"/>
      <c r="F206" s="11"/>
      <c r="G206" s="12"/>
      <c r="H206" s="12"/>
      <c r="I206" s="10"/>
      <c r="J206" s="12"/>
      <c r="K206" s="13" t="str">
        <f aca="false">IF(ISNUMBER(B206),YEAR(B206),"")</f>
        <v/>
      </c>
      <c r="L206" s="13" t="str">
        <f aca="false">IF(ISNUMBER(B206),MONTH(B206),"")</f>
        <v/>
      </c>
      <c r="M206" s="13" t="str">
        <f aca="false">IF(AND(ISNUMBER(B206),ISNUMBER(I206)),B206-I206+1,"")</f>
        <v/>
      </c>
      <c r="N206" s="14" t="str">
        <f aca="false">IF(B206="","",IF(M206="","시작일 미입력",IF(M206&lt;1,"시작일 이전(확인)",IF(M206=1,"1일째",IF(M206=2,"2일째",IF(M206=3,"3일째",IF(M206&lt;=7,"일주일 이내",IF(M206&lt;=14,"이주일 이내","15일 이후"))))))))</f>
        <v/>
      </c>
      <c r="O206" s="0" t="str">
        <f aca="false">IF(AND(COUNTA($A206:$J206)&gt;0,OR(클레임조회!$C$4="",AND(ISNUMBER($B206),$B206&gt;=클레임조회!$C$4)),OR(클레임조회!$C$5="",AND(ISNUMBER($B206),$B206&lt;=클레임조회!$C$5)),OR(클레임조회!$C$6="",$C206=클레임조회!$C$6),OR(클레임조회!$C$7="",$D206=클레임조회!$C$7),OR(클레임조회!$C$8="",$E206=클레임조회!$C$8),OR(클레임조회!$C$9="",$F206=클레임조회!$C$9),OR(클레임조회!$C$10="",ISNUMBER(SEARCH(클레임조회!$C$10,$C206&amp;" "&amp;$F206&amp;" "&amp;$G206&amp;" "&amp;$H206)))),COUNT(O$1:O205)+1,"")</f>
        <v/>
      </c>
      <c r="P206" s="0" t="str">
        <f aca="false">IF(AND(TRIM(C206)&lt;&gt;"",COUNTIF(C$2:C206,C206)=1),MAX(P$1:P205)+1,"")</f>
        <v/>
      </c>
      <c r="Q206" s="0" t="str">
        <f aca="false">IF(AND(TRIM(F206)&lt;&gt;"",COUNTIF(F$2:F206,F206)=1),MAX(Q$1:Q205)+1,"")</f>
        <v/>
      </c>
    </row>
    <row r="207" customFormat="false" ht="15" hidden="false" customHeight="false" outlineLevel="0" collapsed="false">
      <c r="A207" s="9"/>
      <c r="B207" s="10"/>
      <c r="C207" s="11"/>
      <c r="D207" s="11"/>
      <c r="E207" s="11"/>
      <c r="F207" s="11"/>
      <c r="G207" s="12"/>
      <c r="H207" s="12"/>
      <c r="I207" s="10"/>
      <c r="J207" s="12"/>
      <c r="K207" s="13" t="str">
        <f aca="false">IF(ISNUMBER(B207),YEAR(B207),"")</f>
        <v/>
      </c>
      <c r="L207" s="13" t="str">
        <f aca="false">IF(ISNUMBER(B207),MONTH(B207),"")</f>
        <v/>
      </c>
      <c r="M207" s="13" t="str">
        <f aca="false">IF(AND(ISNUMBER(B207),ISNUMBER(I207)),B207-I207+1,"")</f>
        <v/>
      </c>
      <c r="N207" s="14" t="str">
        <f aca="false">IF(B207="","",IF(M207="","시작일 미입력",IF(M207&lt;1,"시작일 이전(확인)",IF(M207=1,"1일째",IF(M207=2,"2일째",IF(M207=3,"3일째",IF(M207&lt;=7,"일주일 이내",IF(M207&lt;=14,"이주일 이내","15일 이후"))))))))</f>
        <v/>
      </c>
      <c r="O207" s="0" t="str">
        <f aca="false">IF(AND(COUNTA($A207:$J207)&gt;0,OR(클레임조회!$C$4="",AND(ISNUMBER($B207),$B207&gt;=클레임조회!$C$4)),OR(클레임조회!$C$5="",AND(ISNUMBER($B207),$B207&lt;=클레임조회!$C$5)),OR(클레임조회!$C$6="",$C207=클레임조회!$C$6),OR(클레임조회!$C$7="",$D207=클레임조회!$C$7),OR(클레임조회!$C$8="",$E207=클레임조회!$C$8),OR(클레임조회!$C$9="",$F207=클레임조회!$C$9),OR(클레임조회!$C$10="",ISNUMBER(SEARCH(클레임조회!$C$10,$C207&amp;" "&amp;$F207&amp;" "&amp;$G207&amp;" "&amp;$H207)))),COUNT(O$1:O206)+1,"")</f>
        <v/>
      </c>
      <c r="P207" s="0" t="str">
        <f aca="false">IF(AND(TRIM(C207)&lt;&gt;"",COUNTIF(C$2:C207,C207)=1),MAX(P$1:P206)+1,"")</f>
        <v/>
      </c>
      <c r="Q207" s="0" t="str">
        <f aca="false">IF(AND(TRIM(F207)&lt;&gt;"",COUNTIF(F$2:F207,F207)=1),MAX(Q$1:Q206)+1,"")</f>
        <v/>
      </c>
    </row>
    <row r="208" customFormat="false" ht="15" hidden="false" customHeight="false" outlineLevel="0" collapsed="false">
      <c r="A208" s="9"/>
      <c r="B208" s="10"/>
      <c r="C208" s="11"/>
      <c r="D208" s="11"/>
      <c r="E208" s="11"/>
      <c r="F208" s="11"/>
      <c r="G208" s="12"/>
      <c r="H208" s="12"/>
      <c r="I208" s="10"/>
      <c r="J208" s="12"/>
      <c r="K208" s="13" t="str">
        <f aca="false">IF(ISNUMBER(B208),YEAR(B208),"")</f>
        <v/>
      </c>
      <c r="L208" s="13" t="str">
        <f aca="false">IF(ISNUMBER(B208),MONTH(B208),"")</f>
        <v/>
      </c>
      <c r="M208" s="13" t="str">
        <f aca="false">IF(AND(ISNUMBER(B208),ISNUMBER(I208)),B208-I208+1,"")</f>
        <v/>
      </c>
      <c r="N208" s="14" t="str">
        <f aca="false">IF(B208="","",IF(M208="","시작일 미입력",IF(M208&lt;1,"시작일 이전(확인)",IF(M208=1,"1일째",IF(M208=2,"2일째",IF(M208=3,"3일째",IF(M208&lt;=7,"일주일 이내",IF(M208&lt;=14,"이주일 이내","15일 이후"))))))))</f>
        <v/>
      </c>
      <c r="O208" s="0" t="str">
        <f aca="false">IF(AND(COUNTA($A208:$J208)&gt;0,OR(클레임조회!$C$4="",AND(ISNUMBER($B208),$B208&gt;=클레임조회!$C$4)),OR(클레임조회!$C$5="",AND(ISNUMBER($B208),$B208&lt;=클레임조회!$C$5)),OR(클레임조회!$C$6="",$C208=클레임조회!$C$6),OR(클레임조회!$C$7="",$D208=클레임조회!$C$7),OR(클레임조회!$C$8="",$E208=클레임조회!$C$8),OR(클레임조회!$C$9="",$F208=클레임조회!$C$9),OR(클레임조회!$C$10="",ISNUMBER(SEARCH(클레임조회!$C$10,$C208&amp;" "&amp;$F208&amp;" "&amp;$G208&amp;" "&amp;$H208)))),COUNT(O$1:O207)+1,"")</f>
        <v/>
      </c>
      <c r="P208" s="0" t="str">
        <f aca="false">IF(AND(TRIM(C208)&lt;&gt;"",COUNTIF(C$2:C208,C208)=1),MAX(P$1:P207)+1,"")</f>
        <v/>
      </c>
      <c r="Q208" s="0" t="str">
        <f aca="false">IF(AND(TRIM(F208)&lt;&gt;"",COUNTIF(F$2:F208,F208)=1),MAX(Q$1:Q207)+1,"")</f>
        <v/>
      </c>
    </row>
    <row r="209" customFormat="false" ht="15" hidden="false" customHeight="false" outlineLevel="0" collapsed="false">
      <c r="A209" s="9"/>
      <c r="B209" s="10"/>
      <c r="C209" s="11"/>
      <c r="D209" s="11"/>
      <c r="E209" s="11"/>
      <c r="F209" s="11"/>
      <c r="G209" s="12"/>
      <c r="H209" s="12"/>
      <c r="I209" s="10"/>
      <c r="J209" s="12"/>
      <c r="K209" s="13" t="str">
        <f aca="false">IF(ISNUMBER(B209),YEAR(B209),"")</f>
        <v/>
      </c>
      <c r="L209" s="13" t="str">
        <f aca="false">IF(ISNUMBER(B209),MONTH(B209),"")</f>
        <v/>
      </c>
      <c r="M209" s="13" t="str">
        <f aca="false">IF(AND(ISNUMBER(B209),ISNUMBER(I209)),B209-I209+1,"")</f>
        <v/>
      </c>
      <c r="N209" s="14" t="str">
        <f aca="false">IF(B209="","",IF(M209="","시작일 미입력",IF(M209&lt;1,"시작일 이전(확인)",IF(M209=1,"1일째",IF(M209=2,"2일째",IF(M209=3,"3일째",IF(M209&lt;=7,"일주일 이내",IF(M209&lt;=14,"이주일 이내","15일 이후"))))))))</f>
        <v/>
      </c>
      <c r="O209" s="0" t="str">
        <f aca="false">IF(AND(COUNTA($A209:$J209)&gt;0,OR(클레임조회!$C$4="",AND(ISNUMBER($B209),$B209&gt;=클레임조회!$C$4)),OR(클레임조회!$C$5="",AND(ISNUMBER($B209),$B209&lt;=클레임조회!$C$5)),OR(클레임조회!$C$6="",$C209=클레임조회!$C$6),OR(클레임조회!$C$7="",$D209=클레임조회!$C$7),OR(클레임조회!$C$8="",$E209=클레임조회!$C$8),OR(클레임조회!$C$9="",$F209=클레임조회!$C$9),OR(클레임조회!$C$10="",ISNUMBER(SEARCH(클레임조회!$C$10,$C209&amp;" "&amp;$F209&amp;" "&amp;$G209&amp;" "&amp;$H209)))),COUNT(O$1:O208)+1,"")</f>
        <v/>
      </c>
      <c r="P209" s="0" t="str">
        <f aca="false">IF(AND(TRIM(C209)&lt;&gt;"",COUNTIF(C$2:C209,C209)=1),MAX(P$1:P208)+1,"")</f>
        <v/>
      </c>
      <c r="Q209" s="0" t="str">
        <f aca="false">IF(AND(TRIM(F209)&lt;&gt;"",COUNTIF(F$2:F209,F209)=1),MAX(Q$1:Q208)+1,"")</f>
        <v/>
      </c>
    </row>
    <row r="210" customFormat="false" ht="15" hidden="false" customHeight="false" outlineLevel="0" collapsed="false">
      <c r="A210" s="9"/>
      <c r="B210" s="10"/>
      <c r="C210" s="11"/>
      <c r="D210" s="11"/>
      <c r="E210" s="11"/>
      <c r="F210" s="11"/>
      <c r="G210" s="12"/>
      <c r="H210" s="12"/>
      <c r="I210" s="10"/>
      <c r="J210" s="12"/>
      <c r="K210" s="13" t="str">
        <f aca="false">IF(ISNUMBER(B210),YEAR(B210),"")</f>
        <v/>
      </c>
      <c r="L210" s="13" t="str">
        <f aca="false">IF(ISNUMBER(B210),MONTH(B210),"")</f>
        <v/>
      </c>
      <c r="M210" s="13" t="str">
        <f aca="false">IF(AND(ISNUMBER(B210),ISNUMBER(I210)),B210-I210+1,"")</f>
        <v/>
      </c>
      <c r="N210" s="14" t="str">
        <f aca="false">IF(B210="","",IF(M210="","시작일 미입력",IF(M210&lt;1,"시작일 이전(확인)",IF(M210=1,"1일째",IF(M210=2,"2일째",IF(M210=3,"3일째",IF(M210&lt;=7,"일주일 이내",IF(M210&lt;=14,"이주일 이내","15일 이후"))))))))</f>
        <v/>
      </c>
      <c r="O210" s="0" t="str">
        <f aca="false">IF(AND(COUNTA($A210:$J210)&gt;0,OR(클레임조회!$C$4="",AND(ISNUMBER($B210),$B210&gt;=클레임조회!$C$4)),OR(클레임조회!$C$5="",AND(ISNUMBER($B210),$B210&lt;=클레임조회!$C$5)),OR(클레임조회!$C$6="",$C210=클레임조회!$C$6),OR(클레임조회!$C$7="",$D210=클레임조회!$C$7),OR(클레임조회!$C$8="",$E210=클레임조회!$C$8),OR(클레임조회!$C$9="",$F210=클레임조회!$C$9),OR(클레임조회!$C$10="",ISNUMBER(SEARCH(클레임조회!$C$10,$C210&amp;" "&amp;$F210&amp;" "&amp;$G210&amp;" "&amp;$H210)))),COUNT(O$1:O209)+1,"")</f>
        <v/>
      </c>
      <c r="P210" s="0" t="str">
        <f aca="false">IF(AND(TRIM(C210)&lt;&gt;"",COUNTIF(C$2:C210,C210)=1),MAX(P$1:P209)+1,"")</f>
        <v/>
      </c>
      <c r="Q210" s="0" t="str">
        <f aca="false">IF(AND(TRIM(F210)&lt;&gt;"",COUNTIF(F$2:F210,F210)=1),MAX(Q$1:Q209)+1,"")</f>
        <v/>
      </c>
    </row>
    <row r="211" customFormat="false" ht="15" hidden="false" customHeight="false" outlineLevel="0" collapsed="false">
      <c r="A211" s="9"/>
      <c r="B211" s="10"/>
      <c r="C211" s="11"/>
      <c r="D211" s="11"/>
      <c r="E211" s="11"/>
      <c r="F211" s="11"/>
      <c r="G211" s="12"/>
      <c r="H211" s="12"/>
      <c r="I211" s="10"/>
      <c r="J211" s="12"/>
      <c r="K211" s="13" t="str">
        <f aca="false">IF(ISNUMBER(B211),YEAR(B211),"")</f>
        <v/>
      </c>
      <c r="L211" s="13" t="str">
        <f aca="false">IF(ISNUMBER(B211),MONTH(B211),"")</f>
        <v/>
      </c>
      <c r="M211" s="13" t="str">
        <f aca="false">IF(AND(ISNUMBER(B211),ISNUMBER(I211)),B211-I211+1,"")</f>
        <v/>
      </c>
      <c r="N211" s="14" t="str">
        <f aca="false">IF(B211="","",IF(M211="","시작일 미입력",IF(M211&lt;1,"시작일 이전(확인)",IF(M211=1,"1일째",IF(M211=2,"2일째",IF(M211=3,"3일째",IF(M211&lt;=7,"일주일 이내",IF(M211&lt;=14,"이주일 이내","15일 이후"))))))))</f>
        <v/>
      </c>
      <c r="O211" s="0" t="str">
        <f aca="false">IF(AND(COUNTA($A211:$J211)&gt;0,OR(클레임조회!$C$4="",AND(ISNUMBER($B211),$B211&gt;=클레임조회!$C$4)),OR(클레임조회!$C$5="",AND(ISNUMBER($B211),$B211&lt;=클레임조회!$C$5)),OR(클레임조회!$C$6="",$C211=클레임조회!$C$6),OR(클레임조회!$C$7="",$D211=클레임조회!$C$7),OR(클레임조회!$C$8="",$E211=클레임조회!$C$8),OR(클레임조회!$C$9="",$F211=클레임조회!$C$9),OR(클레임조회!$C$10="",ISNUMBER(SEARCH(클레임조회!$C$10,$C211&amp;" "&amp;$F211&amp;" "&amp;$G211&amp;" "&amp;$H211)))),COUNT(O$1:O210)+1,"")</f>
        <v/>
      </c>
      <c r="P211" s="0" t="str">
        <f aca="false">IF(AND(TRIM(C211)&lt;&gt;"",COUNTIF(C$2:C211,C211)=1),MAX(P$1:P210)+1,"")</f>
        <v/>
      </c>
      <c r="Q211" s="0" t="str">
        <f aca="false">IF(AND(TRIM(F211)&lt;&gt;"",COUNTIF(F$2:F211,F211)=1),MAX(Q$1:Q210)+1,"")</f>
        <v/>
      </c>
    </row>
    <row r="212" customFormat="false" ht="15" hidden="false" customHeight="false" outlineLevel="0" collapsed="false">
      <c r="A212" s="9"/>
      <c r="B212" s="10"/>
      <c r="C212" s="11"/>
      <c r="D212" s="11"/>
      <c r="E212" s="11"/>
      <c r="F212" s="11"/>
      <c r="G212" s="12"/>
      <c r="H212" s="12"/>
      <c r="I212" s="10"/>
      <c r="J212" s="12"/>
      <c r="K212" s="13" t="str">
        <f aca="false">IF(ISNUMBER(B212),YEAR(B212),"")</f>
        <v/>
      </c>
      <c r="L212" s="13" t="str">
        <f aca="false">IF(ISNUMBER(B212),MONTH(B212),"")</f>
        <v/>
      </c>
      <c r="M212" s="13" t="str">
        <f aca="false">IF(AND(ISNUMBER(B212),ISNUMBER(I212)),B212-I212+1,"")</f>
        <v/>
      </c>
      <c r="N212" s="14" t="str">
        <f aca="false">IF(B212="","",IF(M212="","시작일 미입력",IF(M212&lt;1,"시작일 이전(확인)",IF(M212=1,"1일째",IF(M212=2,"2일째",IF(M212=3,"3일째",IF(M212&lt;=7,"일주일 이내",IF(M212&lt;=14,"이주일 이내","15일 이후"))))))))</f>
        <v/>
      </c>
      <c r="O212" s="0" t="str">
        <f aca="false">IF(AND(COUNTA($A212:$J212)&gt;0,OR(클레임조회!$C$4="",AND(ISNUMBER($B212),$B212&gt;=클레임조회!$C$4)),OR(클레임조회!$C$5="",AND(ISNUMBER($B212),$B212&lt;=클레임조회!$C$5)),OR(클레임조회!$C$6="",$C212=클레임조회!$C$6),OR(클레임조회!$C$7="",$D212=클레임조회!$C$7),OR(클레임조회!$C$8="",$E212=클레임조회!$C$8),OR(클레임조회!$C$9="",$F212=클레임조회!$C$9),OR(클레임조회!$C$10="",ISNUMBER(SEARCH(클레임조회!$C$10,$C212&amp;" "&amp;$F212&amp;" "&amp;$G212&amp;" "&amp;$H212)))),COUNT(O$1:O211)+1,"")</f>
        <v/>
      </c>
      <c r="P212" s="0" t="str">
        <f aca="false">IF(AND(TRIM(C212)&lt;&gt;"",COUNTIF(C$2:C212,C212)=1),MAX(P$1:P211)+1,"")</f>
        <v/>
      </c>
      <c r="Q212" s="0" t="str">
        <f aca="false">IF(AND(TRIM(F212)&lt;&gt;"",COUNTIF(F$2:F212,F212)=1),MAX(Q$1:Q211)+1,"")</f>
        <v/>
      </c>
    </row>
    <row r="213" customFormat="false" ht="15" hidden="false" customHeight="false" outlineLevel="0" collapsed="false">
      <c r="A213" s="9"/>
      <c r="B213" s="10"/>
      <c r="C213" s="11"/>
      <c r="D213" s="11"/>
      <c r="E213" s="11"/>
      <c r="F213" s="11"/>
      <c r="G213" s="12"/>
      <c r="H213" s="12"/>
      <c r="I213" s="10"/>
      <c r="J213" s="12"/>
      <c r="K213" s="13" t="str">
        <f aca="false">IF(ISNUMBER(B213),YEAR(B213),"")</f>
        <v/>
      </c>
      <c r="L213" s="13" t="str">
        <f aca="false">IF(ISNUMBER(B213),MONTH(B213),"")</f>
        <v/>
      </c>
      <c r="M213" s="13" t="str">
        <f aca="false">IF(AND(ISNUMBER(B213),ISNUMBER(I213)),B213-I213+1,"")</f>
        <v/>
      </c>
      <c r="N213" s="14" t="str">
        <f aca="false">IF(B213="","",IF(M213="","시작일 미입력",IF(M213&lt;1,"시작일 이전(확인)",IF(M213=1,"1일째",IF(M213=2,"2일째",IF(M213=3,"3일째",IF(M213&lt;=7,"일주일 이내",IF(M213&lt;=14,"이주일 이내","15일 이후"))))))))</f>
        <v/>
      </c>
      <c r="O213" s="0" t="str">
        <f aca="false">IF(AND(COUNTA($A213:$J213)&gt;0,OR(클레임조회!$C$4="",AND(ISNUMBER($B213),$B213&gt;=클레임조회!$C$4)),OR(클레임조회!$C$5="",AND(ISNUMBER($B213),$B213&lt;=클레임조회!$C$5)),OR(클레임조회!$C$6="",$C213=클레임조회!$C$6),OR(클레임조회!$C$7="",$D213=클레임조회!$C$7),OR(클레임조회!$C$8="",$E213=클레임조회!$C$8),OR(클레임조회!$C$9="",$F213=클레임조회!$C$9),OR(클레임조회!$C$10="",ISNUMBER(SEARCH(클레임조회!$C$10,$C213&amp;" "&amp;$F213&amp;" "&amp;$G213&amp;" "&amp;$H213)))),COUNT(O$1:O212)+1,"")</f>
        <v/>
      </c>
      <c r="P213" s="0" t="str">
        <f aca="false">IF(AND(TRIM(C213)&lt;&gt;"",COUNTIF(C$2:C213,C213)=1),MAX(P$1:P212)+1,"")</f>
        <v/>
      </c>
      <c r="Q213" s="0" t="str">
        <f aca="false">IF(AND(TRIM(F213)&lt;&gt;"",COUNTIF(F$2:F213,F213)=1),MAX(Q$1:Q212)+1,"")</f>
        <v/>
      </c>
    </row>
    <row r="214" customFormat="false" ht="15" hidden="false" customHeight="false" outlineLevel="0" collapsed="false">
      <c r="A214" s="9"/>
      <c r="B214" s="10"/>
      <c r="C214" s="11"/>
      <c r="D214" s="11"/>
      <c r="E214" s="11"/>
      <c r="F214" s="11"/>
      <c r="G214" s="12"/>
      <c r="H214" s="12"/>
      <c r="I214" s="10"/>
      <c r="J214" s="12"/>
      <c r="K214" s="13" t="str">
        <f aca="false">IF(ISNUMBER(B214),YEAR(B214),"")</f>
        <v/>
      </c>
      <c r="L214" s="13" t="str">
        <f aca="false">IF(ISNUMBER(B214),MONTH(B214),"")</f>
        <v/>
      </c>
      <c r="M214" s="13" t="str">
        <f aca="false">IF(AND(ISNUMBER(B214),ISNUMBER(I214)),B214-I214+1,"")</f>
        <v/>
      </c>
      <c r="N214" s="14" t="str">
        <f aca="false">IF(B214="","",IF(M214="","시작일 미입력",IF(M214&lt;1,"시작일 이전(확인)",IF(M214=1,"1일째",IF(M214=2,"2일째",IF(M214=3,"3일째",IF(M214&lt;=7,"일주일 이내",IF(M214&lt;=14,"이주일 이내","15일 이후"))))))))</f>
        <v/>
      </c>
      <c r="O214" s="0" t="str">
        <f aca="false">IF(AND(COUNTA($A214:$J214)&gt;0,OR(클레임조회!$C$4="",AND(ISNUMBER($B214),$B214&gt;=클레임조회!$C$4)),OR(클레임조회!$C$5="",AND(ISNUMBER($B214),$B214&lt;=클레임조회!$C$5)),OR(클레임조회!$C$6="",$C214=클레임조회!$C$6),OR(클레임조회!$C$7="",$D214=클레임조회!$C$7),OR(클레임조회!$C$8="",$E214=클레임조회!$C$8),OR(클레임조회!$C$9="",$F214=클레임조회!$C$9),OR(클레임조회!$C$10="",ISNUMBER(SEARCH(클레임조회!$C$10,$C214&amp;" "&amp;$F214&amp;" "&amp;$G214&amp;" "&amp;$H214)))),COUNT(O$1:O213)+1,"")</f>
        <v/>
      </c>
      <c r="P214" s="0" t="str">
        <f aca="false">IF(AND(TRIM(C214)&lt;&gt;"",COUNTIF(C$2:C214,C214)=1),MAX(P$1:P213)+1,"")</f>
        <v/>
      </c>
      <c r="Q214" s="0" t="str">
        <f aca="false">IF(AND(TRIM(F214)&lt;&gt;"",COUNTIF(F$2:F214,F214)=1),MAX(Q$1:Q213)+1,"")</f>
        <v/>
      </c>
    </row>
    <row r="215" customFormat="false" ht="15" hidden="false" customHeight="false" outlineLevel="0" collapsed="false">
      <c r="A215" s="9"/>
      <c r="B215" s="10"/>
      <c r="C215" s="11"/>
      <c r="D215" s="11"/>
      <c r="E215" s="11"/>
      <c r="F215" s="11"/>
      <c r="G215" s="12"/>
      <c r="H215" s="12"/>
      <c r="I215" s="10"/>
      <c r="J215" s="12"/>
      <c r="K215" s="13" t="str">
        <f aca="false">IF(ISNUMBER(B215),YEAR(B215),"")</f>
        <v/>
      </c>
      <c r="L215" s="13" t="str">
        <f aca="false">IF(ISNUMBER(B215),MONTH(B215),"")</f>
        <v/>
      </c>
      <c r="M215" s="13" t="str">
        <f aca="false">IF(AND(ISNUMBER(B215),ISNUMBER(I215)),B215-I215+1,"")</f>
        <v/>
      </c>
      <c r="N215" s="14" t="str">
        <f aca="false">IF(B215="","",IF(M215="","시작일 미입력",IF(M215&lt;1,"시작일 이전(확인)",IF(M215=1,"1일째",IF(M215=2,"2일째",IF(M215=3,"3일째",IF(M215&lt;=7,"일주일 이내",IF(M215&lt;=14,"이주일 이내","15일 이후"))))))))</f>
        <v/>
      </c>
      <c r="O215" s="0" t="str">
        <f aca="false">IF(AND(COUNTA($A215:$J215)&gt;0,OR(클레임조회!$C$4="",AND(ISNUMBER($B215),$B215&gt;=클레임조회!$C$4)),OR(클레임조회!$C$5="",AND(ISNUMBER($B215),$B215&lt;=클레임조회!$C$5)),OR(클레임조회!$C$6="",$C215=클레임조회!$C$6),OR(클레임조회!$C$7="",$D215=클레임조회!$C$7),OR(클레임조회!$C$8="",$E215=클레임조회!$C$8),OR(클레임조회!$C$9="",$F215=클레임조회!$C$9),OR(클레임조회!$C$10="",ISNUMBER(SEARCH(클레임조회!$C$10,$C215&amp;" "&amp;$F215&amp;" "&amp;$G215&amp;" "&amp;$H215)))),COUNT(O$1:O214)+1,"")</f>
        <v/>
      </c>
      <c r="P215" s="0" t="str">
        <f aca="false">IF(AND(TRIM(C215)&lt;&gt;"",COUNTIF(C$2:C215,C215)=1),MAX(P$1:P214)+1,"")</f>
        <v/>
      </c>
      <c r="Q215" s="0" t="str">
        <f aca="false">IF(AND(TRIM(F215)&lt;&gt;"",COUNTIF(F$2:F215,F215)=1),MAX(Q$1:Q214)+1,"")</f>
        <v/>
      </c>
    </row>
    <row r="216" customFormat="false" ht="15" hidden="false" customHeight="false" outlineLevel="0" collapsed="false">
      <c r="A216" s="9"/>
      <c r="B216" s="10"/>
      <c r="C216" s="11"/>
      <c r="D216" s="11"/>
      <c r="E216" s="11"/>
      <c r="F216" s="11"/>
      <c r="G216" s="12"/>
      <c r="H216" s="12"/>
      <c r="I216" s="10"/>
      <c r="J216" s="12"/>
      <c r="K216" s="13" t="str">
        <f aca="false">IF(ISNUMBER(B216),YEAR(B216),"")</f>
        <v/>
      </c>
      <c r="L216" s="13" t="str">
        <f aca="false">IF(ISNUMBER(B216),MONTH(B216),"")</f>
        <v/>
      </c>
      <c r="M216" s="13" t="str">
        <f aca="false">IF(AND(ISNUMBER(B216),ISNUMBER(I216)),B216-I216+1,"")</f>
        <v/>
      </c>
      <c r="N216" s="14" t="str">
        <f aca="false">IF(B216="","",IF(M216="","시작일 미입력",IF(M216&lt;1,"시작일 이전(확인)",IF(M216=1,"1일째",IF(M216=2,"2일째",IF(M216=3,"3일째",IF(M216&lt;=7,"일주일 이내",IF(M216&lt;=14,"이주일 이내","15일 이후"))))))))</f>
        <v/>
      </c>
      <c r="O216" s="0" t="str">
        <f aca="false">IF(AND(COUNTA($A216:$J216)&gt;0,OR(클레임조회!$C$4="",AND(ISNUMBER($B216),$B216&gt;=클레임조회!$C$4)),OR(클레임조회!$C$5="",AND(ISNUMBER($B216),$B216&lt;=클레임조회!$C$5)),OR(클레임조회!$C$6="",$C216=클레임조회!$C$6),OR(클레임조회!$C$7="",$D216=클레임조회!$C$7),OR(클레임조회!$C$8="",$E216=클레임조회!$C$8),OR(클레임조회!$C$9="",$F216=클레임조회!$C$9),OR(클레임조회!$C$10="",ISNUMBER(SEARCH(클레임조회!$C$10,$C216&amp;" "&amp;$F216&amp;" "&amp;$G216&amp;" "&amp;$H216)))),COUNT(O$1:O215)+1,"")</f>
        <v/>
      </c>
      <c r="P216" s="0" t="str">
        <f aca="false">IF(AND(TRIM(C216)&lt;&gt;"",COUNTIF(C$2:C216,C216)=1),MAX(P$1:P215)+1,"")</f>
        <v/>
      </c>
      <c r="Q216" s="0" t="str">
        <f aca="false">IF(AND(TRIM(F216)&lt;&gt;"",COUNTIF(F$2:F216,F216)=1),MAX(Q$1:Q215)+1,"")</f>
        <v/>
      </c>
    </row>
    <row r="217" customFormat="false" ht="15" hidden="false" customHeight="false" outlineLevel="0" collapsed="false">
      <c r="A217" s="9"/>
      <c r="B217" s="10"/>
      <c r="C217" s="11"/>
      <c r="D217" s="11"/>
      <c r="E217" s="11"/>
      <c r="F217" s="11"/>
      <c r="G217" s="12"/>
      <c r="H217" s="12"/>
      <c r="I217" s="10"/>
      <c r="J217" s="12"/>
      <c r="K217" s="13" t="str">
        <f aca="false">IF(ISNUMBER(B217),YEAR(B217),"")</f>
        <v/>
      </c>
      <c r="L217" s="13" t="str">
        <f aca="false">IF(ISNUMBER(B217),MONTH(B217),"")</f>
        <v/>
      </c>
      <c r="M217" s="13" t="str">
        <f aca="false">IF(AND(ISNUMBER(B217),ISNUMBER(I217)),B217-I217+1,"")</f>
        <v/>
      </c>
      <c r="N217" s="14" t="str">
        <f aca="false">IF(B217="","",IF(M217="","시작일 미입력",IF(M217&lt;1,"시작일 이전(확인)",IF(M217=1,"1일째",IF(M217=2,"2일째",IF(M217=3,"3일째",IF(M217&lt;=7,"일주일 이내",IF(M217&lt;=14,"이주일 이내","15일 이후"))))))))</f>
        <v/>
      </c>
      <c r="O217" s="0" t="str">
        <f aca="false">IF(AND(COUNTA($A217:$J217)&gt;0,OR(클레임조회!$C$4="",AND(ISNUMBER($B217),$B217&gt;=클레임조회!$C$4)),OR(클레임조회!$C$5="",AND(ISNUMBER($B217),$B217&lt;=클레임조회!$C$5)),OR(클레임조회!$C$6="",$C217=클레임조회!$C$6),OR(클레임조회!$C$7="",$D217=클레임조회!$C$7),OR(클레임조회!$C$8="",$E217=클레임조회!$C$8),OR(클레임조회!$C$9="",$F217=클레임조회!$C$9),OR(클레임조회!$C$10="",ISNUMBER(SEARCH(클레임조회!$C$10,$C217&amp;" "&amp;$F217&amp;" "&amp;$G217&amp;" "&amp;$H217)))),COUNT(O$1:O216)+1,"")</f>
        <v/>
      </c>
      <c r="P217" s="0" t="str">
        <f aca="false">IF(AND(TRIM(C217)&lt;&gt;"",COUNTIF(C$2:C217,C217)=1),MAX(P$1:P216)+1,"")</f>
        <v/>
      </c>
      <c r="Q217" s="0" t="str">
        <f aca="false">IF(AND(TRIM(F217)&lt;&gt;"",COUNTIF(F$2:F217,F217)=1),MAX(Q$1:Q216)+1,"")</f>
        <v/>
      </c>
    </row>
    <row r="218" customFormat="false" ht="15" hidden="false" customHeight="false" outlineLevel="0" collapsed="false">
      <c r="A218" s="9"/>
      <c r="B218" s="10"/>
      <c r="C218" s="11"/>
      <c r="D218" s="11"/>
      <c r="E218" s="11"/>
      <c r="F218" s="11"/>
      <c r="G218" s="12"/>
      <c r="H218" s="12"/>
      <c r="I218" s="10"/>
      <c r="J218" s="12"/>
      <c r="K218" s="13" t="str">
        <f aca="false">IF(ISNUMBER(B218),YEAR(B218),"")</f>
        <v/>
      </c>
      <c r="L218" s="13" t="str">
        <f aca="false">IF(ISNUMBER(B218),MONTH(B218),"")</f>
        <v/>
      </c>
      <c r="M218" s="13" t="str">
        <f aca="false">IF(AND(ISNUMBER(B218),ISNUMBER(I218)),B218-I218+1,"")</f>
        <v/>
      </c>
      <c r="N218" s="14" t="str">
        <f aca="false">IF(B218="","",IF(M218="","시작일 미입력",IF(M218&lt;1,"시작일 이전(확인)",IF(M218=1,"1일째",IF(M218=2,"2일째",IF(M218=3,"3일째",IF(M218&lt;=7,"일주일 이내",IF(M218&lt;=14,"이주일 이내","15일 이후"))))))))</f>
        <v/>
      </c>
      <c r="O218" s="0" t="str">
        <f aca="false">IF(AND(COUNTA($A218:$J218)&gt;0,OR(클레임조회!$C$4="",AND(ISNUMBER($B218),$B218&gt;=클레임조회!$C$4)),OR(클레임조회!$C$5="",AND(ISNUMBER($B218),$B218&lt;=클레임조회!$C$5)),OR(클레임조회!$C$6="",$C218=클레임조회!$C$6),OR(클레임조회!$C$7="",$D218=클레임조회!$C$7),OR(클레임조회!$C$8="",$E218=클레임조회!$C$8),OR(클레임조회!$C$9="",$F218=클레임조회!$C$9),OR(클레임조회!$C$10="",ISNUMBER(SEARCH(클레임조회!$C$10,$C218&amp;" "&amp;$F218&amp;" "&amp;$G218&amp;" "&amp;$H218)))),COUNT(O$1:O217)+1,"")</f>
        <v/>
      </c>
      <c r="P218" s="0" t="str">
        <f aca="false">IF(AND(TRIM(C218)&lt;&gt;"",COUNTIF(C$2:C218,C218)=1),MAX(P$1:P217)+1,"")</f>
        <v/>
      </c>
      <c r="Q218" s="0" t="str">
        <f aca="false">IF(AND(TRIM(F218)&lt;&gt;"",COUNTIF(F$2:F218,F218)=1),MAX(Q$1:Q217)+1,"")</f>
        <v/>
      </c>
    </row>
    <row r="219" customFormat="false" ht="15" hidden="false" customHeight="false" outlineLevel="0" collapsed="false">
      <c r="A219" s="9"/>
      <c r="B219" s="10"/>
      <c r="C219" s="11"/>
      <c r="D219" s="11"/>
      <c r="E219" s="11"/>
      <c r="F219" s="11"/>
      <c r="G219" s="12"/>
      <c r="H219" s="12"/>
      <c r="I219" s="10"/>
      <c r="J219" s="12"/>
      <c r="K219" s="13" t="str">
        <f aca="false">IF(ISNUMBER(B219),YEAR(B219),"")</f>
        <v/>
      </c>
      <c r="L219" s="13" t="str">
        <f aca="false">IF(ISNUMBER(B219),MONTH(B219),"")</f>
        <v/>
      </c>
      <c r="M219" s="13" t="str">
        <f aca="false">IF(AND(ISNUMBER(B219),ISNUMBER(I219)),B219-I219+1,"")</f>
        <v/>
      </c>
      <c r="N219" s="14" t="str">
        <f aca="false">IF(B219="","",IF(M219="","시작일 미입력",IF(M219&lt;1,"시작일 이전(확인)",IF(M219=1,"1일째",IF(M219=2,"2일째",IF(M219=3,"3일째",IF(M219&lt;=7,"일주일 이내",IF(M219&lt;=14,"이주일 이내","15일 이후"))))))))</f>
        <v/>
      </c>
      <c r="O219" s="0" t="str">
        <f aca="false">IF(AND(COUNTA($A219:$J219)&gt;0,OR(클레임조회!$C$4="",AND(ISNUMBER($B219),$B219&gt;=클레임조회!$C$4)),OR(클레임조회!$C$5="",AND(ISNUMBER($B219),$B219&lt;=클레임조회!$C$5)),OR(클레임조회!$C$6="",$C219=클레임조회!$C$6),OR(클레임조회!$C$7="",$D219=클레임조회!$C$7),OR(클레임조회!$C$8="",$E219=클레임조회!$C$8),OR(클레임조회!$C$9="",$F219=클레임조회!$C$9),OR(클레임조회!$C$10="",ISNUMBER(SEARCH(클레임조회!$C$10,$C219&amp;" "&amp;$F219&amp;" "&amp;$G219&amp;" "&amp;$H219)))),COUNT(O$1:O218)+1,"")</f>
        <v/>
      </c>
      <c r="P219" s="0" t="str">
        <f aca="false">IF(AND(TRIM(C219)&lt;&gt;"",COUNTIF(C$2:C219,C219)=1),MAX(P$1:P218)+1,"")</f>
        <v/>
      </c>
      <c r="Q219" s="0" t="str">
        <f aca="false">IF(AND(TRIM(F219)&lt;&gt;"",COUNTIF(F$2:F219,F219)=1),MAX(Q$1:Q218)+1,"")</f>
        <v/>
      </c>
    </row>
    <row r="220" customFormat="false" ht="15" hidden="false" customHeight="false" outlineLevel="0" collapsed="false">
      <c r="A220" s="9"/>
      <c r="B220" s="10"/>
      <c r="C220" s="11"/>
      <c r="D220" s="11"/>
      <c r="E220" s="11"/>
      <c r="F220" s="11"/>
      <c r="G220" s="12"/>
      <c r="H220" s="12"/>
      <c r="I220" s="10"/>
      <c r="J220" s="12"/>
      <c r="K220" s="13" t="str">
        <f aca="false">IF(ISNUMBER(B220),YEAR(B220),"")</f>
        <v/>
      </c>
      <c r="L220" s="13" t="str">
        <f aca="false">IF(ISNUMBER(B220),MONTH(B220),"")</f>
        <v/>
      </c>
      <c r="M220" s="13" t="str">
        <f aca="false">IF(AND(ISNUMBER(B220),ISNUMBER(I220)),B220-I220+1,"")</f>
        <v/>
      </c>
      <c r="N220" s="14" t="str">
        <f aca="false">IF(B220="","",IF(M220="","시작일 미입력",IF(M220&lt;1,"시작일 이전(확인)",IF(M220=1,"1일째",IF(M220=2,"2일째",IF(M220=3,"3일째",IF(M220&lt;=7,"일주일 이내",IF(M220&lt;=14,"이주일 이내","15일 이후"))))))))</f>
        <v/>
      </c>
      <c r="O220" s="0" t="str">
        <f aca="false">IF(AND(COUNTA($A220:$J220)&gt;0,OR(클레임조회!$C$4="",AND(ISNUMBER($B220),$B220&gt;=클레임조회!$C$4)),OR(클레임조회!$C$5="",AND(ISNUMBER($B220),$B220&lt;=클레임조회!$C$5)),OR(클레임조회!$C$6="",$C220=클레임조회!$C$6),OR(클레임조회!$C$7="",$D220=클레임조회!$C$7),OR(클레임조회!$C$8="",$E220=클레임조회!$C$8),OR(클레임조회!$C$9="",$F220=클레임조회!$C$9),OR(클레임조회!$C$10="",ISNUMBER(SEARCH(클레임조회!$C$10,$C220&amp;" "&amp;$F220&amp;" "&amp;$G220&amp;" "&amp;$H220)))),COUNT(O$1:O219)+1,"")</f>
        <v/>
      </c>
      <c r="P220" s="0" t="str">
        <f aca="false">IF(AND(TRIM(C220)&lt;&gt;"",COUNTIF(C$2:C220,C220)=1),MAX(P$1:P219)+1,"")</f>
        <v/>
      </c>
      <c r="Q220" s="0" t="str">
        <f aca="false">IF(AND(TRIM(F220)&lt;&gt;"",COUNTIF(F$2:F220,F220)=1),MAX(Q$1:Q219)+1,"")</f>
        <v/>
      </c>
    </row>
    <row r="221" customFormat="false" ht="15" hidden="false" customHeight="false" outlineLevel="0" collapsed="false">
      <c r="A221" s="9"/>
      <c r="B221" s="10"/>
      <c r="C221" s="11"/>
      <c r="D221" s="11"/>
      <c r="E221" s="11"/>
      <c r="F221" s="11"/>
      <c r="G221" s="12"/>
      <c r="H221" s="12"/>
      <c r="I221" s="10"/>
      <c r="J221" s="12"/>
      <c r="K221" s="13" t="str">
        <f aca="false">IF(ISNUMBER(B221),YEAR(B221),"")</f>
        <v/>
      </c>
      <c r="L221" s="13" t="str">
        <f aca="false">IF(ISNUMBER(B221),MONTH(B221),"")</f>
        <v/>
      </c>
      <c r="M221" s="13" t="str">
        <f aca="false">IF(AND(ISNUMBER(B221),ISNUMBER(I221)),B221-I221+1,"")</f>
        <v/>
      </c>
      <c r="N221" s="14" t="str">
        <f aca="false">IF(B221="","",IF(M221="","시작일 미입력",IF(M221&lt;1,"시작일 이전(확인)",IF(M221=1,"1일째",IF(M221=2,"2일째",IF(M221=3,"3일째",IF(M221&lt;=7,"일주일 이내",IF(M221&lt;=14,"이주일 이내","15일 이후"))))))))</f>
        <v/>
      </c>
      <c r="O221" s="0" t="str">
        <f aca="false">IF(AND(COUNTA($A221:$J221)&gt;0,OR(클레임조회!$C$4="",AND(ISNUMBER($B221),$B221&gt;=클레임조회!$C$4)),OR(클레임조회!$C$5="",AND(ISNUMBER($B221),$B221&lt;=클레임조회!$C$5)),OR(클레임조회!$C$6="",$C221=클레임조회!$C$6),OR(클레임조회!$C$7="",$D221=클레임조회!$C$7),OR(클레임조회!$C$8="",$E221=클레임조회!$C$8),OR(클레임조회!$C$9="",$F221=클레임조회!$C$9),OR(클레임조회!$C$10="",ISNUMBER(SEARCH(클레임조회!$C$10,$C221&amp;" "&amp;$F221&amp;" "&amp;$G221&amp;" "&amp;$H221)))),COUNT(O$1:O220)+1,"")</f>
        <v/>
      </c>
      <c r="P221" s="0" t="str">
        <f aca="false">IF(AND(TRIM(C221)&lt;&gt;"",COUNTIF(C$2:C221,C221)=1),MAX(P$1:P220)+1,"")</f>
        <v/>
      </c>
      <c r="Q221" s="0" t="str">
        <f aca="false">IF(AND(TRIM(F221)&lt;&gt;"",COUNTIF(F$2:F221,F221)=1),MAX(Q$1:Q220)+1,"")</f>
        <v/>
      </c>
    </row>
    <row r="222" customFormat="false" ht="15" hidden="false" customHeight="false" outlineLevel="0" collapsed="false">
      <c r="A222" s="9"/>
      <c r="B222" s="10"/>
      <c r="C222" s="11"/>
      <c r="D222" s="11"/>
      <c r="E222" s="11"/>
      <c r="F222" s="11"/>
      <c r="G222" s="12"/>
      <c r="H222" s="12"/>
      <c r="I222" s="10"/>
      <c r="J222" s="12"/>
      <c r="K222" s="13" t="str">
        <f aca="false">IF(ISNUMBER(B222),YEAR(B222),"")</f>
        <v/>
      </c>
      <c r="L222" s="13" t="str">
        <f aca="false">IF(ISNUMBER(B222),MONTH(B222),"")</f>
        <v/>
      </c>
      <c r="M222" s="13" t="str">
        <f aca="false">IF(AND(ISNUMBER(B222),ISNUMBER(I222)),B222-I222+1,"")</f>
        <v/>
      </c>
      <c r="N222" s="14" t="str">
        <f aca="false">IF(B222="","",IF(M222="","시작일 미입력",IF(M222&lt;1,"시작일 이전(확인)",IF(M222=1,"1일째",IF(M222=2,"2일째",IF(M222=3,"3일째",IF(M222&lt;=7,"일주일 이내",IF(M222&lt;=14,"이주일 이내","15일 이후"))))))))</f>
        <v/>
      </c>
      <c r="O222" s="0" t="str">
        <f aca="false">IF(AND(COUNTA($A222:$J222)&gt;0,OR(클레임조회!$C$4="",AND(ISNUMBER($B222),$B222&gt;=클레임조회!$C$4)),OR(클레임조회!$C$5="",AND(ISNUMBER($B222),$B222&lt;=클레임조회!$C$5)),OR(클레임조회!$C$6="",$C222=클레임조회!$C$6),OR(클레임조회!$C$7="",$D222=클레임조회!$C$7),OR(클레임조회!$C$8="",$E222=클레임조회!$C$8),OR(클레임조회!$C$9="",$F222=클레임조회!$C$9),OR(클레임조회!$C$10="",ISNUMBER(SEARCH(클레임조회!$C$10,$C222&amp;" "&amp;$F222&amp;" "&amp;$G222&amp;" "&amp;$H222)))),COUNT(O$1:O221)+1,"")</f>
        <v/>
      </c>
      <c r="P222" s="0" t="str">
        <f aca="false">IF(AND(TRIM(C222)&lt;&gt;"",COUNTIF(C$2:C222,C222)=1),MAX(P$1:P221)+1,"")</f>
        <v/>
      </c>
      <c r="Q222" s="0" t="str">
        <f aca="false">IF(AND(TRIM(F222)&lt;&gt;"",COUNTIF(F$2:F222,F222)=1),MAX(Q$1:Q221)+1,"")</f>
        <v/>
      </c>
    </row>
    <row r="223" customFormat="false" ht="15" hidden="false" customHeight="false" outlineLevel="0" collapsed="false">
      <c r="A223" s="9"/>
      <c r="B223" s="10"/>
      <c r="C223" s="11"/>
      <c r="D223" s="11"/>
      <c r="E223" s="11"/>
      <c r="F223" s="11"/>
      <c r="G223" s="12"/>
      <c r="H223" s="12"/>
      <c r="I223" s="10"/>
      <c r="J223" s="12"/>
      <c r="K223" s="13" t="str">
        <f aca="false">IF(ISNUMBER(B223),YEAR(B223),"")</f>
        <v/>
      </c>
      <c r="L223" s="13" t="str">
        <f aca="false">IF(ISNUMBER(B223),MONTH(B223),"")</f>
        <v/>
      </c>
      <c r="M223" s="13" t="str">
        <f aca="false">IF(AND(ISNUMBER(B223),ISNUMBER(I223)),B223-I223+1,"")</f>
        <v/>
      </c>
      <c r="N223" s="14" t="str">
        <f aca="false">IF(B223="","",IF(M223="","시작일 미입력",IF(M223&lt;1,"시작일 이전(확인)",IF(M223=1,"1일째",IF(M223=2,"2일째",IF(M223=3,"3일째",IF(M223&lt;=7,"일주일 이내",IF(M223&lt;=14,"이주일 이내","15일 이후"))))))))</f>
        <v/>
      </c>
      <c r="O223" s="0" t="str">
        <f aca="false">IF(AND(COUNTA($A223:$J223)&gt;0,OR(클레임조회!$C$4="",AND(ISNUMBER($B223),$B223&gt;=클레임조회!$C$4)),OR(클레임조회!$C$5="",AND(ISNUMBER($B223),$B223&lt;=클레임조회!$C$5)),OR(클레임조회!$C$6="",$C223=클레임조회!$C$6),OR(클레임조회!$C$7="",$D223=클레임조회!$C$7),OR(클레임조회!$C$8="",$E223=클레임조회!$C$8),OR(클레임조회!$C$9="",$F223=클레임조회!$C$9),OR(클레임조회!$C$10="",ISNUMBER(SEARCH(클레임조회!$C$10,$C223&amp;" "&amp;$F223&amp;" "&amp;$G223&amp;" "&amp;$H223)))),COUNT(O$1:O222)+1,"")</f>
        <v/>
      </c>
      <c r="P223" s="0" t="str">
        <f aca="false">IF(AND(TRIM(C223)&lt;&gt;"",COUNTIF(C$2:C223,C223)=1),MAX(P$1:P222)+1,"")</f>
        <v/>
      </c>
      <c r="Q223" s="0" t="str">
        <f aca="false">IF(AND(TRIM(F223)&lt;&gt;"",COUNTIF(F$2:F223,F223)=1),MAX(Q$1:Q222)+1,"")</f>
        <v/>
      </c>
    </row>
    <row r="224" customFormat="false" ht="15" hidden="false" customHeight="false" outlineLevel="0" collapsed="false">
      <c r="A224" s="9"/>
      <c r="B224" s="10"/>
      <c r="C224" s="11"/>
      <c r="D224" s="11"/>
      <c r="E224" s="11"/>
      <c r="F224" s="11"/>
      <c r="G224" s="12"/>
      <c r="H224" s="12"/>
      <c r="I224" s="10"/>
      <c r="J224" s="12"/>
      <c r="K224" s="13" t="str">
        <f aca="false">IF(ISNUMBER(B224),YEAR(B224),"")</f>
        <v/>
      </c>
      <c r="L224" s="13" t="str">
        <f aca="false">IF(ISNUMBER(B224),MONTH(B224),"")</f>
        <v/>
      </c>
      <c r="M224" s="13" t="str">
        <f aca="false">IF(AND(ISNUMBER(B224),ISNUMBER(I224)),B224-I224+1,"")</f>
        <v/>
      </c>
      <c r="N224" s="14" t="str">
        <f aca="false">IF(B224="","",IF(M224="","시작일 미입력",IF(M224&lt;1,"시작일 이전(확인)",IF(M224=1,"1일째",IF(M224=2,"2일째",IF(M224=3,"3일째",IF(M224&lt;=7,"일주일 이내",IF(M224&lt;=14,"이주일 이내","15일 이후"))))))))</f>
        <v/>
      </c>
      <c r="O224" s="0" t="str">
        <f aca="false">IF(AND(COUNTA($A224:$J224)&gt;0,OR(클레임조회!$C$4="",AND(ISNUMBER($B224),$B224&gt;=클레임조회!$C$4)),OR(클레임조회!$C$5="",AND(ISNUMBER($B224),$B224&lt;=클레임조회!$C$5)),OR(클레임조회!$C$6="",$C224=클레임조회!$C$6),OR(클레임조회!$C$7="",$D224=클레임조회!$C$7),OR(클레임조회!$C$8="",$E224=클레임조회!$C$8),OR(클레임조회!$C$9="",$F224=클레임조회!$C$9),OR(클레임조회!$C$10="",ISNUMBER(SEARCH(클레임조회!$C$10,$C224&amp;" "&amp;$F224&amp;" "&amp;$G224&amp;" "&amp;$H224)))),COUNT(O$1:O223)+1,"")</f>
        <v/>
      </c>
      <c r="P224" s="0" t="str">
        <f aca="false">IF(AND(TRIM(C224)&lt;&gt;"",COUNTIF(C$2:C224,C224)=1),MAX(P$1:P223)+1,"")</f>
        <v/>
      </c>
      <c r="Q224" s="0" t="str">
        <f aca="false">IF(AND(TRIM(F224)&lt;&gt;"",COUNTIF(F$2:F224,F224)=1),MAX(Q$1:Q223)+1,"")</f>
        <v/>
      </c>
    </row>
    <row r="225" customFormat="false" ht="15" hidden="false" customHeight="false" outlineLevel="0" collapsed="false">
      <c r="A225" s="9"/>
      <c r="B225" s="10"/>
      <c r="C225" s="11"/>
      <c r="D225" s="11"/>
      <c r="E225" s="11"/>
      <c r="F225" s="11"/>
      <c r="G225" s="12"/>
      <c r="H225" s="12"/>
      <c r="I225" s="10"/>
      <c r="J225" s="12"/>
      <c r="K225" s="13" t="str">
        <f aca="false">IF(ISNUMBER(B225),YEAR(B225),"")</f>
        <v/>
      </c>
      <c r="L225" s="13" t="str">
        <f aca="false">IF(ISNUMBER(B225),MONTH(B225),"")</f>
        <v/>
      </c>
      <c r="M225" s="13" t="str">
        <f aca="false">IF(AND(ISNUMBER(B225),ISNUMBER(I225)),B225-I225+1,"")</f>
        <v/>
      </c>
      <c r="N225" s="14" t="str">
        <f aca="false">IF(B225="","",IF(M225="","시작일 미입력",IF(M225&lt;1,"시작일 이전(확인)",IF(M225=1,"1일째",IF(M225=2,"2일째",IF(M225=3,"3일째",IF(M225&lt;=7,"일주일 이내",IF(M225&lt;=14,"이주일 이내","15일 이후"))))))))</f>
        <v/>
      </c>
      <c r="O225" s="0" t="str">
        <f aca="false">IF(AND(COUNTA($A225:$J225)&gt;0,OR(클레임조회!$C$4="",AND(ISNUMBER($B225),$B225&gt;=클레임조회!$C$4)),OR(클레임조회!$C$5="",AND(ISNUMBER($B225),$B225&lt;=클레임조회!$C$5)),OR(클레임조회!$C$6="",$C225=클레임조회!$C$6),OR(클레임조회!$C$7="",$D225=클레임조회!$C$7),OR(클레임조회!$C$8="",$E225=클레임조회!$C$8),OR(클레임조회!$C$9="",$F225=클레임조회!$C$9),OR(클레임조회!$C$10="",ISNUMBER(SEARCH(클레임조회!$C$10,$C225&amp;" "&amp;$F225&amp;" "&amp;$G225&amp;" "&amp;$H225)))),COUNT(O$1:O224)+1,"")</f>
        <v/>
      </c>
      <c r="P225" s="0" t="str">
        <f aca="false">IF(AND(TRIM(C225)&lt;&gt;"",COUNTIF(C$2:C225,C225)=1),MAX(P$1:P224)+1,"")</f>
        <v/>
      </c>
      <c r="Q225" s="0" t="str">
        <f aca="false">IF(AND(TRIM(F225)&lt;&gt;"",COUNTIF(F$2:F225,F225)=1),MAX(Q$1:Q224)+1,"")</f>
        <v/>
      </c>
    </row>
    <row r="226" customFormat="false" ht="15" hidden="false" customHeight="false" outlineLevel="0" collapsed="false">
      <c r="A226" s="9"/>
      <c r="B226" s="10"/>
      <c r="C226" s="11"/>
      <c r="D226" s="11"/>
      <c r="E226" s="11"/>
      <c r="F226" s="11"/>
      <c r="G226" s="12"/>
      <c r="H226" s="12"/>
      <c r="I226" s="10"/>
      <c r="J226" s="12"/>
      <c r="K226" s="13" t="str">
        <f aca="false">IF(ISNUMBER(B226),YEAR(B226),"")</f>
        <v/>
      </c>
      <c r="L226" s="13" t="str">
        <f aca="false">IF(ISNUMBER(B226),MONTH(B226),"")</f>
        <v/>
      </c>
      <c r="M226" s="13" t="str">
        <f aca="false">IF(AND(ISNUMBER(B226),ISNUMBER(I226)),B226-I226+1,"")</f>
        <v/>
      </c>
      <c r="N226" s="14" t="str">
        <f aca="false">IF(B226="","",IF(M226="","시작일 미입력",IF(M226&lt;1,"시작일 이전(확인)",IF(M226=1,"1일째",IF(M226=2,"2일째",IF(M226=3,"3일째",IF(M226&lt;=7,"일주일 이내",IF(M226&lt;=14,"이주일 이내","15일 이후"))))))))</f>
        <v/>
      </c>
      <c r="O226" s="0" t="str">
        <f aca="false">IF(AND(COUNTA($A226:$J226)&gt;0,OR(클레임조회!$C$4="",AND(ISNUMBER($B226),$B226&gt;=클레임조회!$C$4)),OR(클레임조회!$C$5="",AND(ISNUMBER($B226),$B226&lt;=클레임조회!$C$5)),OR(클레임조회!$C$6="",$C226=클레임조회!$C$6),OR(클레임조회!$C$7="",$D226=클레임조회!$C$7),OR(클레임조회!$C$8="",$E226=클레임조회!$C$8),OR(클레임조회!$C$9="",$F226=클레임조회!$C$9),OR(클레임조회!$C$10="",ISNUMBER(SEARCH(클레임조회!$C$10,$C226&amp;" "&amp;$F226&amp;" "&amp;$G226&amp;" "&amp;$H226)))),COUNT(O$1:O225)+1,"")</f>
        <v/>
      </c>
      <c r="P226" s="0" t="str">
        <f aca="false">IF(AND(TRIM(C226)&lt;&gt;"",COUNTIF(C$2:C226,C226)=1),MAX(P$1:P225)+1,"")</f>
        <v/>
      </c>
      <c r="Q226" s="0" t="str">
        <f aca="false">IF(AND(TRIM(F226)&lt;&gt;"",COUNTIF(F$2:F226,F226)=1),MAX(Q$1:Q225)+1,"")</f>
        <v/>
      </c>
    </row>
    <row r="227" customFormat="false" ht="15" hidden="false" customHeight="false" outlineLevel="0" collapsed="false">
      <c r="A227" s="9"/>
      <c r="B227" s="10"/>
      <c r="C227" s="11"/>
      <c r="D227" s="11"/>
      <c r="E227" s="11"/>
      <c r="F227" s="11"/>
      <c r="G227" s="12"/>
      <c r="H227" s="12"/>
      <c r="I227" s="10"/>
      <c r="J227" s="12"/>
      <c r="K227" s="13" t="str">
        <f aca="false">IF(ISNUMBER(B227),YEAR(B227),"")</f>
        <v/>
      </c>
      <c r="L227" s="13" t="str">
        <f aca="false">IF(ISNUMBER(B227),MONTH(B227),"")</f>
        <v/>
      </c>
      <c r="M227" s="13" t="str">
        <f aca="false">IF(AND(ISNUMBER(B227),ISNUMBER(I227)),B227-I227+1,"")</f>
        <v/>
      </c>
      <c r="N227" s="14" t="str">
        <f aca="false">IF(B227="","",IF(M227="","시작일 미입력",IF(M227&lt;1,"시작일 이전(확인)",IF(M227=1,"1일째",IF(M227=2,"2일째",IF(M227=3,"3일째",IF(M227&lt;=7,"일주일 이내",IF(M227&lt;=14,"이주일 이내","15일 이후"))))))))</f>
        <v/>
      </c>
      <c r="O227" s="0" t="str">
        <f aca="false">IF(AND(COUNTA($A227:$J227)&gt;0,OR(클레임조회!$C$4="",AND(ISNUMBER($B227),$B227&gt;=클레임조회!$C$4)),OR(클레임조회!$C$5="",AND(ISNUMBER($B227),$B227&lt;=클레임조회!$C$5)),OR(클레임조회!$C$6="",$C227=클레임조회!$C$6),OR(클레임조회!$C$7="",$D227=클레임조회!$C$7),OR(클레임조회!$C$8="",$E227=클레임조회!$C$8),OR(클레임조회!$C$9="",$F227=클레임조회!$C$9),OR(클레임조회!$C$10="",ISNUMBER(SEARCH(클레임조회!$C$10,$C227&amp;" "&amp;$F227&amp;" "&amp;$G227&amp;" "&amp;$H227)))),COUNT(O$1:O226)+1,"")</f>
        <v/>
      </c>
      <c r="P227" s="0" t="str">
        <f aca="false">IF(AND(TRIM(C227)&lt;&gt;"",COUNTIF(C$2:C227,C227)=1),MAX(P$1:P226)+1,"")</f>
        <v/>
      </c>
      <c r="Q227" s="0" t="str">
        <f aca="false">IF(AND(TRIM(F227)&lt;&gt;"",COUNTIF(F$2:F227,F227)=1),MAX(Q$1:Q226)+1,"")</f>
        <v/>
      </c>
    </row>
    <row r="228" customFormat="false" ht="15" hidden="false" customHeight="false" outlineLevel="0" collapsed="false">
      <c r="A228" s="9"/>
      <c r="B228" s="10"/>
      <c r="C228" s="11"/>
      <c r="D228" s="11"/>
      <c r="E228" s="11"/>
      <c r="F228" s="11"/>
      <c r="G228" s="12"/>
      <c r="H228" s="12"/>
      <c r="I228" s="10"/>
      <c r="J228" s="12"/>
      <c r="K228" s="13" t="str">
        <f aca="false">IF(ISNUMBER(B228),YEAR(B228),"")</f>
        <v/>
      </c>
      <c r="L228" s="13" t="str">
        <f aca="false">IF(ISNUMBER(B228),MONTH(B228),"")</f>
        <v/>
      </c>
      <c r="M228" s="13" t="str">
        <f aca="false">IF(AND(ISNUMBER(B228),ISNUMBER(I228)),B228-I228+1,"")</f>
        <v/>
      </c>
      <c r="N228" s="14" t="str">
        <f aca="false">IF(B228="","",IF(M228="","시작일 미입력",IF(M228&lt;1,"시작일 이전(확인)",IF(M228=1,"1일째",IF(M228=2,"2일째",IF(M228=3,"3일째",IF(M228&lt;=7,"일주일 이내",IF(M228&lt;=14,"이주일 이내","15일 이후"))))))))</f>
        <v/>
      </c>
      <c r="O228" s="0" t="str">
        <f aca="false">IF(AND(COUNTA($A228:$J228)&gt;0,OR(클레임조회!$C$4="",AND(ISNUMBER($B228),$B228&gt;=클레임조회!$C$4)),OR(클레임조회!$C$5="",AND(ISNUMBER($B228),$B228&lt;=클레임조회!$C$5)),OR(클레임조회!$C$6="",$C228=클레임조회!$C$6),OR(클레임조회!$C$7="",$D228=클레임조회!$C$7),OR(클레임조회!$C$8="",$E228=클레임조회!$C$8),OR(클레임조회!$C$9="",$F228=클레임조회!$C$9),OR(클레임조회!$C$10="",ISNUMBER(SEARCH(클레임조회!$C$10,$C228&amp;" "&amp;$F228&amp;" "&amp;$G228&amp;" "&amp;$H228)))),COUNT(O$1:O227)+1,"")</f>
        <v/>
      </c>
      <c r="P228" s="0" t="str">
        <f aca="false">IF(AND(TRIM(C228)&lt;&gt;"",COUNTIF(C$2:C228,C228)=1),MAX(P$1:P227)+1,"")</f>
        <v/>
      </c>
      <c r="Q228" s="0" t="str">
        <f aca="false">IF(AND(TRIM(F228)&lt;&gt;"",COUNTIF(F$2:F228,F228)=1),MAX(Q$1:Q227)+1,"")</f>
        <v/>
      </c>
    </row>
    <row r="229" customFormat="false" ht="15" hidden="false" customHeight="false" outlineLevel="0" collapsed="false">
      <c r="A229" s="9"/>
      <c r="B229" s="10"/>
      <c r="C229" s="11"/>
      <c r="D229" s="11"/>
      <c r="E229" s="11"/>
      <c r="F229" s="11"/>
      <c r="G229" s="12"/>
      <c r="H229" s="12"/>
      <c r="I229" s="10"/>
      <c r="J229" s="12"/>
      <c r="K229" s="13" t="str">
        <f aca="false">IF(ISNUMBER(B229),YEAR(B229),"")</f>
        <v/>
      </c>
      <c r="L229" s="13" t="str">
        <f aca="false">IF(ISNUMBER(B229),MONTH(B229),"")</f>
        <v/>
      </c>
      <c r="M229" s="13" t="str">
        <f aca="false">IF(AND(ISNUMBER(B229),ISNUMBER(I229)),B229-I229+1,"")</f>
        <v/>
      </c>
      <c r="N229" s="14" t="str">
        <f aca="false">IF(B229="","",IF(M229="","시작일 미입력",IF(M229&lt;1,"시작일 이전(확인)",IF(M229=1,"1일째",IF(M229=2,"2일째",IF(M229=3,"3일째",IF(M229&lt;=7,"일주일 이내",IF(M229&lt;=14,"이주일 이내","15일 이후"))))))))</f>
        <v/>
      </c>
      <c r="O229" s="0" t="str">
        <f aca="false">IF(AND(COUNTA($A229:$J229)&gt;0,OR(클레임조회!$C$4="",AND(ISNUMBER($B229),$B229&gt;=클레임조회!$C$4)),OR(클레임조회!$C$5="",AND(ISNUMBER($B229),$B229&lt;=클레임조회!$C$5)),OR(클레임조회!$C$6="",$C229=클레임조회!$C$6),OR(클레임조회!$C$7="",$D229=클레임조회!$C$7),OR(클레임조회!$C$8="",$E229=클레임조회!$C$8),OR(클레임조회!$C$9="",$F229=클레임조회!$C$9),OR(클레임조회!$C$10="",ISNUMBER(SEARCH(클레임조회!$C$10,$C229&amp;" "&amp;$F229&amp;" "&amp;$G229&amp;" "&amp;$H229)))),COUNT(O$1:O228)+1,"")</f>
        <v/>
      </c>
      <c r="P229" s="0" t="str">
        <f aca="false">IF(AND(TRIM(C229)&lt;&gt;"",COUNTIF(C$2:C229,C229)=1),MAX(P$1:P228)+1,"")</f>
        <v/>
      </c>
      <c r="Q229" s="0" t="str">
        <f aca="false">IF(AND(TRIM(F229)&lt;&gt;"",COUNTIF(F$2:F229,F229)=1),MAX(Q$1:Q228)+1,"")</f>
        <v/>
      </c>
    </row>
    <row r="230" customFormat="false" ht="15" hidden="false" customHeight="false" outlineLevel="0" collapsed="false">
      <c r="A230" s="9"/>
      <c r="B230" s="10"/>
      <c r="C230" s="11"/>
      <c r="D230" s="11"/>
      <c r="E230" s="11"/>
      <c r="F230" s="11"/>
      <c r="G230" s="12"/>
      <c r="H230" s="12"/>
      <c r="I230" s="10"/>
      <c r="J230" s="12"/>
      <c r="K230" s="13" t="str">
        <f aca="false">IF(ISNUMBER(B230),YEAR(B230),"")</f>
        <v/>
      </c>
      <c r="L230" s="13" t="str">
        <f aca="false">IF(ISNUMBER(B230),MONTH(B230),"")</f>
        <v/>
      </c>
      <c r="M230" s="13" t="str">
        <f aca="false">IF(AND(ISNUMBER(B230),ISNUMBER(I230)),B230-I230+1,"")</f>
        <v/>
      </c>
      <c r="N230" s="14" t="str">
        <f aca="false">IF(B230="","",IF(M230="","시작일 미입력",IF(M230&lt;1,"시작일 이전(확인)",IF(M230=1,"1일째",IF(M230=2,"2일째",IF(M230=3,"3일째",IF(M230&lt;=7,"일주일 이내",IF(M230&lt;=14,"이주일 이내","15일 이후"))))))))</f>
        <v/>
      </c>
      <c r="O230" s="0" t="str">
        <f aca="false">IF(AND(COUNTA($A230:$J230)&gt;0,OR(클레임조회!$C$4="",AND(ISNUMBER($B230),$B230&gt;=클레임조회!$C$4)),OR(클레임조회!$C$5="",AND(ISNUMBER($B230),$B230&lt;=클레임조회!$C$5)),OR(클레임조회!$C$6="",$C230=클레임조회!$C$6),OR(클레임조회!$C$7="",$D230=클레임조회!$C$7),OR(클레임조회!$C$8="",$E230=클레임조회!$C$8),OR(클레임조회!$C$9="",$F230=클레임조회!$C$9),OR(클레임조회!$C$10="",ISNUMBER(SEARCH(클레임조회!$C$10,$C230&amp;" "&amp;$F230&amp;" "&amp;$G230&amp;" "&amp;$H230)))),COUNT(O$1:O229)+1,"")</f>
        <v/>
      </c>
      <c r="P230" s="0" t="str">
        <f aca="false">IF(AND(TRIM(C230)&lt;&gt;"",COUNTIF(C$2:C230,C230)=1),MAX(P$1:P229)+1,"")</f>
        <v/>
      </c>
      <c r="Q230" s="0" t="str">
        <f aca="false">IF(AND(TRIM(F230)&lt;&gt;"",COUNTIF(F$2:F230,F230)=1),MAX(Q$1:Q229)+1,"")</f>
        <v/>
      </c>
    </row>
    <row r="231" customFormat="false" ht="15" hidden="false" customHeight="false" outlineLevel="0" collapsed="false">
      <c r="A231" s="9"/>
      <c r="B231" s="10"/>
      <c r="C231" s="11"/>
      <c r="D231" s="11"/>
      <c r="E231" s="11"/>
      <c r="F231" s="11"/>
      <c r="G231" s="12"/>
      <c r="H231" s="12"/>
      <c r="I231" s="10"/>
      <c r="J231" s="12"/>
      <c r="K231" s="13" t="str">
        <f aca="false">IF(ISNUMBER(B231),YEAR(B231),"")</f>
        <v/>
      </c>
      <c r="L231" s="13" t="str">
        <f aca="false">IF(ISNUMBER(B231),MONTH(B231),"")</f>
        <v/>
      </c>
      <c r="M231" s="13" t="str">
        <f aca="false">IF(AND(ISNUMBER(B231),ISNUMBER(I231)),B231-I231+1,"")</f>
        <v/>
      </c>
      <c r="N231" s="14" t="str">
        <f aca="false">IF(B231="","",IF(M231="","시작일 미입력",IF(M231&lt;1,"시작일 이전(확인)",IF(M231=1,"1일째",IF(M231=2,"2일째",IF(M231=3,"3일째",IF(M231&lt;=7,"일주일 이내",IF(M231&lt;=14,"이주일 이내","15일 이후"))))))))</f>
        <v/>
      </c>
      <c r="O231" s="0" t="str">
        <f aca="false">IF(AND(COUNTA($A231:$J231)&gt;0,OR(클레임조회!$C$4="",AND(ISNUMBER($B231),$B231&gt;=클레임조회!$C$4)),OR(클레임조회!$C$5="",AND(ISNUMBER($B231),$B231&lt;=클레임조회!$C$5)),OR(클레임조회!$C$6="",$C231=클레임조회!$C$6),OR(클레임조회!$C$7="",$D231=클레임조회!$C$7),OR(클레임조회!$C$8="",$E231=클레임조회!$C$8),OR(클레임조회!$C$9="",$F231=클레임조회!$C$9),OR(클레임조회!$C$10="",ISNUMBER(SEARCH(클레임조회!$C$10,$C231&amp;" "&amp;$F231&amp;" "&amp;$G231&amp;" "&amp;$H231)))),COUNT(O$1:O230)+1,"")</f>
        <v/>
      </c>
      <c r="P231" s="0" t="str">
        <f aca="false">IF(AND(TRIM(C231)&lt;&gt;"",COUNTIF(C$2:C231,C231)=1),MAX(P$1:P230)+1,"")</f>
        <v/>
      </c>
      <c r="Q231" s="0" t="str">
        <f aca="false">IF(AND(TRIM(F231)&lt;&gt;"",COUNTIF(F$2:F231,F231)=1),MAX(Q$1:Q230)+1,"")</f>
        <v/>
      </c>
    </row>
    <row r="232" customFormat="false" ht="15" hidden="false" customHeight="false" outlineLevel="0" collapsed="false">
      <c r="A232" s="9"/>
      <c r="B232" s="10"/>
      <c r="C232" s="11"/>
      <c r="D232" s="11"/>
      <c r="E232" s="11"/>
      <c r="F232" s="11"/>
      <c r="G232" s="12"/>
      <c r="H232" s="12"/>
      <c r="I232" s="10"/>
      <c r="J232" s="12"/>
      <c r="K232" s="13" t="str">
        <f aca="false">IF(ISNUMBER(B232),YEAR(B232),"")</f>
        <v/>
      </c>
      <c r="L232" s="13" t="str">
        <f aca="false">IF(ISNUMBER(B232),MONTH(B232),"")</f>
        <v/>
      </c>
      <c r="M232" s="13" t="str">
        <f aca="false">IF(AND(ISNUMBER(B232),ISNUMBER(I232)),B232-I232+1,"")</f>
        <v/>
      </c>
      <c r="N232" s="14" t="str">
        <f aca="false">IF(B232="","",IF(M232="","시작일 미입력",IF(M232&lt;1,"시작일 이전(확인)",IF(M232=1,"1일째",IF(M232=2,"2일째",IF(M232=3,"3일째",IF(M232&lt;=7,"일주일 이내",IF(M232&lt;=14,"이주일 이내","15일 이후"))))))))</f>
        <v/>
      </c>
      <c r="O232" s="0" t="str">
        <f aca="false">IF(AND(COUNTA($A232:$J232)&gt;0,OR(클레임조회!$C$4="",AND(ISNUMBER($B232),$B232&gt;=클레임조회!$C$4)),OR(클레임조회!$C$5="",AND(ISNUMBER($B232),$B232&lt;=클레임조회!$C$5)),OR(클레임조회!$C$6="",$C232=클레임조회!$C$6),OR(클레임조회!$C$7="",$D232=클레임조회!$C$7),OR(클레임조회!$C$8="",$E232=클레임조회!$C$8),OR(클레임조회!$C$9="",$F232=클레임조회!$C$9),OR(클레임조회!$C$10="",ISNUMBER(SEARCH(클레임조회!$C$10,$C232&amp;" "&amp;$F232&amp;" "&amp;$G232&amp;" "&amp;$H232)))),COUNT(O$1:O231)+1,"")</f>
        <v/>
      </c>
      <c r="P232" s="0" t="str">
        <f aca="false">IF(AND(TRIM(C232)&lt;&gt;"",COUNTIF(C$2:C232,C232)=1),MAX(P$1:P231)+1,"")</f>
        <v/>
      </c>
      <c r="Q232" s="0" t="str">
        <f aca="false">IF(AND(TRIM(F232)&lt;&gt;"",COUNTIF(F$2:F232,F232)=1),MAX(Q$1:Q231)+1,"")</f>
        <v/>
      </c>
    </row>
    <row r="233" customFormat="false" ht="15" hidden="false" customHeight="false" outlineLevel="0" collapsed="false">
      <c r="A233" s="9"/>
      <c r="B233" s="10"/>
      <c r="C233" s="11"/>
      <c r="D233" s="11"/>
      <c r="E233" s="11"/>
      <c r="F233" s="11"/>
      <c r="G233" s="12"/>
      <c r="H233" s="12"/>
      <c r="I233" s="10"/>
      <c r="J233" s="12"/>
      <c r="K233" s="13" t="str">
        <f aca="false">IF(ISNUMBER(B233),YEAR(B233),"")</f>
        <v/>
      </c>
      <c r="L233" s="13" t="str">
        <f aca="false">IF(ISNUMBER(B233),MONTH(B233),"")</f>
        <v/>
      </c>
      <c r="M233" s="13" t="str">
        <f aca="false">IF(AND(ISNUMBER(B233),ISNUMBER(I233)),B233-I233+1,"")</f>
        <v/>
      </c>
      <c r="N233" s="14" t="str">
        <f aca="false">IF(B233="","",IF(M233="","시작일 미입력",IF(M233&lt;1,"시작일 이전(확인)",IF(M233=1,"1일째",IF(M233=2,"2일째",IF(M233=3,"3일째",IF(M233&lt;=7,"일주일 이내",IF(M233&lt;=14,"이주일 이내","15일 이후"))))))))</f>
        <v/>
      </c>
      <c r="O233" s="0" t="str">
        <f aca="false">IF(AND(COUNTA($A233:$J233)&gt;0,OR(클레임조회!$C$4="",AND(ISNUMBER($B233),$B233&gt;=클레임조회!$C$4)),OR(클레임조회!$C$5="",AND(ISNUMBER($B233),$B233&lt;=클레임조회!$C$5)),OR(클레임조회!$C$6="",$C233=클레임조회!$C$6),OR(클레임조회!$C$7="",$D233=클레임조회!$C$7),OR(클레임조회!$C$8="",$E233=클레임조회!$C$8),OR(클레임조회!$C$9="",$F233=클레임조회!$C$9),OR(클레임조회!$C$10="",ISNUMBER(SEARCH(클레임조회!$C$10,$C233&amp;" "&amp;$F233&amp;" "&amp;$G233&amp;" "&amp;$H233)))),COUNT(O$1:O232)+1,"")</f>
        <v/>
      </c>
      <c r="P233" s="0" t="str">
        <f aca="false">IF(AND(TRIM(C233)&lt;&gt;"",COUNTIF(C$2:C233,C233)=1),MAX(P$1:P232)+1,"")</f>
        <v/>
      </c>
      <c r="Q233" s="0" t="str">
        <f aca="false">IF(AND(TRIM(F233)&lt;&gt;"",COUNTIF(F$2:F233,F233)=1),MAX(Q$1:Q232)+1,"")</f>
        <v/>
      </c>
    </row>
    <row r="234" customFormat="false" ht="15" hidden="false" customHeight="false" outlineLevel="0" collapsed="false">
      <c r="A234" s="9"/>
      <c r="B234" s="10"/>
      <c r="C234" s="11"/>
      <c r="D234" s="11"/>
      <c r="E234" s="11"/>
      <c r="F234" s="11"/>
      <c r="G234" s="12"/>
      <c r="H234" s="12"/>
      <c r="I234" s="10"/>
      <c r="J234" s="12"/>
      <c r="K234" s="13" t="str">
        <f aca="false">IF(ISNUMBER(B234),YEAR(B234),"")</f>
        <v/>
      </c>
      <c r="L234" s="13" t="str">
        <f aca="false">IF(ISNUMBER(B234),MONTH(B234),"")</f>
        <v/>
      </c>
      <c r="M234" s="13" t="str">
        <f aca="false">IF(AND(ISNUMBER(B234),ISNUMBER(I234)),B234-I234+1,"")</f>
        <v/>
      </c>
      <c r="N234" s="14" t="str">
        <f aca="false">IF(B234="","",IF(M234="","시작일 미입력",IF(M234&lt;1,"시작일 이전(확인)",IF(M234=1,"1일째",IF(M234=2,"2일째",IF(M234=3,"3일째",IF(M234&lt;=7,"일주일 이내",IF(M234&lt;=14,"이주일 이내","15일 이후"))))))))</f>
        <v/>
      </c>
      <c r="O234" s="0" t="str">
        <f aca="false">IF(AND(COUNTA($A234:$J234)&gt;0,OR(클레임조회!$C$4="",AND(ISNUMBER($B234),$B234&gt;=클레임조회!$C$4)),OR(클레임조회!$C$5="",AND(ISNUMBER($B234),$B234&lt;=클레임조회!$C$5)),OR(클레임조회!$C$6="",$C234=클레임조회!$C$6),OR(클레임조회!$C$7="",$D234=클레임조회!$C$7),OR(클레임조회!$C$8="",$E234=클레임조회!$C$8),OR(클레임조회!$C$9="",$F234=클레임조회!$C$9),OR(클레임조회!$C$10="",ISNUMBER(SEARCH(클레임조회!$C$10,$C234&amp;" "&amp;$F234&amp;" "&amp;$G234&amp;" "&amp;$H234)))),COUNT(O$1:O233)+1,"")</f>
        <v/>
      </c>
      <c r="P234" s="0" t="str">
        <f aca="false">IF(AND(TRIM(C234)&lt;&gt;"",COUNTIF(C$2:C234,C234)=1),MAX(P$1:P233)+1,"")</f>
        <v/>
      </c>
      <c r="Q234" s="0" t="str">
        <f aca="false">IF(AND(TRIM(F234)&lt;&gt;"",COUNTIF(F$2:F234,F234)=1),MAX(Q$1:Q233)+1,"")</f>
        <v/>
      </c>
    </row>
    <row r="235" customFormat="false" ht="15" hidden="false" customHeight="false" outlineLevel="0" collapsed="false">
      <c r="A235" s="9"/>
      <c r="B235" s="10"/>
      <c r="C235" s="11"/>
      <c r="D235" s="11"/>
      <c r="E235" s="11"/>
      <c r="F235" s="11"/>
      <c r="G235" s="12"/>
      <c r="H235" s="12"/>
      <c r="I235" s="10"/>
      <c r="J235" s="12"/>
      <c r="K235" s="13" t="str">
        <f aca="false">IF(ISNUMBER(B235),YEAR(B235),"")</f>
        <v/>
      </c>
      <c r="L235" s="13" t="str">
        <f aca="false">IF(ISNUMBER(B235),MONTH(B235),"")</f>
        <v/>
      </c>
      <c r="M235" s="13" t="str">
        <f aca="false">IF(AND(ISNUMBER(B235),ISNUMBER(I235)),B235-I235+1,"")</f>
        <v/>
      </c>
      <c r="N235" s="14" t="str">
        <f aca="false">IF(B235="","",IF(M235="","시작일 미입력",IF(M235&lt;1,"시작일 이전(확인)",IF(M235=1,"1일째",IF(M235=2,"2일째",IF(M235=3,"3일째",IF(M235&lt;=7,"일주일 이내",IF(M235&lt;=14,"이주일 이내","15일 이후"))))))))</f>
        <v/>
      </c>
      <c r="O235" s="0" t="str">
        <f aca="false">IF(AND(COUNTA($A235:$J235)&gt;0,OR(클레임조회!$C$4="",AND(ISNUMBER($B235),$B235&gt;=클레임조회!$C$4)),OR(클레임조회!$C$5="",AND(ISNUMBER($B235),$B235&lt;=클레임조회!$C$5)),OR(클레임조회!$C$6="",$C235=클레임조회!$C$6),OR(클레임조회!$C$7="",$D235=클레임조회!$C$7),OR(클레임조회!$C$8="",$E235=클레임조회!$C$8),OR(클레임조회!$C$9="",$F235=클레임조회!$C$9),OR(클레임조회!$C$10="",ISNUMBER(SEARCH(클레임조회!$C$10,$C235&amp;" "&amp;$F235&amp;" "&amp;$G235&amp;" "&amp;$H235)))),COUNT(O$1:O234)+1,"")</f>
        <v/>
      </c>
      <c r="P235" s="0" t="str">
        <f aca="false">IF(AND(TRIM(C235)&lt;&gt;"",COUNTIF(C$2:C235,C235)=1),MAX(P$1:P234)+1,"")</f>
        <v/>
      </c>
      <c r="Q235" s="0" t="str">
        <f aca="false">IF(AND(TRIM(F235)&lt;&gt;"",COUNTIF(F$2:F235,F235)=1),MAX(Q$1:Q234)+1,"")</f>
        <v/>
      </c>
    </row>
    <row r="236" customFormat="false" ht="15" hidden="false" customHeight="false" outlineLevel="0" collapsed="false">
      <c r="A236" s="9"/>
      <c r="B236" s="10"/>
      <c r="C236" s="11"/>
      <c r="D236" s="11"/>
      <c r="E236" s="11"/>
      <c r="F236" s="11"/>
      <c r="G236" s="12"/>
      <c r="H236" s="12"/>
      <c r="I236" s="10"/>
      <c r="J236" s="12"/>
      <c r="K236" s="13" t="str">
        <f aca="false">IF(ISNUMBER(B236),YEAR(B236),"")</f>
        <v/>
      </c>
      <c r="L236" s="13" t="str">
        <f aca="false">IF(ISNUMBER(B236),MONTH(B236),"")</f>
        <v/>
      </c>
      <c r="M236" s="13" t="str">
        <f aca="false">IF(AND(ISNUMBER(B236),ISNUMBER(I236)),B236-I236+1,"")</f>
        <v/>
      </c>
      <c r="N236" s="14" t="str">
        <f aca="false">IF(B236="","",IF(M236="","시작일 미입력",IF(M236&lt;1,"시작일 이전(확인)",IF(M236=1,"1일째",IF(M236=2,"2일째",IF(M236=3,"3일째",IF(M236&lt;=7,"일주일 이내",IF(M236&lt;=14,"이주일 이내","15일 이후"))))))))</f>
        <v/>
      </c>
      <c r="O236" s="0" t="str">
        <f aca="false">IF(AND(COUNTA($A236:$J236)&gt;0,OR(클레임조회!$C$4="",AND(ISNUMBER($B236),$B236&gt;=클레임조회!$C$4)),OR(클레임조회!$C$5="",AND(ISNUMBER($B236),$B236&lt;=클레임조회!$C$5)),OR(클레임조회!$C$6="",$C236=클레임조회!$C$6),OR(클레임조회!$C$7="",$D236=클레임조회!$C$7),OR(클레임조회!$C$8="",$E236=클레임조회!$C$8),OR(클레임조회!$C$9="",$F236=클레임조회!$C$9),OR(클레임조회!$C$10="",ISNUMBER(SEARCH(클레임조회!$C$10,$C236&amp;" "&amp;$F236&amp;" "&amp;$G236&amp;" "&amp;$H236)))),COUNT(O$1:O235)+1,"")</f>
        <v/>
      </c>
      <c r="P236" s="0" t="str">
        <f aca="false">IF(AND(TRIM(C236)&lt;&gt;"",COUNTIF(C$2:C236,C236)=1),MAX(P$1:P235)+1,"")</f>
        <v/>
      </c>
      <c r="Q236" s="0" t="str">
        <f aca="false">IF(AND(TRIM(F236)&lt;&gt;"",COUNTIF(F$2:F236,F236)=1),MAX(Q$1:Q235)+1,"")</f>
        <v/>
      </c>
    </row>
    <row r="237" customFormat="false" ht="15" hidden="false" customHeight="false" outlineLevel="0" collapsed="false">
      <c r="A237" s="9"/>
      <c r="B237" s="10"/>
      <c r="C237" s="11"/>
      <c r="D237" s="11"/>
      <c r="E237" s="11"/>
      <c r="F237" s="11"/>
      <c r="G237" s="12"/>
      <c r="H237" s="12"/>
      <c r="I237" s="10"/>
      <c r="J237" s="12"/>
      <c r="K237" s="13" t="str">
        <f aca="false">IF(ISNUMBER(B237),YEAR(B237),"")</f>
        <v/>
      </c>
      <c r="L237" s="13" t="str">
        <f aca="false">IF(ISNUMBER(B237),MONTH(B237),"")</f>
        <v/>
      </c>
      <c r="M237" s="13" t="str">
        <f aca="false">IF(AND(ISNUMBER(B237),ISNUMBER(I237)),B237-I237+1,"")</f>
        <v/>
      </c>
      <c r="N237" s="14" t="str">
        <f aca="false">IF(B237="","",IF(M237="","시작일 미입력",IF(M237&lt;1,"시작일 이전(확인)",IF(M237=1,"1일째",IF(M237=2,"2일째",IF(M237=3,"3일째",IF(M237&lt;=7,"일주일 이내",IF(M237&lt;=14,"이주일 이내","15일 이후"))))))))</f>
        <v/>
      </c>
      <c r="O237" s="0" t="str">
        <f aca="false">IF(AND(COUNTA($A237:$J237)&gt;0,OR(클레임조회!$C$4="",AND(ISNUMBER($B237),$B237&gt;=클레임조회!$C$4)),OR(클레임조회!$C$5="",AND(ISNUMBER($B237),$B237&lt;=클레임조회!$C$5)),OR(클레임조회!$C$6="",$C237=클레임조회!$C$6),OR(클레임조회!$C$7="",$D237=클레임조회!$C$7),OR(클레임조회!$C$8="",$E237=클레임조회!$C$8),OR(클레임조회!$C$9="",$F237=클레임조회!$C$9),OR(클레임조회!$C$10="",ISNUMBER(SEARCH(클레임조회!$C$10,$C237&amp;" "&amp;$F237&amp;" "&amp;$G237&amp;" "&amp;$H237)))),COUNT(O$1:O236)+1,"")</f>
        <v/>
      </c>
      <c r="P237" s="0" t="str">
        <f aca="false">IF(AND(TRIM(C237)&lt;&gt;"",COUNTIF(C$2:C237,C237)=1),MAX(P$1:P236)+1,"")</f>
        <v/>
      </c>
      <c r="Q237" s="0" t="str">
        <f aca="false">IF(AND(TRIM(F237)&lt;&gt;"",COUNTIF(F$2:F237,F237)=1),MAX(Q$1:Q236)+1,"")</f>
        <v/>
      </c>
    </row>
    <row r="238" customFormat="false" ht="15" hidden="false" customHeight="false" outlineLevel="0" collapsed="false">
      <c r="A238" s="9"/>
      <c r="B238" s="10"/>
      <c r="C238" s="11"/>
      <c r="D238" s="11"/>
      <c r="E238" s="11"/>
      <c r="F238" s="11"/>
      <c r="G238" s="12"/>
      <c r="H238" s="12"/>
      <c r="I238" s="10"/>
      <c r="J238" s="12"/>
      <c r="K238" s="13" t="str">
        <f aca="false">IF(ISNUMBER(B238),YEAR(B238),"")</f>
        <v/>
      </c>
      <c r="L238" s="13" t="str">
        <f aca="false">IF(ISNUMBER(B238),MONTH(B238),"")</f>
        <v/>
      </c>
      <c r="M238" s="13" t="str">
        <f aca="false">IF(AND(ISNUMBER(B238),ISNUMBER(I238)),B238-I238+1,"")</f>
        <v/>
      </c>
      <c r="N238" s="14" t="str">
        <f aca="false">IF(B238="","",IF(M238="","시작일 미입력",IF(M238&lt;1,"시작일 이전(확인)",IF(M238=1,"1일째",IF(M238=2,"2일째",IF(M238=3,"3일째",IF(M238&lt;=7,"일주일 이내",IF(M238&lt;=14,"이주일 이내","15일 이후"))))))))</f>
        <v/>
      </c>
      <c r="O238" s="0" t="str">
        <f aca="false">IF(AND(COUNTA($A238:$J238)&gt;0,OR(클레임조회!$C$4="",AND(ISNUMBER($B238),$B238&gt;=클레임조회!$C$4)),OR(클레임조회!$C$5="",AND(ISNUMBER($B238),$B238&lt;=클레임조회!$C$5)),OR(클레임조회!$C$6="",$C238=클레임조회!$C$6),OR(클레임조회!$C$7="",$D238=클레임조회!$C$7),OR(클레임조회!$C$8="",$E238=클레임조회!$C$8),OR(클레임조회!$C$9="",$F238=클레임조회!$C$9),OR(클레임조회!$C$10="",ISNUMBER(SEARCH(클레임조회!$C$10,$C238&amp;" "&amp;$F238&amp;" "&amp;$G238&amp;" "&amp;$H238)))),COUNT(O$1:O237)+1,"")</f>
        <v/>
      </c>
      <c r="P238" s="0" t="str">
        <f aca="false">IF(AND(TRIM(C238)&lt;&gt;"",COUNTIF(C$2:C238,C238)=1),MAX(P$1:P237)+1,"")</f>
        <v/>
      </c>
      <c r="Q238" s="0" t="str">
        <f aca="false">IF(AND(TRIM(F238)&lt;&gt;"",COUNTIF(F$2:F238,F238)=1),MAX(Q$1:Q237)+1,"")</f>
        <v/>
      </c>
    </row>
    <row r="239" customFormat="false" ht="15" hidden="false" customHeight="false" outlineLevel="0" collapsed="false">
      <c r="A239" s="9"/>
      <c r="B239" s="10"/>
      <c r="C239" s="11"/>
      <c r="D239" s="11"/>
      <c r="E239" s="11"/>
      <c r="F239" s="11"/>
      <c r="G239" s="12"/>
      <c r="H239" s="12"/>
      <c r="I239" s="10"/>
      <c r="J239" s="12"/>
      <c r="K239" s="13" t="str">
        <f aca="false">IF(ISNUMBER(B239),YEAR(B239),"")</f>
        <v/>
      </c>
      <c r="L239" s="13" t="str">
        <f aca="false">IF(ISNUMBER(B239),MONTH(B239),"")</f>
        <v/>
      </c>
      <c r="M239" s="13" t="str">
        <f aca="false">IF(AND(ISNUMBER(B239),ISNUMBER(I239)),B239-I239+1,"")</f>
        <v/>
      </c>
      <c r="N239" s="14" t="str">
        <f aca="false">IF(B239="","",IF(M239="","시작일 미입력",IF(M239&lt;1,"시작일 이전(확인)",IF(M239=1,"1일째",IF(M239=2,"2일째",IF(M239=3,"3일째",IF(M239&lt;=7,"일주일 이내",IF(M239&lt;=14,"이주일 이내","15일 이후"))))))))</f>
        <v/>
      </c>
      <c r="O239" s="0" t="str">
        <f aca="false">IF(AND(COUNTA($A239:$J239)&gt;0,OR(클레임조회!$C$4="",AND(ISNUMBER($B239),$B239&gt;=클레임조회!$C$4)),OR(클레임조회!$C$5="",AND(ISNUMBER($B239),$B239&lt;=클레임조회!$C$5)),OR(클레임조회!$C$6="",$C239=클레임조회!$C$6),OR(클레임조회!$C$7="",$D239=클레임조회!$C$7),OR(클레임조회!$C$8="",$E239=클레임조회!$C$8),OR(클레임조회!$C$9="",$F239=클레임조회!$C$9),OR(클레임조회!$C$10="",ISNUMBER(SEARCH(클레임조회!$C$10,$C239&amp;" "&amp;$F239&amp;" "&amp;$G239&amp;" "&amp;$H239)))),COUNT(O$1:O238)+1,"")</f>
        <v/>
      </c>
      <c r="P239" s="0" t="str">
        <f aca="false">IF(AND(TRIM(C239)&lt;&gt;"",COUNTIF(C$2:C239,C239)=1),MAX(P$1:P238)+1,"")</f>
        <v/>
      </c>
      <c r="Q239" s="0" t="str">
        <f aca="false">IF(AND(TRIM(F239)&lt;&gt;"",COUNTIF(F$2:F239,F239)=1),MAX(Q$1:Q238)+1,"")</f>
        <v/>
      </c>
    </row>
    <row r="240" customFormat="false" ht="15" hidden="false" customHeight="false" outlineLevel="0" collapsed="false">
      <c r="A240" s="9"/>
      <c r="B240" s="10"/>
      <c r="C240" s="11"/>
      <c r="D240" s="11"/>
      <c r="E240" s="11"/>
      <c r="F240" s="11"/>
      <c r="G240" s="12"/>
      <c r="H240" s="12"/>
      <c r="I240" s="10"/>
      <c r="J240" s="12"/>
      <c r="K240" s="13" t="str">
        <f aca="false">IF(ISNUMBER(B240),YEAR(B240),"")</f>
        <v/>
      </c>
      <c r="L240" s="13" t="str">
        <f aca="false">IF(ISNUMBER(B240),MONTH(B240),"")</f>
        <v/>
      </c>
      <c r="M240" s="13" t="str">
        <f aca="false">IF(AND(ISNUMBER(B240),ISNUMBER(I240)),B240-I240+1,"")</f>
        <v/>
      </c>
      <c r="N240" s="14" t="str">
        <f aca="false">IF(B240="","",IF(M240="","시작일 미입력",IF(M240&lt;1,"시작일 이전(확인)",IF(M240=1,"1일째",IF(M240=2,"2일째",IF(M240=3,"3일째",IF(M240&lt;=7,"일주일 이내",IF(M240&lt;=14,"이주일 이내","15일 이후"))))))))</f>
        <v/>
      </c>
      <c r="O240" s="0" t="str">
        <f aca="false">IF(AND(COUNTA($A240:$J240)&gt;0,OR(클레임조회!$C$4="",AND(ISNUMBER($B240),$B240&gt;=클레임조회!$C$4)),OR(클레임조회!$C$5="",AND(ISNUMBER($B240),$B240&lt;=클레임조회!$C$5)),OR(클레임조회!$C$6="",$C240=클레임조회!$C$6),OR(클레임조회!$C$7="",$D240=클레임조회!$C$7),OR(클레임조회!$C$8="",$E240=클레임조회!$C$8),OR(클레임조회!$C$9="",$F240=클레임조회!$C$9),OR(클레임조회!$C$10="",ISNUMBER(SEARCH(클레임조회!$C$10,$C240&amp;" "&amp;$F240&amp;" "&amp;$G240&amp;" "&amp;$H240)))),COUNT(O$1:O239)+1,"")</f>
        <v/>
      </c>
      <c r="P240" s="0" t="str">
        <f aca="false">IF(AND(TRIM(C240)&lt;&gt;"",COUNTIF(C$2:C240,C240)=1),MAX(P$1:P239)+1,"")</f>
        <v/>
      </c>
      <c r="Q240" s="0" t="str">
        <f aca="false">IF(AND(TRIM(F240)&lt;&gt;"",COUNTIF(F$2:F240,F240)=1),MAX(Q$1:Q239)+1,"")</f>
        <v/>
      </c>
    </row>
    <row r="241" customFormat="false" ht="15" hidden="false" customHeight="false" outlineLevel="0" collapsed="false">
      <c r="A241" s="9"/>
      <c r="B241" s="10"/>
      <c r="C241" s="11"/>
      <c r="D241" s="11"/>
      <c r="E241" s="11"/>
      <c r="F241" s="11"/>
      <c r="G241" s="12"/>
      <c r="H241" s="12"/>
      <c r="I241" s="10"/>
      <c r="J241" s="12"/>
      <c r="K241" s="13" t="str">
        <f aca="false">IF(ISNUMBER(B241),YEAR(B241),"")</f>
        <v/>
      </c>
      <c r="L241" s="13" t="str">
        <f aca="false">IF(ISNUMBER(B241),MONTH(B241),"")</f>
        <v/>
      </c>
      <c r="M241" s="13" t="str">
        <f aca="false">IF(AND(ISNUMBER(B241),ISNUMBER(I241)),B241-I241+1,"")</f>
        <v/>
      </c>
      <c r="N241" s="14" t="str">
        <f aca="false">IF(B241="","",IF(M241="","시작일 미입력",IF(M241&lt;1,"시작일 이전(확인)",IF(M241=1,"1일째",IF(M241=2,"2일째",IF(M241=3,"3일째",IF(M241&lt;=7,"일주일 이내",IF(M241&lt;=14,"이주일 이내","15일 이후"))))))))</f>
        <v/>
      </c>
      <c r="O241" s="0" t="str">
        <f aca="false">IF(AND(COUNTA($A241:$J241)&gt;0,OR(클레임조회!$C$4="",AND(ISNUMBER($B241),$B241&gt;=클레임조회!$C$4)),OR(클레임조회!$C$5="",AND(ISNUMBER($B241),$B241&lt;=클레임조회!$C$5)),OR(클레임조회!$C$6="",$C241=클레임조회!$C$6),OR(클레임조회!$C$7="",$D241=클레임조회!$C$7),OR(클레임조회!$C$8="",$E241=클레임조회!$C$8),OR(클레임조회!$C$9="",$F241=클레임조회!$C$9),OR(클레임조회!$C$10="",ISNUMBER(SEARCH(클레임조회!$C$10,$C241&amp;" "&amp;$F241&amp;" "&amp;$G241&amp;" "&amp;$H241)))),COUNT(O$1:O240)+1,"")</f>
        <v/>
      </c>
      <c r="P241" s="0" t="str">
        <f aca="false">IF(AND(TRIM(C241)&lt;&gt;"",COUNTIF(C$2:C241,C241)=1),MAX(P$1:P240)+1,"")</f>
        <v/>
      </c>
      <c r="Q241" s="0" t="str">
        <f aca="false">IF(AND(TRIM(F241)&lt;&gt;"",COUNTIF(F$2:F241,F241)=1),MAX(Q$1:Q240)+1,"")</f>
        <v/>
      </c>
    </row>
    <row r="242" customFormat="false" ht="15" hidden="false" customHeight="false" outlineLevel="0" collapsed="false">
      <c r="A242" s="9"/>
      <c r="B242" s="10"/>
      <c r="C242" s="11"/>
      <c r="D242" s="11"/>
      <c r="E242" s="11"/>
      <c r="F242" s="11"/>
      <c r="G242" s="12"/>
      <c r="H242" s="12"/>
      <c r="I242" s="10"/>
      <c r="J242" s="12"/>
      <c r="K242" s="13" t="str">
        <f aca="false">IF(ISNUMBER(B242),YEAR(B242),"")</f>
        <v/>
      </c>
      <c r="L242" s="13" t="str">
        <f aca="false">IF(ISNUMBER(B242),MONTH(B242),"")</f>
        <v/>
      </c>
      <c r="M242" s="13" t="str">
        <f aca="false">IF(AND(ISNUMBER(B242),ISNUMBER(I242)),B242-I242+1,"")</f>
        <v/>
      </c>
      <c r="N242" s="14" t="str">
        <f aca="false">IF(B242="","",IF(M242="","시작일 미입력",IF(M242&lt;1,"시작일 이전(확인)",IF(M242=1,"1일째",IF(M242=2,"2일째",IF(M242=3,"3일째",IF(M242&lt;=7,"일주일 이내",IF(M242&lt;=14,"이주일 이내","15일 이후"))))))))</f>
        <v/>
      </c>
      <c r="O242" s="0" t="str">
        <f aca="false">IF(AND(COUNTA($A242:$J242)&gt;0,OR(클레임조회!$C$4="",AND(ISNUMBER($B242),$B242&gt;=클레임조회!$C$4)),OR(클레임조회!$C$5="",AND(ISNUMBER($B242),$B242&lt;=클레임조회!$C$5)),OR(클레임조회!$C$6="",$C242=클레임조회!$C$6),OR(클레임조회!$C$7="",$D242=클레임조회!$C$7),OR(클레임조회!$C$8="",$E242=클레임조회!$C$8),OR(클레임조회!$C$9="",$F242=클레임조회!$C$9),OR(클레임조회!$C$10="",ISNUMBER(SEARCH(클레임조회!$C$10,$C242&amp;" "&amp;$F242&amp;" "&amp;$G242&amp;" "&amp;$H242)))),COUNT(O$1:O241)+1,"")</f>
        <v/>
      </c>
      <c r="P242" s="0" t="str">
        <f aca="false">IF(AND(TRIM(C242)&lt;&gt;"",COUNTIF(C$2:C242,C242)=1),MAX(P$1:P241)+1,"")</f>
        <v/>
      </c>
      <c r="Q242" s="0" t="str">
        <f aca="false">IF(AND(TRIM(F242)&lt;&gt;"",COUNTIF(F$2:F242,F242)=1),MAX(Q$1:Q241)+1,"")</f>
        <v/>
      </c>
    </row>
    <row r="243" customFormat="false" ht="15" hidden="false" customHeight="false" outlineLevel="0" collapsed="false">
      <c r="A243" s="9"/>
      <c r="B243" s="10"/>
      <c r="C243" s="11"/>
      <c r="D243" s="11"/>
      <c r="E243" s="11"/>
      <c r="F243" s="11"/>
      <c r="G243" s="12"/>
      <c r="H243" s="12"/>
      <c r="I243" s="10"/>
      <c r="J243" s="12"/>
      <c r="K243" s="13" t="str">
        <f aca="false">IF(ISNUMBER(B243),YEAR(B243),"")</f>
        <v/>
      </c>
      <c r="L243" s="13" t="str">
        <f aca="false">IF(ISNUMBER(B243),MONTH(B243),"")</f>
        <v/>
      </c>
      <c r="M243" s="13" t="str">
        <f aca="false">IF(AND(ISNUMBER(B243),ISNUMBER(I243)),B243-I243+1,"")</f>
        <v/>
      </c>
      <c r="N243" s="14" t="str">
        <f aca="false">IF(B243="","",IF(M243="","시작일 미입력",IF(M243&lt;1,"시작일 이전(확인)",IF(M243=1,"1일째",IF(M243=2,"2일째",IF(M243=3,"3일째",IF(M243&lt;=7,"일주일 이내",IF(M243&lt;=14,"이주일 이내","15일 이후"))))))))</f>
        <v/>
      </c>
      <c r="O243" s="0" t="str">
        <f aca="false">IF(AND(COUNTA($A243:$J243)&gt;0,OR(클레임조회!$C$4="",AND(ISNUMBER($B243),$B243&gt;=클레임조회!$C$4)),OR(클레임조회!$C$5="",AND(ISNUMBER($B243),$B243&lt;=클레임조회!$C$5)),OR(클레임조회!$C$6="",$C243=클레임조회!$C$6),OR(클레임조회!$C$7="",$D243=클레임조회!$C$7),OR(클레임조회!$C$8="",$E243=클레임조회!$C$8),OR(클레임조회!$C$9="",$F243=클레임조회!$C$9),OR(클레임조회!$C$10="",ISNUMBER(SEARCH(클레임조회!$C$10,$C243&amp;" "&amp;$F243&amp;" "&amp;$G243&amp;" "&amp;$H243)))),COUNT(O$1:O242)+1,"")</f>
        <v/>
      </c>
      <c r="P243" s="0" t="str">
        <f aca="false">IF(AND(TRIM(C243)&lt;&gt;"",COUNTIF(C$2:C243,C243)=1),MAX(P$1:P242)+1,"")</f>
        <v/>
      </c>
      <c r="Q243" s="0" t="str">
        <f aca="false">IF(AND(TRIM(F243)&lt;&gt;"",COUNTIF(F$2:F243,F243)=1),MAX(Q$1:Q242)+1,"")</f>
        <v/>
      </c>
    </row>
    <row r="244" customFormat="false" ht="15" hidden="false" customHeight="false" outlineLevel="0" collapsed="false">
      <c r="A244" s="9"/>
      <c r="B244" s="10"/>
      <c r="C244" s="11"/>
      <c r="D244" s="11"/>
      <c r="E244" s="11"/>
      <c r="F244" s="11"/>
      <c r="G244" s="12"/>
      <c r="H244" s="12"/>
      <c r="I244" s="10"/>
      <c r="J244" s="12"/>
      <c r="K244" s="13" t="str">
        <f aca="false">IF(ISNUMBER(B244),YEAR(B244),"")</f>
        <v/>
      </c>
      <c r="L244" s="13" t="str">
        <f aca="false">IF(ISNUMBER(B244),MONTH(B244),"")</f>
        <v/>
      </c>
      <c r="M244" s="13" t="str">
        <f aca="false">IF(AND(ISNUMBER(B244),ISNUMBER(I244)),B244-I244+1,"")</f>
        <v/>
      </c>
      <c r="N244" s="14" t="str">
        <f aca="false">IF(B244="","",IF(M244="","시작일 미입력",IF(M244&lt;1,"시작일 이전(확인)",IF(M244=1,"1일째",IF(M244=2,"2일째",IF(M244=3,"3일째",IF(M244&lt;=7,"일주일 이내",IF(M244&lt;=14,"이주일 이내","15일 이후"))))))))</f>
        <v/>
      </c>
      <c r="O244" s="0" t="str">
        <f aca="false">IF(AND(COUNTA($A244:$J244)&gt;0,OR(클레임조회!$C$4="",AND(ISNUMBER($B244),$B244&gt;=클레임조회!$C$4)),OR(클레임조회!$C$5="",AND(ISNUMBER($B244),$B244&lt;=클레임조회!$C$5)),OR(클레임조회!$C$6="",$C244=클레임조회!$C$6),OR(클레임조회!$C$7="",$D244=클레임조회!$C$7),OR(클레임조회!$C$8="",$E244=클레임조회!$C$8),OR(클레임조회!$C$9="",$F244=클레임조회!$C$9),OR(클레임조회!$C$10="",ISNUMBER(SEARCH(클레임조회!$C$10,$C244&amp;" "&amp;$F244&amp;" "&amp;$G244&amp;" "&amp;$H244)))),COUNT(O$1:O243)+1,"")</f>
        <v/>
      </c>
      <c r="P244" s="0" t="str">
        <f aca="false">IF(AND(TRIM(C244)&lt;&gt;"",COUNTIF(C$2:C244,C244)=1),MAX(P$1:P243)+1,"")</f>
        <v/>
      </c>
      <c r="Q244" s="0" t="str">
        <f aca="false">IF(AND(TRIM(F244)&lt;&gt;"",COUNTIF(F$2:F244,F244)=1),MAX(Q$1:Q243)+1,"")</f>
        <v/>
      </c>
    </row>
    <row r="245" customFormat="false" ht="15" hidden="false" customHeight="false" outlineLevel="0" collapsed="false">
      <c r="A245" s="9"/>
      <c r="B245" s="10"/>
      <c r="C245" s="11"/>
      <c r="D245" s="11"/>
      <c r="E245" s="11"/>
      <c r="F245" s="11"/>
      <c r="G245" s="12"/>
      <c r="H245" s="12"/>
      <c r="I245" s="10"/>
      <c r="J245" s="12"/>
      <c r="K245" s="13" t="str">
        <f aca="false">IF(ISNUMBER(B245),YEAR(B245),"")</f>
        <v/>
      </c>
      <c r="L245" s="13" t="str">
        <f aca="false">IF(ISNUMBER(B245),MONTH(B245),"")</f>
        <v/>
      </c>
      <c r="M245" s="13" t="str">
        <f aca="false">IF(AND(ISNUMBER(B245),ISNUMBER(I245)),B245-I245+1,"")</f>
        <v/>
      </c>
      <c r="N245" s="14" t="str">
        <f aca="false">IF(B245="","",IF(M245="","시작일 미입력",IF(M245&lt;1,"시작일 이전(확인)",IF(M245=1,"1일째",IF(M245=2,"2일째",IF(M245=3,"3일째",IF(M245&lt;=7,"일주일 이내",IF(M245&lt;=14,"이주일 이내","15일 이후"))))))))</f>
        <v/>
      </c>
      <c r="O245" s="0" t="str">
        <f aca="false">IF(AND(COUNTA($A245:$J245)&gt;0,OR(클레임조회!$C$4="",AND(ISNUMBER($B245),$B245&gt;=클레임조회!$C$4)),OR(클레임조회!$C$5="",AND(ISNUMBER($B245),$B245&lt;=클레임조회!$C$5)),OR(클레임조회!$C$6="",$C245=클레임조회!$C$6),OR(클레임조회!$C$7="",$D245=클레임조회!$C$7),OR(클레임조회!$C$8="",$E245=클레임조회!$C$8),OR(클레임조회!$C$9="",$F245=클레임조회!$C$9),OR(클레임조회!$C$10="",ISNUMBER(SEARCH(클레임조회!$C$10,$C245&amp;" "&amp;$F245&amp;" "&amp;$G245&amp;" "&amp;$H245)))),COUNT(O$1:O244)+1,"")</f>
        <v/>
      </c>
      <c r="P245" s="0" t="str">
        <f aca="false">IF(AND(TRIM(C245)&lt;&gt;"",COUNTIF(C$2:C245,C245)=1),MAX(P$1:P244)+1,"")</f>
        <v/>
      </c>
      <c r="Q245" s="0" t="str">
        <f aca="false">IF(AND(TRIM(F245)&lt;&gt;"",COUNTIF(F$2:F245,F245)=1),MAX(Q$1:Q244)+1,"")</f>
        <v/>
      </c>
    </row>
    <row r="246" customFormat="false" ht="15" hidden="false" customHeight="false" outlineLevel="0" collapsed="false">
      <c r="A246" s="9"/>
      <c r="B246" s="10"/>
      <c r="C246" s="11"/>
      <c r="D246" s="11"/>
      <c r="E246" s="11"/>
      <c r="F246" s="11"/>
      <c r="G246" s="12"/>
      <c r="H246" s="12"/>
      <c r="I246" s="10"/>
      <c r="J246" s="12"/>
      <c r="K246" s="13" t="str">
        <f aca="false">IF(ISNUMBER(B246),YEAR(B246),"")</f>
        <v/>
      </c>
      <c r="L246" s="13" t="str">
        <f aca="false">IF(ISNUMBER(B246),MONTH(B246),"")</f>
        <v/>
      </c>
      <c r="M246" s="13" t="str">
        <f aca="false">IF(AND(ISNUMBER(B246),ISNUMBER(I246)),B246-I246+1,"")</f>
        <v/>
      </c>
      <c r="N246" s="14" t="str">
        <f aca="false">IF(B246="","",IF(M246="","시작일 미입력",IF(M246&lt;1,"시작일 이전(확인)",IF(M246=1,"1일째",IF(M246=2,"2일째",IF(M246=3,"3일째",IF(M246&lt;=7,"일주일 이내",IF(M246&lt;=14,"이주일 이내","15일 이후"))))))))</f>
        <v/>
      </c>
      <c r="O246" s="0" t="str">
        <f aca="false">IF(AND(COUNTA($A246:$J246)&gt;0,OR(클레임조회!$C$4="",AND(ISNUMBER($B246),$B246&gt;=클레임조회!$C$4)),OR(클레임조회!$C$5="",AND(ISNUMBER($B246),$B246&lt;=클레임조회!$C$5)),OR(클레임조회!$C$6="",$C246=클레임조회!$C$6),OR(클레임조회!$C$7="",$D246=클레임조회!$C$7),OR(클레임조회!$C$8="",$E246=클레임조회!$C$8),OR(클레임조회!$C$9="",$F246=클레임조회!$C$9),OR(클레임조회!$C$10="",ISNUMBER(SEARCH(클레임조회!$C$10,$C246&amp;" "&amp;$F246&amp;" "&amp;$G246&amp;" "&amp;$H246)))),COUNT(O$1:O245)+1,"")</f>
        <v/>
      </c>
      <c r="P246" s="0" t="str">
        <f aca="false">IF(AND(TRIM(C246)&lt;&gt;"",COUNTIF(C$2:C246,C246)=1),MAX(P$1:P245)+1,"")</f>
        <v/>
      </c>
      <c r="Q246" s="0" t="str">
        <f aca="false">IF(AND(TRIM(F246)&lt;&gt;"",COUNTIF(F$2:F246,F246)=1),MAX(Q$1:Q245)+1,"")</f>
        <v/>
      </c>
    </row>
    <row r="247" customFormat="false" ht="15" hidden="false" customHeight="false" outlineLevel="0" collapsed="false">
      <c r="A247" s="9"/>
      <c r="B247" s="10"/>
      <c r="C247" s="11"/>
      <c r="D247" s="11"/>
      <c r="E247" s="11"/>
      <c r="F247" s="11"/>
      <c r="G247" s="12"/>
      <c r="H247" s="12"/>
      <c r="I247" s="10"/>
      <c r="J247" s="12"/>
      <c r="K247" s="13" t="str">
        <f aca="false">IF(ISNUMBER(B247),YEAR(B247),"")</f>
        <v/>
      </c>
      <c r="L247" s="13" t="str">
        <f aca="false">IF(ISNUMBER(B247),MONTH(B247),"")</f>
        <v/>
      </c>
      <c r="M247" s="13" t="str">
        <f aca="false">IF(AND(ISNUMBER(B247),ISNUMBER(I247)),B247-I247+1,"")</f>
        <v/>
      </c>
      <c r="N247" s="14" t="str">
        <f aca="false">IF(B247="","",IF(M247="","시작일 미입력",IF(M247&lt;1,"시작일 이전(확인)",IF(M247=1,"1일째",IF(M247=2,"2일째",IF(M247=3,"3일째",IF(M247&lt;=7,"일주일 이내",IF(M247&lt;=14,"이주일 이내","15일 이후"))))))))</f>
        <v/>
      </c>
      <c r="O247" s="0" t="str">
        <f aca="false">IF(AND(COUNTA($A247:$J247)&gt;0,OR(클레임조회!$C$4="",AND(ISNUMBER($B247),$B247&gt;=클레임조회!$C$4)),OR(클레임조회!$C$5="",AND(ISNUMBER($B247),$B247&lt;=클레임조회!$C$5)),OR(클레임조회!$C$6="",$C247=클레임조회!$C$6),OR(클레임조회!$C$7="",$D247=클레임조회!$C$7),OR(클레임조회!$C$8="",$E247=클레임조회!$C$8),OR(클레임조회!$C$9="",$F247=클레임조회!$C$9),OR(클레임조회!$C$10="",ISNUMBER(SEARCH(클레임조회!$C$10,$C247&amp;" "&amp;$F247&amp;" "&amp;$G247&amp;" "&amp;$H247)))),COUNT(O$1:O246)+1,"")</f>
        <v/>
      </c>
      <c r="P247" s="0" t="str">
        <f aca="false">IF(AND(TRIM(C247)&lt;&gt;"",COUNTIF(C$2:C247,C247)=1),MAX(P$1:P246)+1,"")</f>
        <v/>
      </c>
      <c r="Q247" s="0" t="str">
        <f aca="false">IF(AND(TRIM(F247)&lt;&gt;"",COUNTIF(F$2:F247,F247)=1),MAX(Q$1:Q246)+1,"")</f>
        <v/>
      </c>
    </row>
    <row r="248" customFormat="false" ht="15" hidden="false" customHeight="false" outlineLevel="0" collapsed="false">
      <c r="A248" s="9"/>
      <c r="B248" s="10"/>
      <c r="C248" s="11"/>
      <c r="D248" s="11"/>
      <c r="E248" s="11"/>
      <c r="F248" s="11"/>
      <c r="G248" s="12"/>
      <c r="H248" s="12"/>
      <c r="I248" s="10"/>
      <c r="J248" s="12"/>
      <c r="K248" s="13" t="str">
        <f aca="false">IF(ISNUMBER(B248),YEAR(B248),"")</f>
        <v/>
      </c>
      <c r="L248" s="13" t="str">
        <f aca="false">IF(ISNUMBER(B248),MONTH(B248),"")</f>
        <v/>
      </c>
      <c r="M248" s="13" t="str">
        <f aca="false">IF(AND(ISNUMBER(B248),ISNUMBER(I248)),B248-I248+1,"")</f>
        <v/>
      </c>
      <c r="N248" s="14" t="str">
        <f aca="false">IF(B248="","",IF(M248="","시작일 미입력",IF(M248&lt;1,"시작일 이전(확인)",IF(M248=1,"1일째",IF(M248=2,"2일째",IF(M248=3,"3일째",IF(M248&lt;=7,"일주일 이내",IF(M248&lt;=14,"이주일 이내","15일 이후"))))))))</f>
        <v/>
      </c>
      <c r="O248" s="0" t="str">
        <f aca="false">IF(AND(COUNTA($A248:$J248)&gt;0,OR(클레임조회!$C$4="",AND(ISNUMBER($B248),$B248&gt;=클레임조회!$C$4)),OR(클레임조회!$C$5="",AND(ISNUMBER($B248),$B248&lt;=클레임조회!$C$5)),OR(클레임조회!$C$6="",$C248=클레임조회!$C$6),OR(클레임조회!$C$7="",$D248=클레임조회!$C$7),OR(클레임조회!$C$8="",$E248=클레임조회!$C$8),OR(클레임조회!$C$9="",$F248=클레임조회!$C$9),OR(클레임조회!$C$10="",ISNUMBER(SEARCH(클레임조회!$C$10,$C248&amp;" "&amp;$F248&amp;" "&amp;$G248&amp;" "&amp;$H248)))),COUNT(O$1:O247)+1,"")</f>
        <v/>
      </c>
      <c r="P248" s="0" t="str">
        <f aca="false">IF(AND(TRIM(C248)&lt;&gt;"",COUNTIF(C$2:C248,C248)=1),MAX(P$1:P247)+1,"")</f>
        <v/>
      </c>
      <c r="Q248" s="0" t="str">
        <f aca="false">IF(AND(TRIM(F248)&lt;&gt;"",COUNTIF(F$2:F248,F248)=1),MAX(Q$1:Q247)+1,"")</f>
        <v/>
      </c>
    </row>
    <row r="249" customFormat="false" ht="15" hidden="false" customHeight="false" outlineLevel="0" collapsed="false">
      <c r="A249" s="9"/>
      <c r="B249" s="10"/>
      <c r="C249" s="11"/>
      <c r="D249" s="11"/>
      <c r="E249" s="11"/>
      <c r="F249" s="11"/>
      <c r="G249" s="12"/>
      <c r="H249" s="12"/>
      <c r="I249" s="10"/>
      <c r="J249" s="12"/>
      <c r="K249" s="13" t="str">
        <f aca="false">IF(ISNUMBER(B249),YEAR(B249),"")</f>
        <v/>
      </c>
      <c r="L249" s="13" t="str">
        <f aca="false">IF(ISNUMBER(B249),MONTH(B249),"")</f>
        <v/>
      </c>
      <c r="M249" s="13" t="str">
        <f aca="false">IF(AND(ISNUMBER(B249),ISNUMBER(I249)),B249-I249+1,"")</f>
        <v/>
      </c>
      <c r="N249" s="14" t="str">
        <f aca="false">IF(B249="","",IF(M249="","시작일 미입력",IF(M249&lt;1,"시작일 이전(확인)",IF(M249=1,"1일째",IF(M249=2,"2일째",IF(M249=3,"3일째",IF(M249&lt;=7,"일주일 이내",IF(M249&lt;=14,"이주일 이내","15일 이후"))))))))</f>
        <v/>
      </c>
      <c r="O249" s="0" t="str">
        <f aca="false">IF(AND(COUNTA($A249:$J249)&gt;0,OR(클레임조회!$C$4="",AND(ISNUMBER($B249),$B249&gt;=클레임조회!$C$4)),OR(클레임조회!$C$5="",AND(ISNUMBER($B249),$B249&lt;=클레임조회!$C$5)),OR(클레임조회!$C$6="",$C249=클레임조회!$C$6),OR(클레임조회!$C$7="",$D249=클레임조회!$C$7),OR(클레임조회!$C$8="",$E249=클레임조회!$C$8),OR(클레임조회!$C$9="",$F249=클레임조회!$C$9),OR(클레임조회!$C$10="",ISNUMBER(SEARCH(클레임조회!$C$10,$C249&amp;" "&amp;$F249&amp;" "&amp;$G249&amp;" "&amp;$H249)))),COUNT(O$1:O248)+1,"")</f>
        <v/>
      </c>
      <c r="P249" s="0" t="str">
        <f aca="false">IF(AND(TRIM(C249)&lt;&gt;"",COUNTIF(C$2:C249,C249)=1),MAX(P$1:P248)+1,"")</f>
        <v/>
      </c>
      <c r="Q249" s="0" t="str">
        <f aca="false">IF(AND(TRIM(F249)&lt;&gt;"",COUNTIF(F$2:F249,F249)=1),MAX(Q$1:Q248)+1,"")</f>
        <v/>
      </c>
    </row>
    <row r="250" customFormat="false" ht="15" hidden="false" customHeight="false" outlineLevel="0" collapsed="false">
      <c r="A250" s="9"/>
      <c r="B250" s="10"/>
      <c r="C250" s="11"/>
      <c r="D250" s="11"/>
      <c r="E250" s="11"/>
      <c r="F250" s="11"/>
      <c r="G250" s="12"/>
      <c r="H250" s="12"/>
      <c r="I250" s="10"/>
      <c r="J250" s="12"/>
      <c r="K250" s="13" t="str">
        <f aca="false">IF(ISNUMBER(B250),YEAR(B250),"")</f>
        <v/>
      </c>
      <c r="L250" s="13" t="str">
        <f aca="false">IF(ISNUMBER(B250),MONTH(B250),"")</f>
        <v/>
      </c>
      <c r="M250" s="13" t="str">
        <f aca="false">IF(AND(ISNUMBER(B250),ISNUMBER(I250)),B250-I250+1,"")</f>
        <v/>
      </c>
      <c r="N250" s="14" t="str">
        <f aca="false">IF(B250="","",IF(M250="","시작일 미입력",IF(M250&lt;1,"시작일 이전(확인)",IF(M250=1,"1일째",IF(M250=2,"2일째",IF(M250=3,"3일째",IF(M250&lt;=7,"일주일 이내",IF(M250&lt;=14,"이주일 이내","15일 이후"))))))))</f>
        <v/>
      </c>
      <c r="O250" s="0" t="str">
        <f aca="false">IF(AND(COUNTA($A250:$J250)&gt;0,OR(클레임조회!$C$4="",AND(ISNUMBER($B250),$B250&gt;=클레임조회!$C$4)),OR(클레임조회!$C$5="",AND(ISNUMBER($B250),$B250&lt;=클레임조회!$C$5)),OR(클레임조회!$C$6="",$C250=클레임조회!$C$6),OR(클레임조회!$C$7="",$D250=클레임조회!$C$7),OR(클레임조회!$C$8="",$E250=클레임조회!$C$8),OR(클레임조회!$C$9="",$F250=클레임조회!$C$9),OR(클레임조회!$C$10="",ISNUMBER(SEARCH(클레임조회!$C$10,$C250&amp;" "&amp;$F250&amp;" "&amp;$G250&amp;" "&amp;$H250)))),COUNT(O$1:O249)+1,"")</f>
        <v/>
      </c>
      <c r="P250" s="0" t="str">
        <f aca="false">IF(AND(TRIM(C250)&lt;&gt;"",COUNTIF(C$2:C250,C250)=1),MAX(P$1:P249)+1,"")</f>
        <v/>
      </c>
      <c r="Q250" s="0" t="str">
        <f aca="false">IF(AND(TRIM(F250)&lt;&gt;"",COUNTIF(F$2:F250,F250)=1),MAX(Q$1:Q249)+1,"")</f>
        <v/>
      </c>
    </row>
    <row r="251" customFormat="false" ht="15" hidden="false" customHeight="false" outlineLevel="0" collapsed="false">
      <c r="A251" s="9"/>
      <c r="B251" s="10"/>
      <c r="C251" s="11"/>
      <c r="D251" s="11"/>
      <c r="E251" s="11"/>
      <c r="F251" s="11"/>
      <c r="G251" s="12"/>
      <c r="H251" s="12"/>
      <c r="I251" s="10"/>
      <c r="J251" s="12"/>
      <c r="K251" s="13" t="str">
        <f aca="false">IF(ISNUMBER(B251),YEAR(B251),"")</f>
        <v/>
      </c>
      <c r="L251" s="13" t="str">
        <f aca="false">IF(ISNUMBER(B251),MONTH(B251),"")</f>
        <v/>
      </c>
      <c r="M251" s="13" t="str">
        <f aca="false">IF(AND(ISNUMBER(B251),ISNUMBER(I251)),B251-I251+1,"")</f>
        <v/>
      </c>
      <c r="N251" s="14" t="str">
        <f aca="false">IF(B251="","",IF(M251="","시작일 미입력",IF(M251&lt;1,"시작일 이전(확인)",IF(M251=1,"1일째",IF(M251=2,"2일째",IF(M251=3,"3일째",IF(M251&lt;=7,"일주일 이내",IF(M251&lt;=14,"이주일 이내","15일 이후"))))))))</f>
        <v/>
      </c>
      <c r="O251" s="0" t="str">
        <f aca="false">IF(AND(COUNTA($A251:$J251)&gt;0,OR(클레임조회!$C$4="",AND(ISNUMBER($B251),$B251&gt;=클레임조회!$C$4)),OR(클레임조회!$C$5="",AND(ISNUMBER($B251),$B251&lt;=클레임조회!$C$5)),OR(클레임조회!$C$6="",$C251=클레임조회!$C$6),OR(클레임조회!$C$7="",$D251=클레임조회!$C$7),OR(클레임조회!$C$8="",$E251=클레임조회!$C$8),OR(클레임조회!$C$9="",$F251=클레임조회!$C$9),OR(클레임조회!$C$10="",ISNUMBER(SEARCH(클레임조회!$C$10,$C251&amp;" "&amp;$F251&amp;" "&amp;$G251&amp;" "&amp;$H251)))),COUNT(O$1:O250)+1,"")</f>
        <v/>
      </c>
      <c r="P251" s="0" t="str">
        <f aca="false">IF(AND(TRIM(C251)&lt;&gt;"",COUNTIF(C$2:C251,C251)=1),MAX(P$1:P250)+1,"")</f>
        <v/>
      </c>
      <c r="Q251" s="0" t="str">
        <f aca="false">IF(AND(TRIM(F251)&lt;&gt;"",COUNTIF(F$2:F251,F251)=1),MAX(Q$1:Q250)+1,"")</f>
        <v/>
      </c>
    </row>
    <row r="252" customFormat="false" ht="15" hidden="false" customHeight="false" outlineLevel="0" collapsed="false">
      <c r="A252" s="9"/>
      <c r="B252" s="10"/>
      <c r="C252" s="11"/>
      <c r="D252" s="11"/>
      <c r="E252" s="11"/>
      <c r="F252" s="11"/>
      <c r="G252" s="12"/>
      <c r="H252" s="12"/>
      <c r="I252" s="10"/>
      <c r="J252" s="12"/>
      <c r="K252" s="13" t="str">
        <f aca="false">IF(ISNUMBER(B252),YEAR(B252),"")</f>
        <v/>
      </c>
      <c r="L252" s="13" t="str">
        <f aca="false">IF(ISNUMBER(B252),MONTH(B252),"")</f>
        <v/>
      </c>
      <c r="M252" s="13" t="str">
        <f aca="false">IF(AND(ISNUMBER(B252),ISNUMBER(I252)),B252-I252+1,"")</f>
        <v/>
      </c>
      <c r="N252" s="14" t="str">
        <f aca="false">IF(B252="","",IF(M252="","시작일 미입력",IF(M252&lt;1,"시작일 이전(확인)",IF(M252=1,"1일째",IF(M252=2,"2일째",IF(M252=3,"3일째",IF(M252&lt;=7,"일주일 이내",IF(M252&lt;=14,"이주일 이내","15일 이후"))))))))</f>
        <v/>
      </c>
      <c r="O252" s="0" t="str">
        <f aca="false">IF(AND(COUNTA($A252:$J252)&gt;0,OR(클레임조회!$C$4="",AND(ISNUMBER($B252),$B252&gt;=클레임조회!$C$4)),OR(클레임조회!$C$5="",AND(ISNUMBER($B252),$B252&lt;=클레임조회!$C$5)),OR(클레임조회!$C$6="",$C252=클레임조회!$C$6),OR(클레임조회!$C$7="",$D252=클레임조회!$C$7),OR(클레임조회!$C$8="",$E252=클레임조회!$C$8),OR(클레임조회!$C$9="",$F252=클레임조회!$C$9),OR(클레임조회!$C$10="",ISNUMBER(SEARCH(클레임조회!$C$10,$C252&amp;" "&amp;$F252&amp;" "&amp;$G252&amp;" "&amp;$H252)))),COUNT(O$1:O251)+1,"")</f>
        <v/>
      </c>
      <c r="P252" s="0" t="str">
        <f aca="false">IF(AND(TRIM(C252)&lt;&gt;"",COUNTIF(C$2:C252,C252)=1),MAX(P$1:P251)+1,"")</f>
        <v/>
      </c>
      <c r="Q252" s="0" t="str">
        <f aca="false">IF(AND(TRIM(F252)&lt;&gt;"",COUNTIF(F$2:F252,F252)=1),MAX(Q$1:Q251)+1,"")</f>
        <v/>
      </c>
    </row>
    <row r="253" customFormat="false" ht="15" hidden="false" customHeight="false" outlineLevel="0" collapsed="false">
      <c r="A253" s="9"/>
      <c r="B253" s="10"/>
      <c r="C253" s="11"/>
      <c r="D253" s="11"/>
      <c r="E253" s="11"/>
      <c r="F253" s="11"/>
      <c r="G253" s="12"/>
      <c r="H253" s="12"/>
      <c r="I253" s="10"/>
      <c r="J253" s="12"/>
      <c r="K253" s="13" t="str">
        <f aca="false">IF(ISNUMBER(B253),YEAR(B253),"")</f>
        <v/>
      </c>
      <c r="L253" s="13" t="str">
        <f aca="false">IF(ISNUMBER(B253),MONTH(B253),"")</f>
        <v/>
      </c>
      <c r="M253" s="13" t="str">
        <f aca="false">IF(AND(ISNUMBER(B253),ISNUMBER(I253)),B253-I253+1,"")</f>
        <v/>
      </c>
      <c r="N253" s="14" t="str">
        <f aca="false">IF(B253="","",IF(M253="","시작일 미입력",IF(M253&lt;1,"시작일 이전(확인)",IF(M253=1,"1일째",IF(M253=2,"2일째",IF(M253=3,"3일째",IF(M253&lt;=7,"일주일 이내",IF(M253&lt;=14,"이주일 이내","15일 이후"))))))))</f>
        <v/>
      </c>
      <c r="O253" s="0" t="str">
        <f aca="false">IF(AND(COUNTA($A253:$J253)&gt;0,OR(클레임조회!$C$4="",AND(ISNUMBER($B253),$B253&gt;=클레임조회!$C$4)),OR(클레임조회!$C$5="",AND(ISNUMBER($B253),$B253&lt;=클레임조회!$C$5)),OR(클레임조회!$C$6="",$C253=클레임조회!$C$6),OR(클레임조회!$C$7="",$D253=클레임조회!$C$7),OR(클레임조회!$C$8="",$E253=클레임조회!$C$8),OR(클레임조회!$C$9="",$F253=클레임조회!$C$9),OR(클레임조회!$C$10="",ISNUMBER(SEARCH(클레임조회!$C$10,$C253&amp;" "&amp;$F253&amp;" "&amp;$G253&amp;" "&amp;$H253)))),COUNT(O$1:O252)+1,"")</f>
        <v/>
      </c>
      <c r="P253" s="0" t="str">
        <f aca="false">IF(AND(TRIM(C253)&lt;&gt;"",COUNTIF(C$2:C253,C253)=1),MAX(P$1:P252)+1,"")</f>
        <v/>
      </c>
      <c r="Q253" s="0" t="str">
        <f aca="false">IF(AND(TRIM(F253)&lt;&gt;"",COUNTIF(F$2:F253,F253)=1),MAX(Q$1:Q252)+1,"")</f>
        <v/>
      </c>
    </row>
    <row r="254" customFormat="false" ht="15" hidden="false" customHeight="false" outlineLevel="0" collapsed="false">
      <c r="A254" s="9"/>
      <c r="B254" s="10"/>
      <c r="C254" s="11"/>
      <c r="D254" s="11"/>
      <c r="E254" s="11"/>
      <c r="F254" s="11"/>
      <c r="G254" s="12"/>
      <c r="H254" s="12"/>
      <c r="I254" s="10"/>
      <c r="J254" s="12"/>
      <c r="K254" s="13" t="str">
        <f aca="false">IF(ISNUMBER(B254),YEAR(B254),"")</f>
        <v/>
      </c>
      <c r="L254" s="13" t="str">
        <f aca="false">IF(ISNUMBER(B254),MONTH(B254),"")</f>
        <v/>
      </c>
      <c r="M254" s="13" t="str">
        <f aca="false">IF(AND(ISNUMBER(B254),ISNUMBER(I254)),B254-I254+1,"")</f>
        <v/>
      </c>
      <c r="N254" s="14" t="str">
        <f aca="false">IF(B254="","",IF(M254="","시작일 미입력",IF(M254&lt;1,"시작일 이전(확인)",IF(M254=1,"1일째",IF(M254=2,"2일째",IF(M254=3,"3일째",IF(M254&lt;=7,"일주일 이내",IF(M254&lt;=14,"이주일 이내","15일 이후"))))))))</f>
        <v/>
      </c>
      <c r="O254" s="0" t="str">
        <f aca="false">IF(AND(COUNTA($A254:$J254)&gt;0,OR(클레임조회!$C$4="",AND(ISNUMBER($B254),$B254&gt;=클레임조회!$C$4)),OR(클레임조회!$C$5="",AND(ISNUMBER($B254),$B254&lt;=클레임조회!$C$5)),OR(클레임조회!$C$6="",$C254=클레임조회!$C$6),OR(클레임조회!$C$7="",$D254=클레임조회!$C$7),OR(클레임조회!$C$8="",$E254=클레임조회!$C$8),OR(클레임조회!$C$9="",$F254=클레임조회!$C$9),OR(클레임조회!$C$10="",ISNUMBER(SEARCH(클레임조회!$C$10,$C254&amp;" "&amp;$F254&amp;" "&amp;$G254&amp;" "&amp;$H254)))),COUNT(O$1:O253)+1,"")</f>
        <v/>
      </c>
      <c r="P254" s="0" t="str">
        <f aca="false">IF(AND(TRIM(C254)&lt;&gt;"",COUNTIF(C$2:C254,C254)=1),MAX(P$1:P253)+1,"")</f>
        <v/>
      </c>
      <c r="Q254" s="0" t="str">
        <f aca="false">IF(AND(TRIM(F254)&lt;&gt;"",COUNTIF(F$2:F254,F254)=1),MAX(Q$1:Q253)+1,"")</f>
        <v/>
      </c>
    </row>
    <row r="255" customFormat="false" ht="15" hidden="false" customHeight="false" outlineLevel="0" collapsed="false">
      <c r="A255" s="9"/>
      <c r="B255" s="10"/>
      <c r="C255" s="11"/>
      <c r="D255" s="11"/>
      <c r="E255" s="11"/>
      <c r="F255" s="11"/>
      <c r="G255" s="12"/>
      <c r="H255" s="12"/>
      <c r="I255" s="10"/>
      <c r="J255" s="12"/>
      <c r="K255" s="13" t="str">
        <f aca="false">IF(ISNUMBER(B255),YEAR(B255),"")</f>
        <v/>
      </c>
      <c r="L255" s="13" t="str">
        <f aca="false">IF(ISNUMBER(B255),MONTH(B255),"")</f>
        <v/>
      </c>
      <c r="M255" s="13" t="str">
        <f aca="false">IF(AND(ISNUMBER(B255),ISNUMBER(I255)),B255-I255+1,"")</f>
        <v/>
      </c>
      <c r="N255" s="14" t="str">
        <f aca="false">IF(B255="","",IF(M255="","시작일 미입력",IF(M255&lt;1,"시작일 이전(확인)",IF(M255=1,"1일째",IF(M255=2,"2일째",IF(M255=3,"3일째",IF(M255&lt;=7,"일주일 이내",IF(M255&lt;=14,"이주일 이내","15일 이후"))))))))</f>
        <v/>
      </c>
      <c r="O255" s="0" t="str">
        <f aca="false">IF(AND(COUNTA($A255:$J255)&gt;0,OR(클레임조회!$C$4="",AND(ISNUMBER($B255),$B255&gt;=클레임조회!$C$4)),OR(클레임조회!$C$5="",AND(ISNUMBER($B255),$B255&lt;=클레임조회!$C$5)),OR(클레임조회!$C$6="",$C255=클레임조회!$C$6),OR(클레임조회!$C$7="",$D255=클레임조회!$C$7),OR(클레임조회!$C$8="",$E255=클레임조회!$C$8),OR(클레임조회!$C$9="",$F255=클레임조회!$C$9),OR(클레임조회!$C$10="",ISNUMBER(SEARCH(클레임조회!$C$10,$C255&amp;" "&amp;$F255&amp;" "&amp;$G255&amp;" "&amp;$H255)))),COUNT(O$1:O254)+1,"")</f>
        <v/>
      </c>
      <c r="P255" s="0" t="str">
        <f aca="false">IF(AND(TRIM(C255)&lt;&gt;"",COUNTIF(C$2:C255,C255)=1),MAX(P$1:P254)+1,"")</f>
        <v/>
      </c>
      <c r="Q255" s="0" t="str">
        <f aca="false">IF(AND(TRIM(F255)&lt;&gt;"",COUNTIF(F$2:F255,F255)=1),MAX(Q$1:Q254)+1,"")</f>
        <v/>
      </c>
    </row>
    <row r="256" customFormat="false" ht="15" hidden="false" customHeight="false" outlineLevel="0" collapsed="false">
      <c r="A256" s="9"/>
      <c r="B256" s="10"/>
      <c r="C256" s="11"/>
      <c r="D256" s="11"/>
      <c r="E256" s="11"/>
      <c r="F256" s="11"/>
      <c r="G256" s="12"/>
      <c r="H256" s="12"/>
      <c r="I256" s="10"/>
      <c r="J256" s="12"/>
      <c r="K256" s="13" t="str">
        <f aca="false">IF(ISNUMBER(B256),YEAR(B256),"")</f>
        <v/>
      </c>
      <c r="L256" s="13" t="str">
        <f aca="false">IF(ISNUMBER(B256),MONTH(B256),"")</f>
        <v/>
      </c>
      <c r="M256" s="13" t="str">
        <f aca="false">IF(AND(ISNUMBER(B256),ISNUMBER(I256)),B256-I256+1,"")</f>
        <v/>
      </c>
      <c r="N256" s="14" t="str">
        <f aca="false">IF(B256="","",IF(M256="","시작일 미입력",IF(M256&lt;1,"시작일 이전(확인)",IF(M256=1,"1일째",IF(M256=2,"2일째",IF(M256=3,"3일째",IF(M256&lt;=7,"일주일 이내",IF(M256&lt;=14,"이주일 이내","15일 이후"))))))))</f>
        <v/>
      </c>
      <c r="O256" s="0" t="str">
        <f aca="false">IF(AND(COUNTA($A256:$J256)&gt;0,OR(클레임조회!$C$4="",AND(ISNUMBER($B256),$B256&gt;=클레임조회!$C$4)),OR(클레임조회!$C$5="",AND(ISNUMBER($B256),$B256&lt;=클레임조회!$C$5)),OR(클레임조회!$C$6="",$C256=클레임조회!$C$6),OR(클레임조회!$C$7="",$D256=클레임조회!$C$7),OR(클레임조회!$C$8="",$E256=클레임조회!$C$8),OR(클레임조회!$C$9="",$F256=클레임조회!$C$9),OR(클레임조회!$C$10="",ISNUMBER(SEARCH(클레임조회!$C$10,$C256&amp;" "&amp;$F256&amp;" "&amp;$G256&amp;" "&amp;$H256)))),COUNT(O$1:O255)+1,"")</f>
        <v/>
      </c>
      <c r="P256" s="0" t="str">
        <f aca="false">IF(AND(TRIM(C256)&lt;&gt;"",COUNTIF(C$2:C256,C256)=1),MAX(P$1:P255)+1,"")</f>
        <v/>
      </c>
      <c r="Q256" s="0" t="str">
        <f aca="false">IF(AND(TRIM(F256)&lt;&gt;"",COUNTIF(F$2:F256,F256)=1),MAX(Q$1:Q255)+1,"")</f>
        <v/>
      </c>
    </row>
    <row r="257" customFormat="false" ht="15" hidden="false" customHeight="false" outlineLevel="0" collapsed="false">
      <c r="A257" s="9"/>
      <c r="B257" s="10"/>
      <c r="C257" s="11"/>
      <c r="D257" s="11"/>
      <c r="E257" s="11"/>
      <c r="F257" s="11"/>
      <c r="G257" s="12"/>
      <c r="H257" s="12"/>
      <c r="I257" s="10"/>
      <c r="J257" s="12"/>
      <c r="K257" s="13" t="str">
        <f aca="false">IF(ISNUMBER(B257),YEAR(B257),"")</f>
        <v/>
      </c>
      <c r="L257" s="13" t="str">
        <f aca="false">IF(ISNUMBER(B257),MONTH(B257),"")</f>
        <v/>
      </c>
      <c r="M257" s="13" t="str">
        <f aca="false">IF(AND(ISNUMBER(B257),ISNUMBER(I257)),B257-I257+1,"")</f>
        <v/>
      </c>
      <c r="N257" s="14" t="str">
        <f aca="false">IF(B257="","",IF(M257="","시작일 미입력",IF(M257&lt;1,"시작일 이전(확인)",IF(M257=1,"1일째",IF(M257=2,"2일째",IF(M257=3,"3일째",IF(M257&lt;=7,"일주일 이내",IF(M257&lt;=14,"이주일 이내","15일 이후"))))))))</f>
        <v/>
      </c>
      <c r="O257" s="0" t="str">
        <f aca="false">IF(AND(COUNTA($A257:$J257)&gt;0,OR(클레임조회!$C$4="",AND(ISNUMBER($B257),$B257&gt;=클레임조회!$C$4)),OR(클레임조회!$C$5="",AND(ISNUMBER($B257),$B257&lt;=클레임조회!$C$5)),OR(클레임조회!$C$6="",$C257=클레임조회!$C$6),OR(클레임조회!$C$7="",$D257=클레임조회!$C$7),OR(클레임조회!$C$8="",$E257=클레임조회!$C$8),OR(클레임조회!$C$9="",$F257=클레임조회!$C$9),OR(클레임조회!$C$10="",ISNUMBER(SEARCH(클레임조회!$C$10,$C257&amp;" "&amp;$F257&amp;" "&amp;$G257&amp;" "&amp;$H257)))),COUNT(O$1:O256)+1,"")</f>
        <v/>
      </c>
      <c r="P257" s="0" t="str">
        <f aca="false">IF(AND(TRIM(C257)&lt;&gt;"",COUNTIF(C$2:C257,C257)=1),MAX(P$1:P256)+1,"")</f>
        <v/>
      </c>
      <c r="Q257" s="0" t="str">
        <f aca="false">IF(AND(TRIM(F257)&lt;&gt;"",COUNTIF(F$2:F257,F257)=1),MAX(Q$1:Q256)+1,"")</f>
        <v/>
      </c>
    </row>
    <row r="258" customFormat="false" ht="15" hidden="false" customHeight="false" outlineLevel="0" collapsed="false">
      <c r="A258" s="9"/>
      <c r="B258" s="10"/>
      <c r="C258" s="11"/>
      <c r="D258" s="11"/>
      <c r="E258" s="11"/>
      <c r="F258" s="11"/>
      <c r="G258" s="12"/>
      <c r="H258" s="12"/>
      <c r="I258" s="10"/>
      <c r="J258" s="12"/>
      <c r="K258" s="13" t="str">
        <f aca="false">IF(ISNUMBER(B258),YEAR(B258),"")</f>
        <v/>
      </c>
      <c r="L258" s="13" t="str">
        <f aca="false">IF(ISNUMBER(B258),MONTH(B258),"")</f>
        <v/>
      </c>
      <c r="M258" s="13" t="str">
        <f aca="false">IF(AND(ISNUMBER(B258),ISNUMBER(I258)),B258-I258+1,"")</f>
        <v/>
      </c>
      <c r="N258" s="14" t="str">
        <f aca="false">IF(B258="","",IF(M258="","시작일 미입력",IF(M258&lt;1,"시작일 이전(확인)",IF(M258=1,"1일째",IF(M258=2,"2일째",IF(M258=3,"3일째",IF(M258&lt;=7,"일주일 이내",IF(M258&lt;=14,"이주일 이내","15일 이후"))))))))</f>
        <v/>
      </c>
      <c r="O258" s="0" t="str">
        <f aca="false">IF(AND(COUNTA($A258:$J258)&gt;0,OR(클레임조회!$C$4="",AND(ISNUMBER($B258),$B258&gt;=클레임조회!$C$4)),OR(클레임조회!$C$5="",AND(ISNUMBER($B258),$B258&lt;=클레임조회!$C$5)),OR(클레임조회!$C$6="",$C258=클레임조회!$C$6),OR(클레임조회!$C$7="",$D258=클레임조회!$C$7),OR(클레임조회!$C$8="",$E258=클레임조회!$C$8),OR(클레임조회!$C$9="",$F258=클레임조회!$C$9),OR(클레임조회!$C$10="",ISNUMBER(SEARCH(클레임조회!$C$10,$C258&amp;" "&amp;$F258&amp;" "&amp;$G258&amp;" "&amp;$H258)))),COUNT(O$1:O257)+1,"")</f>
        <v/>
      </c>
      <c r="P258" s="0" t="str">
        <f aca="false">IF(AND(TRIM(C258)&lt;&gt;"",COUNTIF(C$2:C258,C258)=1),MAX(P$1:P257)+1,"")</f>
        <v/>
      </c>
      <c r="Q258" s="0" t="str">
        <f aca="false">IF(AND(TRIM(F258)&lt;&gt;"",COUNTIF(F$2:F258,F258)=1),MAX(Q$1:Q257)+1,"")</f>
        <v/>
      </c>
    </row>
    <row r="259" customFormat="false" ht="15" hidden="false" customHeight="false" outlineLevel="0" collapsed="false">
      <c r="A259" s="9"/>
      <c r="B259" s="10"/>
      <c r="C259" s="11"/>
      <c r="D259" s="11"/>
      <c r="E259" s="11"/>
      <c r="F259" s="11"/>
      <c r="G259" s="12"/>
      <c r="H259" s="12"/>
      <c r="I259" s="10"/>
      <c r="J259" s="12"/>
      <c r="K259" s="13" t="str">
        <f aca="false">IF(ISNUMBER(B259),YEAR(B259),"")</f>
        <v/>
      </c>
      <c r="L259" s="13" t="str">
        <f aca="false">IF(ISNUMBER(B259),MONTH(B259),"")</f>
        <v/>
      </c>
      <c r="M259" s="13" t="str">
        <f aca="false">IF(AND(ISNUMBER(B259),ISNUMBER(I259)),B259-I259+1,"")</f>
        <v/>
      </c>
      <c r="N259" s="14" t="str">
        <f aca="false">IF(B259="","",IF(M259="","시작일 미입력",IF(M259&lt;1,"시작일 이전(확인)",IF(M259=1,"1일째",IF(M259=2,"2일째",IF(M259=3,"3일째",IF(M259&lt;=7,"일주일 이내",IF(M259&lt;=14,"이주일 이내","15일 이후"))))))))</f>
        <v/>
      </c>
      <c r="O259" s="0" t="str">
        <f aca="false">IF(AND(COUNTA($A259:$J259)&gt;0,OR(클레임조회!$C$4="",AND(ISNUMBER($B259),$B259&gt;=클레임조회!$C$4)),OR(클레임조회!$C$5="",AND(ISNUMBER($B259),$B259&lt;=클레임조회!$C$5)),OR(클레임조회!$C$6="",$C259=클레임조회!$C$6),OR(클레임조회!$C$7="",$D259=클레임조회!$C$7),OR(클레임조회!$C$8="",$E259=클레임조회!$C$8),OR(클레임조회!$C$9="",$F259=클레임조회!$C$9),OR(클레임조회!$C$10="",ISNUMBER(SEARCH(클레임조회!$C$10,$C259&amp;" "&amp;$F259&amp;" "&amp;$G259&amp;" "&amp;$H259)))),COUNT(O$1:O258)+1,"")</f>
        <v/>
      </c>
      <c r="P259" s="0" t="str">
        <f aca="false">IF(AND(TRIM(C259)&lt;&gt;"",COUNTIF(C$2:C259,C259)=1),MAX(P$1:P258)+1,"")</f>
        <v/>
      </c>
      <c r="Q259" s="0" t="str">
        <f aca="false">IF(AND(TRIM(F259)&lt;&gt;"",COUNTIF(F$2:F259,F259)=1),MAX(Q$1:Q258)+1,"")</f>
        <v/>
      </c>
    </row>
    <row r="260" customFormat="false" ht="15" hidden="false" customHeight="false" outlineLevel="0" collapsed="false">
      <c r="A260" s="9"/>
      <c r="B260" s="10"/>
      <c r="C260" s="11"/>
      <c r="D260" s="11"/>
      <c r="E260" s="11"/>
      <c r="F260" s="11"/>
      <c r="G260" s="12"/>
      <c r="H260" s="12"/>
      <c r="I260" s="10"/>
      <c r="J260" s="12"/>
      <c r="K260" s="13" t="str">
        <f aca="false">IF(ISNUMBER(B260),YEAR(B260),"")</f>
        <v/>
      </c>
      <c r="L260" s="13" t="str">
        <f aca="false">IF(ISNUMBER(B260),MONTH(B260),"")</f>
        <v/>
      </c>
      <c r="M260" s="13" t="str">
        <f aca="false">IF(AND(ISNUMBER(B260),ISNUMBER(I260)),B260-I260+1,"")</f>
        <v/>
      </c>
      <c r="N260" s="14" t="str">
        <f aca="false">IF(B260="","",IF(M260="","시작일 미입력",IF(M260&lt;1,"시작일 이전(확인)",IF(M260=1,"1일째",IF(M260=2,"2일째",IF(M260=3,"3일째",IF(M260&lt;=7,"일주일 이내",IF(M260&lt;=14,"이주일 이내","15일 이후"))))))))</f>
        <v/>
      </c>
      <c r="O260" s="0" t="str">
        <f aca="false">IF(AND(COUNTA($A260:$J260)&gt;0,OR(클레임조회!$C$4="",AND(ISNUMBER($B260),$B260&gt;=클레임조회!$C$4)),OR(클레임조회!$C$5="",AND(ISNUMBER($B260),$B260&lt;=클레임조회!$C$5)),OR(클레임조회!$C$6="",$C260=클레임조회!$C$6),OR(클레임조회!$C$7="",$D260=클레임조회!$C$7),OR(클레임조회!$C$8="",$E260=클레임조회!$C$8),OR(클레임조회!$C$9="",$F260=클레임조회!$C$9),OR(클레임조회!$C$10="",ISNUMBER(SEARCH(클레임조회!$C$10,$C260&amp;" "&amp;$F260&amp;" "&amp;$G260&amp;" "&amp;$H260)))),COUNT(O$1:O259)+1,"")</f>
        <v/>
      </c>
      <c r="P260" s="0" t="str">
        <f aca="false">IF(AND(TRIM(C260)&lt;&gt;"",COUNTIF(C$2:C260,C260)=1),MAX(P$1:P259)+1,"")</f>
        <v/>
      </c>
      <c r="Q260" s="0" t="str">
        <f aca="false">IF(AND(TRIM(F260)&lt;&gt;"",COUNTIF(F$2:F260,F260)=1),MAX(Q$1:Q259)+1,"")</f>
        <v/>
      </c>
    </row>
    <row r="261" customFormat="false" ht="15" hidden="false" customHeight="false" outlineLevel="0" collapsed="false">
      <c r="A261" s="9"/>
      <c r="B261" s="10"/>
      <c r="C261" s="11"/>
      <c r="D261" s="11"/>
      <c r="E261" s="11"/>
      <c r="F261" s="11"/>
      <c r="G261" s="12"/>
      <c r="H261" s="12"/>
      <c r="I261" s="10"/>
      <c r="J261" s="12"/>
      <c r="K261" s="13" t="str">
        <f aca="false">IF(ISNUMBER(B261),YEAR(B261),"")</f>
        <v/>
      </c>
      <c r="L261" s="13" t="str">
        <f aca="false">IF(ISNUMBER(B261),MONTH(B261),"")</f>
        <v/>
      </c>
      <c r="M261" s="13" t="str">
        <f aca="false">IF(AND(ISNUMBER(B261),ISNUMBER(I261)),B261-I261+1,"")</f>
        <v/>
      </c>
      <c r="N261" s="14" t="str">
        <f aca="false">IF(B261="","",IF(M261="","시작일 미입력",IF(M261&lt;1,"시작일 이전(확인)",IF(M261=1,"1일째",IF(M261=2,"2일째",IF(M261=3,"3일째",IF(M261&lt;=7,"일주일 이내",IF(M261&lt;=14,"이주일 이내","15일 이후"))))))))</f>
        <v/>
      </c>
      <c r="O261" s="0" t="str">
        <f aca="false">IF(AND(COUNTA($A261:$J261)&gt;0,OR(클레임조회!$C$4="",AND(ISNUMBER($B261),$B261&gt;=클레임조회!$C$4)),OR(클레임조회!$C$5="",AND(ISNUMBER($B261),$B261&lt;=클레임조회!$C$5)),OR(클레임조회!$C$6="",$C261=클레임조회!$C$6),OR(클레임조회!$C$7="",$D261=클레임조회!$C$7),OR(클레임조회!$C$8="",$E261=클레임조회!$C$8),OR(클레임조회!$C$9="",$F261=클레임조회!$C$9),OR(클레임조회!$C$10="",ISNUMBER(SEARCH(클레임조회!$C$10,$C261&amp;" "&amp;$F261&amp;" "&amp;$G261&amp;" "&amp;$H261)))),COUNT(O$1:O260)+1,"")</f>
        <v/>
      </c>
      <c r="P261" s="0" t="str">
        <f aca="false">IF(AND(TRIM(C261)&lt;&gt;"",COUNTIF(C$2:C261,C261)=1),MAX(P$1:P260)+1,"")</f>
        <v/>
      </c>
      <c r="Q261" s="0" t="str">
        <f aca="false">IF(AND(TRIM(F261)&lt;&gt;"",COUNTIF(F$2:F261,F261)=1),MAX(Q$1:Q260)+1,"")</f>
        <v/>
      </c>
    </row>
    <row r="262" customFormat="false" ht="15" hidden="false" customHeight="false" outlineLevel="0" collapsed="false">
      <c r="A262" s="9"/>
      <c r="B262" s="10"/>
      <c r="C262" s="11"/>
      <c r="D262" s="11"/>
      <c r="E262" s="11"/>
      <c r="F262" s="11"/>
      <c r="G262" s="12"/>
      <c r="H262" s="12"/>
      <c r="I262" s="10"/>
      <c r="J262" s="12"/>
      <c r="K262" s="13" t="str">
        <f aca="false">IF(ISNUMBER(B262),YEAR(B262),"")</f>
        <v/>
      </c>
      <c r="L262" s="13" t="str">
        <f aca="false">IF(ISNUMBER(B262),MONTH(B262),"")</f>
        <v/>
      </c>
      <c r="M262" s="13" t="str">
        <f aca="false">IF(AND(ISNUMBER(B262),ISNUMBER(I262)),B262-I262+1,"")</f>
        <v/>
      </c>
      <c r="N262" s="14" t="str">
        <f aca="false">IF(B262="","",IF(M262="","시작일 미입력",IF(M262&lt;1,"시작일 이전(확인)",IF(M262=1,"1일째",IF(M262=2,"2일째",IF(M262=3,"3일째",IF(M262&lt;=7,"일주일 이내",IF(M262&lt;=14,"이주일 이내","15일 이후"))))))))</f>
        <v/>
      </c>
      <c r="O262" s="0" t="str">
        <f aca="false">IF(AND(COUNTA($A262:$J262)&gt;0,OR(클레임조회!$C$4="",AND(ISNUMBER($B262),$B262&gt;=클레임조회!$C$4)),OR(클레임조회!$C$5="",AND(ISNUMBER($B262),$B262&lt;=클레임조회!$C$5)),OR(클레임조회!$C$6="",$C262=클레임조회!$C$6),OR(클레임조회!$C$7="",$D262=클레임조회!$C$7),OR(클레임조회!$C$8="",$E262=클레임조회!$C$8),OR(클레임조회!$C$9="",$F262=클레임조회!$C$9),OR(클레임조회!$C$10="",ISNUMBER(SEARCH(클레임조회!$C$10,$C262&amp;" "&amp;$F262&amp;" "&amp;$G262&amp;" "&amp;$H262)))),COUNT(O$1:O261)+1,"")</f>
        <v/>
      </c>
      <c r="P262" s="0" t="str">
        <f aca="false">IF(AND(TRIM(C262)&lt;&gt;"",COUNTIF(C$2:C262,C262)=1),MAX(P$1:P261)+1,"")</f>
        <v/>
      </c>
      <c r="Q262" s="0" t="str">
        <f aca="false">IF(AND(TRIM(F262)&lt;&gt;"",COUNTIF(F$2:F262,F262)=1),MAX(Q$1:Q261)+1,"")</f>
        <v/>
      </c>
    </row>
    <row r="263" customFormat="false" ht="15" hidden="false" customHeight="false" outlineLevel="0" collapsed="false">
      <c r="A263" s="9"/>
      <c r="B263" s="10"/>
      <c r="C263" s="11"/>
      <c r="D263" s="11"/>
      <c r="E263" s="11"/>
      <c r="F263" s="11"/>
      <c r="G263" s="12"/>
      <c r="H263" s="12"/>
      <c r="I263" s="10"/>
      <c r="J263" s="12"/>
      <c r="K263" s="13" t="str">
        <f aca="false">IF(ISNUMBER(B263),YEAR(B263),"")</f>
        <v/>
      </c>
      <c r="L263" s="13" t="str">
        <f aca="false">IF(ISNUMBER(B263),MONTH(B263),"")</f>
        <v/>
      </c>
      <c r="M263" s="13" t="str">
        <f aca="false">IF(AND(ISNUMBER(B263),ISNUMBER(I263)),B263-I263+1,"")</f>
        <v/>
      </c>
      <c r="N263" s="14" t="str">
        <f aca="false">IF(B263="","",IF(M263="","시작일 미입력",IF(M263&lt;1,"시작일 이전(확인)",IF(M263=1,"1일째",IF(M263=2,"2일째",IF(M263=3,"3일째",IF(M263&lt;=7,"일주일 이내",IF(M263&lt;=14,"이주일 이내","15일 이후"))))))))</f>
        <v/>
      </c>
      <c r="O263" s="0" t="str">
        <f aca="false">IF(AND(COUNTA($A263:$J263)&gt;0,OR(클레임조회!$C$4="",AND(ISNUMBER($B263),$B263&gt;=클레임조회!$C$4)),OR(클레임조회!$C$5="",AND(ISNUMBER($B263),$B263&lt;=클레임조회!$C$5)),OR(클레임조회!$C$6="",$C263=클레임조회!$C$6),OR(클레임조회!$C$7="",$D263=클레임조회!$C$7),OR(클레임조회!$C$8="",$E263=클레임조회!$C$8),OR(클레임조회!$C$9="",$F263=클레임조회!$C$9),OR(클레임조회!$C$10="",ISNUMBER(SEARCH(클레임조회!$C$10,$C263&amp;" "&amp;$F263&amp;" "&amp;$G263&amp;" "&amp;$H263)))),COUNT(O$1:O262)+1,"")</f>
        <v/>
      </c>
      <c r="P263" s="0" t="str">
        <f aca="false">IF(AND(TRIM(C263)&lt;&gt;"",COUNTIF(C$2:C263,C263)=1),MAX(P$1:P262)+1,"")</f>
        <v/>
      </c>
      <c r="Q263" s="0" t="str">
        <f aca="false">IF(AND(TRIM(F263)&lt;&gt;"",COUNTIF(F$2:F263,F263)=1),MAX(Q$1:Q262)+1,"")</f>
        <v/>
      </c>
    </row>
    <row r="264" customFormat="false" ht="15" hidden="false" customHeight="false" outlineLevel="0" collapsed="false">
      <c r="A264" s="9"/>
      <c r="B264" s="10"/>
      <c r="C264" s="11"/>
      <c r="D264" s="11"/>
      <c r="E264" s="11"/>
      <c r="F264" s="11"/>
      <c r="G264" s="12"/>
      <c r="H264" s="12"/>
      <c r="I264" s="10"/>
      <c r="J264" s="12"/>
      <c r="K264" s="13" t="str">
        <f aca="false">IF(ISNUMBER(B264),YEAR(B264),"")</f>
        <v/>
      </c>
      <c r="L264" s="13" t="str">
        <f aca="false">IF(ISNUMBER(B264),MONTH(B264),"")</f>
        <v/>
      </c>
      <c r="M264" s="13" t="str">
        <f aca="false">IF(AND(ISNUMBER(B264),ISNUMBER(I264)),B264-I264+1,"")</f>
        <v/>
      </c>
      <c r="N264" s="14" t="str">
        <f aca="false">IF(B264="","",IF(M264="","시작일 미입력",IF(M264&lt;1,"시작일 이전(확인)",IF(M264=1,"1일째",IF(M264=2,"2일째",IF(M264=3,"3일째",IF(M264&lt;=7,"일주일 이내",IF(M264&lt;=14,"이주일 이내","15일 이후"))))))))</f>
        <v/>
      </c>
      <c r="O264" s="0" t="str">
        <f aca="false">IF(AND(COUNTA($A264:$J264)&gt;0,OR(클레임조회!$C$4="",AND(ISNUMBER($B264),$B264&gt;=클레임조회!$C$4)),OR(클레임조회!$C$5="",AND(ISNUMBER($B264),$B264&lt;=클레임조회!$C$5)),OR(클레임조회!$C$6="",$C264=클레임조회!$C$6),OR(클레임조회!$C$7="",$D264=클레임조회!$C$7),OR(클레임조회!$C$8="",$E264=클레임조회!$C$8),OR(클레임조회!$C$9="",$F264=클레임조회!$C$9),OR(클레임조회!$C$10="",ISNUMBER(SEARCH(클레임조회!$C$10,$C264&amp;" "&amp;$F264&amp;" "&amp;$G264&amp;" "&amp;$H264)))),COUNT(O$1:O263)+1,"")</f>
        <v/>
      </c>
      <c r="P264" s="0" t="str">
        <f aca="false">IF(AND(TRIM(C264)&lt;&gt;"",COUNTIF(C$2:C264,C264)=1),MAX(P$1:P263)+1,"")</f>
        <v/>
      </c>
      <c r="Q264" s="0" t="str">
        <f aca="false">IF(AND(TRIM(F264)&lt;&gt;"",COUNTIF(F$2:F264,F264)=1),MAX(Q$1:Q263)+1,"")</f>
        <v/>
      </c>
    </row>
    <row r="265" customFormat="false" ht="15" hidden="false" customHeight="false" outlineLevel="0" collapsed="false">
      <c r="A265" s="9"/>
      <c r="B265" s="10"/>
      <c r="C265" s="11"/>
      <c r="D265" s="11"/>
      <c r="E265" s="11"/>
      <c r="F265" s="11"/>
      <c r="G265" s="12"/>
      <c r="H265" s="12"/>
      <c r="I265" s="10"/>
      <c r="J265" s="12"/>
      <c r="K265" s="13" t="str">
        <f aca="false">IF(ISNUMBER(B265),YEAR(B265),"")</f>
        <v/>
      </c>
      <c r="L265" s="13" t="str">
        <f aca="false">IF(ISNUMBER(B265),MONTH(B265),"")</f>
        <v/>
      </c>
      <c r="M265" s="13" t="str">
        <f aca="false">IF(AND(ISNUMBER(B265),ISNUMBER(I265)),B265-I265+1,"")</f>
        <v/>
      </c>
      <c r="N265" s="14" t="str">
        <f aca="false">IF(B265="","",IF(M265="","시작일 미입력",IF(M265&lt;1,"시작일 이전(확인)",IF(M265=1,"1일째",IF(M265=2,"2일째",IF(M265=3,"3일째",IF(M265&lt;=7,"일주일 이내",IF(M265&lt;=14,"이주일 이내","15일 이후"))))))))</f>
        <v/>
      </c>
      <c r="O265" s="0" t="str">
        <f aca="false">IF(AND(COUNTA($A265:$J265)&gt;0,OR(클레임조회!$C$4="",AND(ISNUMBER($B265),$B265&gt;=클레임조회!$C$4)),OR(클레임조회!$C$5="",AND(ISNUMBER($B265),$B265&lt;=클레임조회!$C$5)),OR(클레임조회!$C$6="",$C265=클레임조회!$C$6),OR(클레임조회!$C$7="",$D265=클레임조회!$C$7),OR(클레임조회!$C$8="",$E265=클레임조회!$C$8),OR(클레임조회!$C$9="",$F265=클레임조회!$C$9),OR(클레임조회!$C$10="",ISNUMBER(SEARCH(클레임조회!$C$10,$C265&amp;" "&amp;$F265&amp;" "&amp;$G265&amp;" "&amp;$H265)))),COUNT(O$1:O264)+1,"")</f>
        <v/>
      </c>
      <c r="P265" s="0" t="str">
        <f aca="false">IF(AND(TRIM(C265)&lt;&gt;"",COUNTIF(C$2:C265,C265)=1),MAX(P$1:P264)+1,"")</f>
        <v/>
      </c>
      <c r="Q265" s="0" t="str">
        <f aca="false">IF(AND(TRIM(F265)&lt;&gt;"",COUNTIF(F$2:F265,F265)=1),MAX(Q$1:Q264)+1,"")</f>
        <v/>
      </c>
    </row>
    <row r="266" customFormat="false" ht="15" hidden="false" customHeight="false" outlineLevel="0" collapsed="false">
      <c r="A266" s="9"/>
      <c r="B266" s="10"/>
      <c r="C266" s="11"/>
      <c r="D266" s="11"/>
      <c r="E266" s="11"/>
      <c r="F266" s="11"/>
      <c r="G266" s="12"/>
      <c r="H266" s="12"/>
      <c r="I266" s="10"/>
      <c r="J266" s="12"/>
      <c r="K266" s="13" t="str">
        <f aca="false">IF(ISNUMBER(B266),YEAR(B266),"")</f>
        <v/>
      </c>
      <c r="L266" s="13" t="str">
        <f aca="false">IF(ISNUMBER(B266),MONTH(B266),"")</f>
        <v/>
      </c>
      <c r="M266" s="13" t="str">
        <f aca="false">IF(AND(ISNUMBER(B266),ISNUMBER(I266)),B266-I266+1,"")</f>
        <v/>
      </c>
      <c r="N266" s="14" t="str">
        <f aca="false">IF(B266="","",IF(M266="","시작일 미입력",IF(M266&lt;1,"시작일 이전(확인)",IF(M266=1,"1일째",IF(M266=2,"2일째",IF(M266=3,"3일째",IF(M266&lt;=7,"일주일 이내",IF(M266&lt;=14,"이주일 이내","15일 이후"))))))))</f>
        <v/>
      </c>
      <c r="O266" s="0" t="str">
        <f aca="false">IF(AND(COUNTA($A266:$J266)&gt;0,OR(클레임조회!$C$4="",AND(ISNUMBER($B266),$B266&gt;=클레임조회!$C$4)),OR(클레임조회!$C$5="",AND(ISNUMBER($B266),$B266&lt;=클레임조회!$C$5)),OR(클레임조회!$C$6="",$C266=클레임조회!$C$6),OR(클레임조회!$C$7="",$D266=클레임조회!$C$7),OR(클레임조회!$C$8="",$E266=클레임조회!$C$8),OR(클레임조회!$C$9="",$F266=클레임조회!$C$9),OR(클레임조회!$C$10="",ISNUMBER(SEARCH(클레임조회!$C$10,$C266&amp;" "&amp;$F266&amp;" "&amp;$G266&amp;" "&amp;$H266)))),COUNT(O$1:O265)+1,"")</f>
        <v/>
      </c>
      <c r="P266" s="0" t="str">
        <f aca="false">IF(AND(TRIM(C266)&lt;&gt;"",COUNTIF(C$2:C266,C266)=1),MAX(P$1:P265)+1,"")</f>
        <v/>
      </c>
      <c r="Q266" s="0" t="str">
        <f aca="false">IF(AND(TRIM(F266)&lt;&gt;"",COUNTIF(F$2:F266,F266)=1),MAX(Q$1:Q265)+1,"")</f>
        <v/>
      </c>
    </row>
    <row r="267" customFormat="false" ht="15" hidden="false" customHeight="false" outlineLevel="0" collapsed="false">
      <c r="A267" s="9"/>
      <c r="B267" s="10"/>
      <c r="C267" s="11"/>
      <c r="D267" s="11"/>
      <c r="E267" s="11"/>
      <c r="F267" s="11"/>
      <c r="G267" s="12"/>
      <c r="H267" s="12"/>
      <c r="I267" s="10"/>
      <c r="J267" s="12"/>
      <c r="K267" s="13" t="str">
        <f aca="false">IF(ISNUMBER(B267),YEAR(B267),"")</f>
        <v/>
      </c>
      <c r="L267" s="13" t="str">
        <f aca="false">IF(ISNUMBER(B267),MONTH(B267),"")</f>
        <v/>
      </c>
      <c r="M267" s="13" t="str">
        <f aca="false">IF(AND(ISNUMBER(B267),ISNUMBER(I267)),B267-I267+1,"")</f>
        <v/>
      </c>
      <c r="N267" s="14" t="str">
        <f aca="false">IF(B267="","",IF(M267="","시작일 미입력",IF(M267&lt;1,"시작일 이전(확인)",IF(M267=1,"1일째",IF(M267=2,"2일째",IF(M267=3,"3일째",IF(M267&lt;=7,"일주일 이내",IF(M267&lt;=14,"이주일 이내","15일 이후"))))))))</f>
        <v/>
      </c>
      <c r="O267" s="0" t="str">
        <f aca="false">IF(AND(COUNTA($A267:$J267)&gt;0,OR(클레임조회!$C$4="",AND(ISNUMBER($B267),$B267&gt;=클레임조회!$C$4)),OR(클레임조회!$C$5="",AND(ISNUMBER($B267),$B267&lt;=클레임조회!$C$5)),OR(클레임조회!$C$6="",$C267=클레임조회!$C$6),OR(클레임조회!$C$7="",$D267=클레임조회!$C$7),OR(클레임조회!$C$8="",$E267=클레임조회!$C$8),OR(클레임조회!$C$9="",$F267=클레임조회!$C$9),OR(클레임조회!$C$10="",ISNUMBER(SEARCH(클레임조회!$C$10,$C267&amp;" "&amp;$F267&amp;" "&amp;$G267&amp;" "&amp;$H267)))),COUNT(O$1:O266)+1,"")</f>
        <v/>
      </c>
      <c r="P267" s="0" t="str">
        <f aca="false">IF(AND(TRIM(C267)&lt;&gt;"",COUNTIF(C$2:C267,C267)=1),MAX(P$1:P266)+1,"")</f>
        <v/>
      </c>
      <c r="Q267" s="0" t="str">
        <f aca="false">IF(AND(TRIM(F267)&lt;&gt;"",COUNTIF(F$2:F267,F267)=1),MAX(Q$1:Q266)+1,"")</f>
        <v/>
      </c>
    </row>
    <row r="268" customFormat="false" ht="15" hidden="false" customHeight="false" outlineLevel="0" collapsed="false">
      <c r="A268" s="9"/>
      <c r="B268" s="10"/>
      <c r="C268" s="11"/>
      <c r="D268" s="11"/>
      <c r="E268" s="11"/>
      <c r="F268" s="11"/>
      <c r="G268" s="12"/>
      <c r="H268" s="12"/>
      <c r="I268" s="10"/>
      <c r="J268" s="12"/>
      <c r="K268" s="13" t="str">
        <f aca="false">IF(ISNUMBER(B268),YEAR(B268),"")</f>
        <v/>
      </c>
      <c r="L268" s="13" t="str">
        <f aca="false">IF(ISNUMBER(B268),MONTH(B268),"")</f>
        <v/>
      </c>
      <c r="M268" s="13" t="str">
        <f aca="false">IF(AND(ISNUMBER(B268),ISNUMBER(I268)),B268-I268+1,"")</f>
        <v/>
      </c>
      <c r="N268" s="14" t="str">
        <f aca="false">IF(B268="","",IF(M268="","시작일 미입력",IF(M268&lt;1,"시작일 이전(확인)",IF(M268=1,"1일째",IF(M268=2,"2일째",IF(M268=3,"3일째",IF(M268&lt;=7,"일주일 이내",IF(M268&lt;=14,"이주일 이내","15일 이후"))))))))</f>
        <v/>
      </c>
      <c r="O268" s="0" t="str">
        <f aca="false">IF(AND(COUNTA($A268:$J268)&gt;0,OR(클레임조회!$C$4="",AND(ISNUMBER($B268),$B268&gt;=클레임조회!$C$4)),OR(클레임조회!$C$5="",AND(ISNUMBER($B268),$B268&lt;=클레임조회!$C$5)),OR(클레임조회!$C$6="",$C268=클레임조회!$C$6),OR(클레임조회!$C$7="",$D268=클레임조회!$C$7),OR(클레임조회!$C$8="",$E268=클레임조회!$C$8),OR(클레임조회!$C$9="",$F268=클레임조회!$C$9),OR(클레임조회!$C$10="",ISNUMBER(SEARCH(클레임조회!$C$10,$C268&amp;" "&amp;$F268&amp;" "&amp;$G268&amp;" "&amp;$H268)))),COUNT(O$1:O267)+1,"")</f>
        <v/>
      </c>
      <c r="P268" s="0" t="str">
        <f aca="false">IF(AND(TRIM(C268)&lt;&gt;"",COUNTIF(C$2:C268,C268)=1),MAX(P$1:P267)+1,"")</f>
        <v/>
      </c>
      <c r="Q268" s="0" t="str">
        <f aca="false">IF(AND(TRIM(F268)&lt;&gt;"",COUNTIF(F$2:F268,F268)=1),MAX(Q$1:Q267)+1,"")</f>
        <v/>
      </c>
    </row>
    <row r="269" customFormat="false" ht="15" hidden="false" customHeight="false" outlineLevel="0" collapsed="false">
      <c r="A269" s="9"/>
      <c r="B269" s="10"/>
      <c r="C269" s="11"/>
      <c r="D269" s="11"/>
      <c r="E269" s="11"/>
      <c r="F269" s="11"/>
      <c r="G269" s="12"/>
      <c r="H269" s="12"/>
      <c r="I269" s="10"/>
      <c r="J269" s="12"/>
      <c r="K269" s="13" t="str">
        <f aca="false">IF(ISNUMBER(B269),YEAR(B269),"")</f>
        <v/>
      </c>
      <c r="L269" s="13" t="str">
        <f aca="false">IF(ISNUMBER(B269),MONTH(B269),"")</f>
        <v/>
      </c>
      <c r="M269" s="13" t="str">
        <f aca="false">IF(AND(ISNUMBER(B269),ISNUMBER(I269)),B269-I269+1,"")</f>
        <v/>
      </c>
      <c r="N269" s="14" t="str">
        <f aca="false">IF(B269="","",IF(M269="","시작일 미입력",IF(M269&lt;1,"시작일 이전(확인)",IF(M269=1,"1일째",IF(M269=2,"2일째",IF(M269=3,"3일째",IF(M269&lt;=7,"일주일 이내",IF(M269&lt;=14,"이주일 이내","15일 이후"))))))))</f>
        <v/>
      </c>
      <c r="O269" s="0" t="str">
        <f aca="false">IF(AND(COUNTA($A269:$J269)&gt;0,OR(클레임조회!$C$4="",AND(ISNUMBER($B269),$B269&gt;=클레임조회!$C$4)),OR(클레임조회!$C$5="",AND(ISNUMBER($B269),$B269&lt;=클레임조회!$C$5)),OR(클레임조회!$C$6="",$C269=클레임조회!$C$6),OR(클레임조회!$C$7="",$D269=클레임조회!$C$7),OR(클레임조회!$C$8="",$E269=클레임조회!$C$8),OR(클레임조회!$C$9="",$F269=클레임조회!$C$9),OR(클레임조회!$C$10="",ISNUMBER(SEARCH(클레임조회!$C$10,$C269&amp;" "&amp;$F269&amp;" "&amp;$G269&amp;" "&amp;$H269)))),COUNT(O$1:O268)+1,"")</f>
        <v/>
      </c>
      <c r="P269" s="0" t="str">
        <f aca="false">IF(AND(TRIM(C269)&lt;&gt;"",COUNTIF(C$2:C269,C269)=1),MAX(P$1:P268)+1,"")</f>
        <v/>
      </c>
      <c r="Q269" s="0" t="str">
        <f aca="false">IF(AND(TRIM(F269)&lt;&gt;"",COUNTIF(F$2:F269,F269)=1),MAX(Q$1:Q268)+1,"")</f>
        <v/>
      </c>
    </row>
    <row r="270" customFormat="false" ht="15" hidden="false" customHeight="false" outlineLevel="0" collapsed="false">
      <c r="A270" s="9"/>
      <c r="B270" s="10"/>
      <c r="C270" s="11"/>
      <c r="D270" s="11"/>
      <c r="E270" s="11"/>
      <c r="F270" s="11"/>
      <c r="G270" s="12"/>
      <c r="H270" s="12"/>
      <c r="I270" s="10"/>
      <c r="J270" s="12"/>
      <c r="K270" s="13" t="str">
        <f aca="false">IF(ISNUMBER(B270),YEAR(B270),"")</f>
        <v/>
      </c>
      <c r="L270" s="13" t="str">
        <f aca="false">IF(ISNUMBER(B270),MONTH(B270),"")</f>
        <v/>
      </c>
      <c r="M270" s="13" t="str">
        <f aca="false">IF(AND(ISNUMBER(B270),ISNUMBER(I270)),B270-I270+1,"")</f>
        <v/>
      </c>
      <c r="N270" s="14" t="str">
        <f aca="false">IF(B270="","",IF(M270="","시작일 미입력",IF(M270&lt;1,"시작일 이전(확인)",IF(M270=1,"1일째",IF(M270=2,"2일째",IF(M270=3,"3일째",IF(M270&lt;=7,"일주일 이내",IF(M270&lt;=14,"이주일 이내","15일 이후"))))))))</f>
        <v/>
      </c>
      <c r="O270" s="0" t="str">
        <f aca="false">IF(AND(COUNTA($A270:$J270)&gt;0,OR(클레임조회!$C$4="",AND(ISNUMBER($B270),$B270&gt;=클레임조회!$C$4)),OR(클레임조회!$C$5="",AND(ISNUMBER($B270),$B270&lt;=클레임조회!$C$5)),OR(클레임조회!$C$6="",$C270=클레임조회!$C$6),OR(클레임조회!$C$7="",$D270=클레임조회!$C$7),OR(클레임조회!$C$8="",$E270=클레임조회!$C$8),OR(클레임조회!$C$9="",$F270=클레임조회!$C$9),OR(클레임조회!$C$10="",ISNUMBER(SEARCH(클레임조회!$C$10,$C270&amp;" "&amp;$F270&amp;" "&amp;$G270&amp;" "&amp;$H270)))),COUNT(O$1:O269)+1,"")</f>
        <v/>
      </c>
      <c r="P270" s="0" t="str">
        <f aca="false">IF(AND(TRIM(C270)&lt;&gt;"",COUNTIF(C$2:C270,C270)=1),MAX(P$1:P269)+1,"")</f>
        <v/>
      </c>
      <c r="Q270" s="0" t="str">
        <f aca="false">IF(AND(TRIM(F270)&lt;&gt;"",COUNTIF(F$2:F270,F270)=1),MAX(Q$1:Q269)+1,"")</f>
        <v/>
      </c>
    </row>
    <row r="271" customFormat="false" ht="15" hidden="false" customHeight="false" outlineLevel="0" collapsed="false">
      <c r="A271" s="9"/>
      <c r="B271" s="10"/>
      <c r="C271" s="11"/>
      <c r="D271" s="11"/>
      <c r="E271" s="11"/>
      <c r="F271" s="11"/>
      <c r="G271" s="12"/>
      <c r="H271" s="12"/>
      <c r="I271" s="10"/>
      <c r="J271" s="12"/>
      <c r="K271" s="13" t="str">
        <f aca="false">IF(ISNUMBER(B271),YEAR(B271),"")</f>
        <v/>
      </c>
      <c r="L271" s="13" t="str">
        <f aca="false">IF(ISNUMBER(B271),MONTH(B271),"")</f>
        <v/>
      </c>
      <c r="M271" s="13" t="str">
        <f aca="false">IF(AND(ISNUMBER(B271),ISNUMBER(I271)),B271-I271+1,"")</f>
        <v/>
      </c>
      <c r="N271" s="14" t="str">
        <f aca="false">IF(B271="","",IF(M271="","시작일 미입력",IF(M271&lt;1,"시작일 이전(확인)",IF(M271=1,"1일째",IF(M271=2,"2일째",IF(M271=3,"3일째",IF(M271&lt;=7,"일주일 이내",IF(M271&lt;=14,"이주일 이내","15일 이후"))))))))</f>
        <v/>
      </c>
      <c r="O271" s="0" t="str">
        <f aca="false">IF(AND(COUNTA($A271:$J271)&gt;0,OR(클레임조회!$C$4="",AND(ISNUMBER($B271),$B271&gt;=클레임조회!$C$4)),OR(클레임조회!$C$5="",AND(ISNUMBER($B271),$B271&lt;=클레임조회!$C$5)),OR(클레임조회!$C$6="",$C271=클레임조회!$C$6),OR(클레임조회!$C$7="",$D271=클레임조회!$C$7),OR(클레임조회!$C$8="",$E271=클레임조회!$C$8),OR(클레임조회!$C$9="",$F271=클레임조회!$C$9),OR(클레임조회!$C$10="",ISNUMBER(SEARCH(클레임조회!$C$10,$C271&amp;" "&amp;$F271&amp;" "&amp;$G271&amp;" "&amp;$H271)))),COUNT(O$1:O270)+1,"")</f>
        <v/>
      </c>
      <c r="P271" s="0" t="str">
        <f aca="false">IF(AND(TRIM(C271)&lt;&gt;"",COUNTIF(C$2:C271,C271)=1),MAX(P$1:P270)+1,"")</f>
        <v/>
      </c>
      <c r="Q271" s="0" t="str">
        <f aca="false">IF(AND(TRIM(F271)&lt;&gt;"",COUNTIF(F$2:F271,F271)=1),MAX(Q$1:Q270)+1,"")</f>
        <v/>
      </c>
    </row>
    <row r="272" customFormat="false" ht="15" hidden="false" customHeight="false" outlineLevel="0" collapsed="false">
      <c r="A272" s="9"/>
      <c r="B272" s="10"/>
      <c r="C272" s="11"/>
      <c r="D272" s="11"/>
      <c r="E272" s="11"/>
      <c r="F272" s="11"/>
      <c r="G272" s="12"/>
      <c r="H272" s="12"/>
      <c r="I272" s="10"/>
      <c r="J272" s="12"/>
      <c r="K272" s="13" t="str">
        <f aca="false">IF(ISNUMBER(B272),YEAR(B272),"")</f>
        <v/>
      </c>
      <c r="L272" s="13" t="str">
        <f aca="false">IF(ISNUMBER(B272),MONTH(B272),"")</f>
        <v/>
      </c>
      <c r="M272" s="13" t="str">
        <f aca="false">IF(AND(ISNUMBER(B272),ISNUMBER(I272)),B272-I272+1,"")</f>
        <v/>
      </c>
      <c r="N272" s="14" t="str">
        <f aca="false">IF(B272="","",IF(M272="","시작일 미입력",IF(M272&lt;1,"시작일 이전(확인)",IF(M272=1,"1일째",IF(M272=2,"2일째",IF(M272=3,"3일째",IF(M272&lt;=7,"일주일 이내",IF(M272&lt;=14,"이주일 이내","15일 이후"))))))))</f>
        <v/>
      </c>
      <c r="O272" s="0" t="str">
        <f aca="false">IF(AND(COUNTA($A272:$J272)&gt;0,OR(클레임조회!$C$4="",AND(ISNUMBER($B272),$B272&gt;=클레임조회!$C$4)),OR(클레임조회!$C$5="",AND(ISNUMBER($B272),$B272&lt;=클레임조회!$C$5)),OR(클레임조회!$C$6="",$C272=클레임조회!$C$6),OR(클레임조회!$C$7="",$D272=클레임조회!$C$7),OR(클레임조회!$C$8="",$E272=클레임조회!$C$8),OR(클레임조회!$C$9="",$F272=클레임조회!$C$9),OR(클레임조회!$C$10="",ISNUMBER(SEARCH(클레임조회!$C$10,$C272&amp;" "&amp;$F272&amp;" "&amp;$G272&amp;" "&amp;$H272)))),COUNT(O$1:O271)+1,"")</f>
        <v/>
      </c>
      <c r="P272" s="0" t="str">
        <f aca="false">IF(AND(TRIM(C272)&lt;&gt;"",COUNTIF(C$2:C272,C272)=1),MAX(P$1:P271)+1,"")</f>
        <v/>
      </c>
      <c r="Q272" s="0" t="str">
        <f aca="false">IF(AND(TRIM(F272)&lt;&gt;"",COUNTIF(F$2:F272,F272)=1),MAX(Q$1:Q271)+1,"")</f>
        <v/>
      </c>
    </row>
    <row r="273" customFormat="false" ht="15" hidden="false" customHeight="false" outlineLevel="0" collapsed="false">
      <c r="A273" s="9"/>
      <c r="B273" s="10"/>
      <c r="C273" s="11"/>
      <c r="D273" s="11"/>
      <c r="E273" s="11"/>
      <c r="F273" s="11"/>
      <c r="G273" s="12"/>
      <c r="H273" s="12"/>
      <c r="I273" s="10"/>
      <c r="J273" s="12"/>
      <c r="K273" s="13" t="str">
        <f aca="false">IF(ISNUMBER(B273),YEAR(B273),"")</f>
        <v/>
      </c>
      <c r="L273" s="13" t="str">
        <f aca="false">IF(ISNUMBER(B273),MONTH(B273),"")</f>
        <v/>
      </c>
      <c r="M273" s="13" t="str">
        <f aca="false">IF(AND(ISNUMBER(B273),ISNUMBER(I273)),B273-I273+1,"")</f>
        <v/>
      </c>
      <c r="N273" s="14" t="str">
        <f aca="false">IF(B273="","",IF(M273="","시작일 미입력",IF(M273&lt;1,"시작일 이전(확인)",IF(M273=1,"1일째",IF(M273=2,"2일째",IF(M273=3,"3일째",IF(M273&lt;=7,"일주일 이내",IF(M273&lt;=14,"이주일 이내","15일 이후"))))))))</f>
        <v/>
      </c>
      <c r="O273" s="0" t="str">
        <f aca="false">IF(AND(COUNTA($A273:$J273)&gt;0,OR(클레임조회!$C$4="",AND(ISNUMBER($B273),$B273&gt;=클레임조회!$C$4)),OR(클레임조회!$C$5="",AND(ISNUMBER($B273),$B273&lt;=클레임조회!$C$5)),OR(클레임조회!$C$6="",$C273=클레임조회!$C$6),OR(클레임조회!$C$7="",$D273=클레임조회!$C$7),OR(클레임조회!$C$8="",$E273=클레임조회!$C$8),OR(클레임조회!$C$9="",$F273=클레임조회!$C$9),OR(클레임조회!$C$10="",ISNUMBER(SEARCH(클레임조회!$C$10,$C273&amp;" "&amp;$F273&amp;" "&amp;$G273&amp;" "&amp;$H273)))),COUNT(O$1:O272)+1,"")</f>
        <v/>
      </c>
      <c r="P273" s="0" t="str">
        <f aca="false">IF(AND(TRIM(C273)&lt;&gt;"",COUNTIF(C$2:C273,C273)=1),MAX(P$1:P272)+1,"")</f>
        <v/>
      </c>
      <c r="Q273" s="0" t="str">
        <f aca="false">IF(AND(TRIM(F273)&lt;&gt;"",COUNTIF(F$2:F273,F273)=1),MAX(Q$1:Q272)+1,"")</f>
        <v/>
      </c>
    </row>
    <row r="274" customFormat="false" ht="15" hidden="false" customHeight="false" outlineLevel="0" collapsed="false">
      <c r="A274" s="9"/>
      <c r="B274" s="10"/>
      <c r="C274" s="11"/>
      <c r="D274" s="11"/>
      <c r="E274" s="11"/>
      <c r="F274" s="11"/>
      <c r="G274" s="12"/>
      <c r="H274" s="12"/>
      <c r="I274" s="10"/>
      <c r="J274" s="12"/>
      <c r="K274" s="13" t="str">
        <f aca="false">IF(ISNUMBER(B274),YEAR(B274),"")</f>
        <v/>
      </c>
      <c r="L274" s="13" t="str">
        <f aca="false">IF(ISNUMBER(B274),MONTH(B274),"")</f>
        <v/>
      </c>
      <c r="M274" s="13" t="str">
        <f aca="false">IF(AND(ISNUMBER(B274),ISNUMBER(I274)),B274-I274+1,"")</f>
        <v/>
      </c>
      <c r="N274" s="14" t="str">
        <f aca="false">IF(B274="","",IF(M274="","시작일 미입력",IF(M274&lt;1,"시작일 이전(확인)",IF(M274=1,"1일째",IF(M274=2,"2일째",IF(M274=3,"3일째",IF(M274&lt;=7,"일주일 이내",IF(M274&lt;=14,"이주일 이내","15일 이후"))))))))</f>
        <v/>
      </c>
      <c r="O274" s="0" t="str">
        <f aca="false">IF(AND(COUNTA($A274:$J274)&gt;0,OR(클레임조회!$C$4="",AND(ISNUMBER($B274),$B274&gt;=클레임조회!$C$4)),OR(클레임조회!$C$5="",AND(ISNUMBER($B274),$B274&lt;=클레임조회!$C$5)),OR(클레임조회!$C$6="",$C274=클레임조회!$C$6),OR(클레임조회!$C$7="",$D274=클레임조회!$C$7),OR(클레임조회!$C$8="",$E274=클레임조회!$C$8),OR(클레임조회!$C$9="",$F274=클레임조회!$C$9),OR(클레임조회!$C$10="",ISNUMBER(SEARCH(클레임조회!$C$10,$C274&amp;" "&amp;$F274&amp;" "&amp;$G274&amp;" "&amp;$H274)))),COUNT(O$1:O273)+1,"")</f>
        <v/>
      </c>
      <c r="P274" s="0" t="str">
        <f aca="false">IF(AND(TRIM(C274)&lt;&gt;"",COUNTIF(C$2:C274,C274)=1),MAX(P$1:P273)+1,"")</f>
        <v/>
      </c>
      <c r="Q274" s="0" t="str">
        <f aca="false">IF(AND(TRIM(F274)&lt;&gt;"",COUNTIF(F$2:F274,F274)=1),MAX(Q$1:Q273)+1,"")</f>
        <v/>
      </c>
    </row>
    <row r="275" customFormat="false" ht="15" hidden="false" customHeight="false" outlineLevel="0" collapsed="false">
      <c r="A275" s="9"/>
      <c r="B275" s="10"/>
      <c r="C275" s="11"/>
      <c r="D275" s="11"/>
      <c r="E275" s="11"/>
      <c r="F275" s="11"/>
      <c r="G275" s="12"/>
      <c r="H275" s="12"/>
      <c r="I275" s="10"/>
      <c r="J275" s="12"/>
      <c r="K275" s="13" t="str">
        <f aca="false">IF(ISNUMBER(B275),YEAR(B275),"")</f>
        <v/>
      </c>
      <c r="L275" s="13" t="str">
        <f aca="false">IF(ISNUMBER(B275),MONTH(B275),"")</f>
        <v/>
      </c>
      <c r="M275" s="13" t="str">
        <f aca="false">IF(AND(ISNUMBER(B275),ISNUMBER(I275)),B275-I275+1,"")</f>
        <v/>
      </c>
      <c r="N275" s="14" t="str">
        <f aca="false">IF(B275="","",IF(M275="","시작일 미입력",IF(M275&lt;1,"시작일 이전(확인)",IF(M275=1,"1일째",IF(M275=2,"2일째",IF(M275=3,"3일째",IF(M275&lt;=7,"일주일 이내",IF(M275&lt;=14,"이주일 이내","15일 이후"))))))))</f>
        <v/>
      </c>
      <c r="O275" s="0" t="str">
        <f aca="false">IF(AND(COUNTA($A275:$J275)&gt;0,OR(클레임조회!$C$4="",AND(ISNUMBER($B275),$B275&gt;=클레임조회!$C$4)),OR(클레임조회!$C$5="",AND(ISNUMBER($B275),$B275&lt;=클레임조회!$C$5)),OR(클레임조회!$C$6="",$C275=클레임조회!$C$6),OR(클레임조회!$C$7="",$D275=클레임조회!$C$7),OR(클레임조회!$C$8="",$E275=클레임조회!$C$8),OR(클레임조회!$C$9="",$F275=클레임조회!$C$9),OR(클레임조회!$C$10="",ISNUMBER(SEARCH(클레임조회!$C$10,$C275&amp;" "&amp;$F275&amp;" "&amp;$G275&amp;" "&amp;$H275)))),COUNT(O$1:O274)+1,"")</f>
        <v/>
      </c>
      <c r="P275" s="0" t="str">
        <f aca="false">IF(AND(TRIM(C275)&lt;&gt;"",COUNTIF(C$2:C275,C275)=1),MAX(P$1:P274)+1,"")</f>
        <v/>
      </c>
      <c r="Q275" s="0" t="str">
        <f aca="false">IF(AND(TRIM(F275)&lt;&gt;"",COUNTIF(F$2:F275,F275)=1),MAX(Q$1:Q274)+1,"")</f>
        <v/>
      </c>
    </row>
    <row r="276" customFormat="false" ht="15" hidden="false" customHeight="false" outlineLevel="0" collapsed="false">
      <c r="A276" s="9"/>
      <c r="B276" s="10"/>
      <c r="C276" s="11"/>
      <c r="D276" s="11"/>
      <c r="E276" s="11"/>
      <c r="F276" s="11"/>
      <c r="G276" s="12"/>
      <c r="H276" s="12"/>
      <c r="I276" s="10"/>
      <c r="J276" s="12"/>
      <c r="K276" s="13" t="str">
        <f aca="false">IF(ISNUMBER(B276),YEAR(B276),"")</f>
        <v/>
      </c>
      <c r="L276" s="13" t="str">
        <f aca="false">IF(ISNUMBER(B276),MONTH(B276),"")</f>
        <v/>
      </c>
      <c r="M276" s="13" t="str">
        <f aca="false">IF(AND(ISNUMBER(B276),ISNUMBER(I276)),B276-I276+1,"")</f>
        <v/>
      </c>
      <c r="N276" s="14" t="str">
        <f aca="false">IF(B276="","",IF(M276="","시작일 미입력",IF(M276&lt;1,"시작일 이전(확인)",IF(M276=1,"1일째",IF(M276=2,"2일째",IF(M276=3,"3일째",IF(M276&lt;=7,"일주일 이내",IF(M276&lt;=14,"이주일 이내","15일 이후"))))))))</f>
        <v/>
      </c>
      <c r="O276" s="0" t="str">
        <f aca="false">IF(AND(COUNTA($A276:$J276)&gt;0,OR(클레임조회!$C$4="",AND(ISNUMBER($B276),$B276&gt;=클레임조회!$C$4)),OR(클레임조회!$C$5="",AND(ISNUMBER($B276),$B276&lt;=클레임조회!$C$5)),OR(클레임조회!$C$6="",$C276=클레임조회!$C$6),OR(클레임조회!$C$7="",$D276=클레임조회!$C$7),OR(클레임조회!$C$8="",$E276=클레임조회!$C$8),OR(클레임조회!$C$9="",$F276=클레임조회!$C$9),OR(클레임조회!$C$10="",ISNUMBER(SEARCH(클레임조회!$C$10,$C276&amp;" "&amp;$F276&amp;" "&amp;$G276&amp;" "&amp;$H276)))),COUNT(O$1:O275)+1,"")</f>
        <v/>
      </c>
      <c r="P276" s="0" t="str">
        <f aca="false">IF(AND(TRIM(C276)&lt;&gt;"",COUNTIF(C$2:C276,C276)=1),MAX(P$1:P275)+1,"")</f>
        <v/>
      </c>
      <c r="Q276" s="0" t="str">
        <f aca="false">IF(AND(TRIM(F276)&lt;&gt;"",COUNTIF(F$2:F276,F276)=1),MAX(Q$1:Q275)+1,"")</f>
        <v/>
      </c>
    </row>
    <row r="277" customFormat="false" ht="15" hidden="false" customHeight="false" outlineLevel="0" collapsed="false">
      <c r="A277" s="9"/>
      <c r="B277" s="10"/>
      <c r="C277" s="11"/>
      <c r="D277" s="11"/>
      <c r="E277" s="11"/>
      <c r="F277" s="11"/>
      <c r="G277" s="12"/>
      <c r="H277" s="12"/>
      <c r="I277" s="10"/>
      <c r="J277" s="12"/>
      <c r="K277" s="13" t="str">
        <f aca="false">IF(ISNUMBER(B277),YEAR(B277),"")</f>
        <v/>
      </c>
      <c r="L277" s="13" t="str">
        <f aca="false">IF(ISNUMBER(B277),MONTH(B277),"")</f>
        <v/>
      </c>
      <c r="M277" s="13" t="str">
        <f aca="false">IF(AND(ISNUMBER(B277),ISNUMBER(I277)),B277-I277+1,"")</f>
        <v/>
      </c>
      <c r="N277" s="14" t="str">
        <f aca="false">IF(B277="","",IF(M277="","시작일 미입력",IF(M277&lt;1,"시작일 이전(확인)",IF(M277=1,"1일째",IF(M277=2,"2일째",IF(M277=3,"3일째",IF(M277&lt;=7,"일주일 이내",IF(M277&lt;=14,"이주일 이내","15일 이후"))))))))</f>
        <v/>
      </c>
      <c r="O277" s="0" t="str">
        <f aca="false">IF(AND(COUNTA($A277:$J277)&gt;0,OR(클레임조회!$C$4="",AND(ISNUMBER($B277),$B277&gt;=클레임조회!$C$4)),OR(클레임조회!$C$5="",AND(ISNUMBER($B277),$B277&lt;=클레임조회!$C$5)),OR(클레임조회!$C$6="",$C277=클레임조회!$C$6),OR(클레임조회!$C$7="",$D277=클레임조회!$C$7),OR(클레임조회!$C$8="",$E277=클레임조회!$C$8),OR(클레임조회!$C$9="",$F277=클레임조회!$C$9),OR(클레임조회!$C$10="",ISNUMBER(SEARCH(클레임조회!$C$10,$C277&amp;" "&amp;$F277&amp;" "&amp;$G277&amp;" "&amp;$H277)))),COUNT(O$1:O276)+1,"")</f>
        <v/>
      </c>
      <c r="P277" s="0" t="str">
        <f aca="false">IF(AND(TRIM(C277)&lt;&gt;"",COUNTIF(C$2:C277,C277)=1),MAX(P$1:P276)+1,"")</f>
        <v/>
      </c>
      <c r="Q277" s="0" t="str">
        <f aca="false">IF(AND(TRIM(F277)&lt;&gt;"",COUNTIF(F$2:F277,F277)=1),MAX(Q$1:Q276)+1,"")</f>
        <v/>
      </c>
    </row>
    <row r="278" customFormat="false" ht="15" hidden="false" customHeight="false" outlineLevel="0" collapsed="false">
      <c r="A278" s="9"/>
      <c r="B278" s="10"/>
      <c r="C278" s="11"/>
      <c r="D278" s="11"/>
      <c r="E278" s="11"/>
      <c r="F278" s="11"/>
      <c r="G278" s="12"/>
      <c r="H278" s="12"/>
      <c r="I278" s="10"/>
      <c r="J278" s="12"/>
      <c r="K278" s="13" t="str">
        <f aca="false">IF(ISNUMBER(B278),YEAR(B278),"")</f>
        <v/>
      </c>
      <c r="L278" s="13" t="str">
        <f aca="false">IF(ISNUMBER(B278),MONTH(B278),"")</f>
        <v/>
      </c>
      <c r="M278" s="13" t="str">
        <f aca="false">IF(AND(ISNUMBER(B278),ISNUMBER(I278)),B278-I278+1,"")</f>
        <v/>
      </c>
      <c r="N278" s="14" t="str">
        <f aca="false">IF(B278="","",IF(M278="","시작일 미입력",IF(M278&lt;1,"시작일 이전(확인)",IF(M278=1,"1일째",IF(M278=2,"2일째",IF(M278=3,"3일째",IF(M278&lt;=7,"일주일 이내",IF(M278&lt;=14,"이주일 이내","15일 이후"))))))))</f>
        <v/>
      </c>
      <c r="O278" s="0" t="str">
        <f aca="false">IF(AND(COUNTA($A278:$J278)&gt;0,OR(클레임조회!$C$4="",AND(ISNUMBER($B278),$B278&gt;=클레임조회!$C$4)),OR(클레임조회!$C$5="",AND(ISNUMBER($B278),$B278&lt;=클레임조회!$C$5)),OR(클레임조회!$C$6="",$C278=클레임조회!$C$6),OR(클레임조회!$C$7="",$D278=클레임조회!$C$7),OR(클레임조회!$C$8="",$E278=클레임조회!$C$8),OR(클레임조회!$C$9="",$F278=클레임조회!$C$9),OR(클레임조회!$C$10="",ISNUMBER(SEARCH(클레임조회!$C$10,$C278&amp;" "&amp;$F278&amp;" "&amp;$G278&amp;" "&amp;$H278)))),COUNT(O$1:O277)+1,"")</f>
        <v/>
      </c>
      <c r="P278" s="0" t="str">
        <f aca="false">IF(AND(TRIM(C278)&lt;&gt;"",COUNTIF(C$2:C278,C278)=1),MAX(P$1:P277)+1,"")</f>
        <v/>
      </c>
      <c r="Q278" s="0" t="str">
        <f aca="false">IF(AND(TRIM(F278)&lt;&gt;"",COUNTIF(F$2:F278,F278)=1),MAX(Q$1:Q277)+1,"")</f>
        <v/>
      </c>
    </row>
    <row r="279" customFormat="false" ht="15" hidden="false" customHeight="false" outlineLevel="0" collapsed="false">
      <c r="A279" s="9"/>
      <c r="B279" s="10"/>
      <c r="C279" s="11"/>
      <c r="D279" s="11"/>
      <c r="E279" s="11"/>
      <c r="F279" s="11"/>
      <c r="G279" s="12"/>
      <c r="H279" s="12"/>
      <c r="I279" s="10"/>
      <c r="J279" s="12"/>
      <c r="K279" s="13" t="str">
        <f aca="false">IF(ISNUMBER(B279),YEAR(B279),"")</f>
        <v/>
      </c>
      <c r="L279" s="13" t="str">
        <f aca="false">IF(ISNUMBER(B279),MONTH(B279),"")</f>
        <v/>
      </c>
      <c r="M279" s="13" t="str">
        <f aca="false">IF(AND(ISNUMBER(B279),ISNUMBER(I279)),B279-I279+1,"")</f>
        <v/>
      </c>
      <c r="N279" s="14" t="str">
        <f aca="false">IF(B279="","",IF(M279="","시작일 미입력",IF(M279&lt;1,"시작일 이전(확인)",IF(M279=1,"1일째",IF(M279=2,"2일째",IF(M279=3,"3일째",IF(M279&lt;=7,"일주일 이내",IF(M279&lt;=14,"이주일 이내","15일 이후"))))))))</f>
        <v/>
      </c>
      <c r="O279" s="0" t="str">
        <f aca="false">IF(AND(COUNTA($A279:$J279)&gt;0,OR(클레임조회!$C$4="",AND(ISNUMBER($B279),$B279&gt;=클레임조회!$C$4)),OR(클레임조회!$C$5="",AND(ISNUMBER($B279),$B279&lt;=클레임조회!$C$5)),OR(클레임조회!$C$6="",$C279=클레임조회!$C$6),OR(클레임조회!$C$7="",$D279=클레임조회!$C$7),OR(클레임조회!$C$8="",$E279=클레임조회!$C$8),OR(클레임조회!$C$9="",$F279=클레임조회!$C$9),OR(클레임조회!$C$10="",ISNUMBER(SEARCH(클레임조회!$C$10,$C279&amp;" "&amp;$F279&amp;" "&amp;$G279&amp;" "&amp;$H279)))),COUNT(O$1:O278)+1,"")</f>
        <v/>
      </c>
      <c r="P279" s="0" t="str">
        <f aca="false">IF(AND(TRIM(C279)&lt;&gt;"",COUNTIF(C$2:C279,C279)=1),MAX(P$1:P278)+1,"")</f>
        <v/>
      </c>
      <c r="Q279" s="0" t="str">
        <f aca="false">IF(AND(TRIM(F279)&lt;&gt;"",COUNTIF(F$2:F279,F279)=1),MAX(Q$1:Q278)+1,"")</f>
        <v/>
      </c>
    </row>
    <row r="280" customFormat="false" ht="15" hidden="false" customHeight="false" outlineLevel="0" collapsed="false">
      <c r="A280" s="9"/>
      <c r="B280" s="10"/>
      <c r="C280" s="11"/>
      <c r="D280" s="11"/>
      <c r="E280" s="11"/>
      <c r="F280" s="11"/>
      <c r="G280" s="12"/>
      <c r="H280" s="12"/>
      <c r="I280" s="10"/>
      <c r="J280" s="12"/>
      <c r="K280" s="13" t="str">
        <f aca="false">IF(ISNUMBER(B280),YEAR(B280),"")</f>
        <v/>
      </c>
      <c r="L280" s="13" t="str">
        <f aca="false">IF(ISNUMBER(B280),MONTH(B280),"")</f>
        <v/>
      </c>
      <c r="M280" s="13" t="str">
        <f aca="false">IF(AND(ISNUMBER(B280),ISNUMBER(I280)),B280-I280+1,"")</f>
        <v/>
      </c>
      <c r="N280" s="14" t="str">
        <f aca="false">IF(B280="","",IF(M280="","시작일 미입력",IF(M280&lt;1,"시작일 이전(확인)",IF(M280=1,"1일째",IF(M280=2,"2일째",IF(M280=3,"3일째",IF(M280&lt;=7,"일주일 이내",IF(M280&lt;=14,"이주일 이내","15일 이후"))))))))</f>
        <v/>
      </c>
      <c r="O280" s="0" t="str">
        <f aca="false">IF(AND(COUNTA($A280:$J280)&gt;0,OR(클레임조회!$C$4="",AND(ISNUMBER($B280),$B280&gt;=클레임조회!$C$4)),OR(클레임조회!$C$5="",AND(ISNUMBER($B280),$B280&lt;=클레임조회!$C$5)),OR(클레임조회!$C$6="",$C280=클레임조회!$C$6),OR(클레임조회!$C$7="",$D280=클레임조회!$C$7),OR(클레임조회!$C$8="",$E280=클레임조회!$C$8),OR(클레임조회!$C$9="",$F280=클레임조회!$C$9),OR(클레임조회!$C$10="",ISNUMBER(SEARCH(클레임조회!$C$10,$C280&amp;" "&amp;$F280&amp;" "&amp;$G280&amp;" "&amp;$H280)))),COUNT(O$1:O279)+1,"")</f>
        <v/>
      </c>
      <c r="P280" s="0" t="str">
        <f aca="false">IF(AND(TRIM(C280)&lt;&gt;"",COUNTIF(C$2:C280,C280)=1),MAX(P$1:P279)+1,"")</f>
        <v/>
      </c>
      <c r="Q280" s="0" t="str">
        <f aca="false">IF(AND(TRIM(F280)&lt;&gt;"",COUNTIF(F$2:F280,F280)=1),MAX(Q$1:Q279)+1,"")</f>
        <v/>
      </c>
    </row>
    <row r="281" customFormat="false" ht="15" hidden="false" customHeight="false" outlineLevel="0" collapsed="false">
      <c r="A281" s="9"/>
      <c r="B281" s="10"/>
      <c r="C281" s="11"/>
      <c r="D281" s="11"/>
      <c r="E281" s="11"/>
      <c r="F281" s="11"/>
      <c r="G281" s="12"/>
      <c r="H281" s="12"/>
      <c r="I281" s="10"/>
      <c r="J281" s="12"/>
      <c r="K281" s="13" t="str">
        <f aca="false">IF(ISNUMBER(B281),YEAR(B281),"")</f>
        <v/>
      </c>
      <c r="L281" s="13" t="str">
        <f aca="false">IF(ISNUMBER(B281),MONTH(B281),"")</f>
        <v/>
      </c>
      <c r="M281" s="13" t="str">
        <f aca="false">IF(AND(ISNUMBER(B281),ISNUMBER(I281)),B281-I281+1,"")</f>
        <v/>
      </c>
      <c r="N281" s="14" t="str">
        <f aca="false">IF(B281="","",IF(M281="","시작일 미입력",IF(M281&lt;1,"시작일 이전(확인)",IF(M281=1,"1일째",IF(M281=2,"2일째",IF(M281=3,"3일째",IF(M281&lt;=7,"일주일 이내",IF(M281&lt;=14,"이주일 이내","15일 이후"))))))))</f>
        <v/>
      </c>
      <c r="O281" s="0" t="str">
        <f aca="false">IF(AND(COUNTA($A281:$J281)&gt;0,OR(클레임조회!$C$4="",AND(ISNUMBER($B281),$B281&gt;=클레임조회!$C$4)),OR(클레임조회!$C$5="",AND(ISNUMBER($B281),$B281&lt;=클레임조회!$C$5)),OR(클레임조회!$C$6="",$C281=클레임조회!$C$6),OR(클레임조회!$C$7="",$D281=클레임조회!$C$7),OR(클레임조회!$C$8="",$E281=클레임조회!$C$8),OR(클레임조회!$C$9="",$F281=클레임조회!$C$9),OR(클레임조회!$C$10="",ISNUMBER(SEARCH(클레임조회!$C$10,$C281&amp;" "&amp;$F281&amp;" "&amp;$G281&amp;" "&amp;$H281)))),COUNT(O$1:O280)+1,"")</f>
        <v/>
      </c>
      <c r="P281" s="0" t="str">
        <f aca="false">IF(AND(TRIM(C281)&lt;&gt;"",COUNTIF(C$2:C281,C281)=1),MAX(P$1:P280)+1,"")</f>
        <v/>
      </c>
      <c r="Q281" s="0" t="str">
        <f aca="false">IF(AND(TRIM(F281)&lt;&gt;"",COUNTIF(F$2:F281,F281)=1),MAX(Q$1:Q280)+1,"")</f>
        <v/>
      </c>
    </row>
    <row r="282" customFormat="false" ht="15" hidden="false" customHeight="false" outlineLevel="0" collapsed="false">
      <c r="A282" s="9"/>
      <c r="B282" s="10"/>
      <c r="C282" s="11"/>
      <c r="D282" s="11"/>
      <c r="E282" s="11"/>
      <c r="F282" s="11"/>
      <c r="G282" s="12"/>
      <c r="H282" s="12"/>
      <c r="I282" s="10"/>
      <c r="J282" s="12"/>
      <c r="K282" s="13" t="str">
        <f aca="false">IF(ISNUMBER(B282),YEAR(B282),"")</f>
        <v/>
      </c>
      <c r="L282" s="13" t="str">
        <f aca="false">IF(ISNUMBER(B282),MONTH(B282),"")</f>
        <v/>
      </c>
      <c r="M282" s="13" t="str">
        <f aca="false">IF(AND(ISNUMBER(B282),ISNUMBER(I282)),B282-I282+1,"")</f>
        <v/>
      </c>
      <c r="N282" s="14" t="str">
        <f aca="false">IF(B282="","",IF(M282="","시작일 미입력",IF(M282&lt;1,"시작일 이전(확인)",IF(M282=1,"1일째",IF(M282=2,"2일째",IF(M282=3,"3일째",IF(M282&lt;=7,"일주일 이내",IF(M282&lt;=14,"이주일 이내","15일 이후"))))))))</f>
        <v/>
      </c>
      <c r="O282" s="0" t="str">
        <f aca="false">IF(AND(COUNTA($A282:$J282)&gt;0,OR(클레임조회!$C$4="",AND(ISNUMBER($B282),$B282&gt;=클레임조회!$C$4)),OR(클레임조회!$C$5="",AND(ISNUMBER($B282),$B282&lt;=클레임조회!$C$5)),OR(클레임조회!$C$6="",$C282=클레임조회!$C$6),OR(클레임조회!$C$7="",$D282=클레임조회!$C$7),OR(클레임조회!$C$8="",$E282=클레임조회!$C$8),OR(클레임조회!$C$9="",$F282=클레임조회!$C$9),OR(클레임조회!$C$10="",ISNUMBER(SEARCH(클레임조회!$C$10,$C282&amp;" "&amp;$F282&amp;" "&amp;$G282&amp;" "&amp;$H282)))),COUNT(O$1:O281)+1,"")</f>
        <v/>
      </c>
      <c r="P282" s="0" t="str">
        <f aca="false">IF(AND(TRIM(C282)&lt;&gt;"",COUNTIF(C$2:C282,C282)=1),MAX(P$1:P281)+1,"")</f>
        <v/>
      </c>
      <c r="Q282" s="0" t="str">
        <f aca="false">IF(AND(TRIM(F282)&lt;&gt;"",COUNTIF(F$2:F282,F282)=1),MAX(Q$1:Q281)+1,"")</f>
        <v/>
      </c>
    </row>
    <row r="283" customFormat="false" ht="15" hidden="false" customHeight="false" outlineLevel="0" collapsed="false">
      <c r="A283" s="9"/>
      <c r="B283" s="10"/>
      <c r="C283" s="11"/>
      <c r="D283" s="11"/>
      <c r="E283" s="11"/>
      <c r="F283" s="11"/>
      <c r="G283" s="12"/>
      <c r="H283" s="12"/>
      <c r="I283" s="10"/>
      <c r="J283" s="12"/>
      <c r="K283" s="13" t="str">
        <f aca="false">IF(ISNUMBER(B283),YEAR(B283),"")</f>
        <v/>
      </c>
      <c r="L283" s="13" t="str">
        <f aca="false">IF(ISNUMBER(B283),MONTH(B283),"")</f>
        <v/>
      </c>
      <c r="M283" s="13" t="str">
        <f aca="false">IF(AND(ISNUMBER(B283),ISNUMBER(I283)),B283-I283+1,"")</f>
        <v/>
      </c>
      <c r="N283" s="14" t="str">
        <f aca="false">IF(B283="","",IF(M283="","시작일 미입력",IF(M283&lt;1,"시작일 이전(확인)",IF(M283=1,"1일째",IF(M283=2,"2일째",IF(M283=3,"3일째",IF(M283&lt;=7,"일주일 이내",IF(M283&lt;=14,"이주일 이내","15일 이후"))))))))</f>
        <v/>
      </c>
      <c r="O283" s="0" t="str">
        <f aca="false">IF(AND(COUNTA($A283:$J283)&gt;0,OR(클레임조회!$C$4="",AND(ISNUMBER($B283),$B283&gt;=클레임조회!$C$4)),OR(클레임조회!$C$5="",AND(ISNUMBER($B283),$B283&lt;=클레임조회!$C$5)),OR(클레임조회!$C$6="",$C283=클레임조회!$C$6),OR(클레임조회!$C$7="",$D283=클레임조회!$C$7),OR(클레임조회!$C$8="",$E283=클레임조회!$C$8),OR(클레임조회!$C$9="",$F283=클레임조회!$C$9),OR(클레임조회!$C$10="",ISNUMBER(SEARCH(클레임조회!$C$10,$C283&amp;" "&amp;$F283&amp;" "&amp;$G283&amp;" "&amp;$H283)))),COUNT(O$1:O282)+1,"")</f>
        <v/>
      </c>
      <c r="P283" s="0" t="str">
        <f aca="false">IF(AND(TRIM(C283)&lt;&gt;"",COUNTIF(C$2:C283,C283)=1),MAX(P$1:P282)+1,"")</f>
        <v/>
      </c>
      <c r="Q283" s="0" t="str">
        <f aca="false">IF(AND(TRIM(F283)&lt;&gt;"",COUNTIF(F$2:F283,F283)=1),MAX(Q$1:Q282)+1,"")</f>
        <v/>
      </c>
    </row>
    <row r="284" customFormat="false" ht="15" hidden="false" customHeight="false" outlineLevel="0" collapsed="false">
      <c r="A284" s="9"/>
      <c r="B284" s="10"/>
      <c r="C284" s="11"/>
      <c r="D284" s="11"/>
      <c r="E284" s="11"/>
      <c r="F284" s="11"/>
      <c r="G284" s="12"/>
      <c r="H284" s="12"/>
      <c r="I284" s="10"/>
      <c r="J284" s="12"/>
      <c r="K284" s="13" t="str">
        <f aca="false">IF(ISNUMBER(B284),YEAR(B284),"")</f>
        <v/>
      </c>
      <c r="L284" s="13" t="str">
        <f aca="false">IF(ISNUMBER(B284),MONTH(B284),"")</f>
        <v/>
      </c>
      <c r="M284" s="13" t="str">
        <f aca="false">IF(AND(ISNUMBER(B284),ISNUMBER(I284)),B284-I284+1,"")</f>
        <v/>
      </c>
      <c r="N284" s="14" t="str">
        <f aca="false">IF(B284="","",IF(M284="","시작일 미입력",IF(M284&lt;1,"시작일 이전(확인)",IF(M284=1,"1일째",IF(M284=2,"2일째",IF(M284=3,"3일째",IF(M284&lt;=7,"일주일 이내",IF(M284&lt;=14,"이주일 이내","15일 이후"))))))))</f>
        <v/>
      </c>
      <c r="O284" s="0" t="str">
        <f aca="false">IF(AND(COUNTA($A284:$J284)&gt;0,OR(클레임조회!$C$4="",AND(ISNUMBER($B284),$B284&gt;=클레임조회!$C$4)),OR(클레임조회!$C$5="",AND(ISNUMBER($B284),$B284&lt;=클레임조회!$C$5)),OR(클레임조회!$C$6="",$C284=클레임조회!$C$6),OR(클레임조회!$C$7="",$D284=클레임조회!$C$7),OR(클레임조회!$C$8="",$E284=클레임조회!$C$8),OR(클레임조회!$C$9="",$F284=클레임조회!$C$9),OR(클레임조회!$C$10="",ISNUMBER(SEARCH(클레임조회!$C$10,$C284&amp;" "&amp;$F284&amp;" "&amp;$G284&amp;" "&amp;$H284)))),COUNT(O$1:O283)+1,"")</f>
        <v/>
      </c>
      <c r="P284" s="0" t="str">
        <f aca="false">IF(AND(TRIM(C284)&lt;&gt;"",COUNTIF(C$2:C284,C284)=1),MAX(P$1:P283)+1,"")</f>
        <v/>
      </c>
      <c r="Q284" s="0" t="str">
        <f aca="false">IF(AND(TRIM(F284)&lt;&gt;"",COUNTIF(F$2:F284,F284)=1),MAX(Q$1:Q283)+1,"")</f>
        <v/>
      </c>
    </row>
    <row r="285" customFormat="false" ht="15" hidden="false" customHeight="false" outlineLevel="0" collapsed="false">
      <c r="A285" s="9"/>
      <c r="B285" s="10"/>
      <c r="C285" s="11"/>
      <c r="D285" s="11"/>
      <c r="E285" s="11"/>
      <c r="F285" s="11"/>
      <c r="G285" s="12"/>
      <c r="H285" s="12"/>
      <c r="I285" s="10"/>
      <c r="J285" s="12"/>
      <c r="K285" s="13" t="str">
        <f aca="false">IF(ISNUMBER(B285),YEAR(B285),"")</f>
        <v/>
      </c>
      <c r="L285" s="13" t="str">
        <f aca="false">IF(ISNUMBER(B285),MONTH(B285),"")</f>
        <v/>
      </c>
      <c r="M285" s="13" t="str">
        <f aca="false">IF(AND(ISNUMBER(B285),ISNUMBER(I285)),B285-I285+1,"")</f>
        <v/>
      </c>
      <c r="N285" s="14" t="str">
        <f aca="false">IF(B285="","",IF(M285="","시작일 미입력",IF(M285&lt;1,"시작일 이전(확인)",IF(M285=1,"1일째",IF(M285=2,"2일째",IF(M285=3,"3일째",IF(M285&lt;=7,"일주일 이내",IF(M285&lt;=14,"이주일 이내","15일 이후"))))))))</f>
        <v/>
      </c>
      <c r="O285" s="0" t="str">
        <f aca="false">IF(AND(COUNTA($A285:$J285)&gt;0,OR(클레임조회!$C$4="",AND(ISNUMBER($B285),$B285&gt;=클레임조회!$C$4)),OR(클레임조회!$C$5="",AND(ISNUMBER($B285),$B285&lt;=클레임조회!$C$5)),OR(클레임조회!$C$6="",$C285=클레임조회!$C$6),OR(클레임조회!$C$7="",$D285=클레임조회!$C$7),OR(클레임조회!$C$8="",$E285=클레임조회!$C$8),OR(클레임조회!$C$9="",$F285=클레임조회!$C$9),OR(클레임조회!$C$10="",ISNUMBER(SEARCH(클레임조회!$C$10,$C285&amp;" "&amp;$F285&amp;" "&amp;$G285&amp;" "&amp;$H285)))),COUNT(O$1:O284)+1,"")</f>
        <v/>
      </c>
      <c r="P285" s="0" t="str">
        <f aca="false">IF(AND(TRIM(C285)&lt;&gt;"",COUNTIF(C$2:C285,C285)=1),MAX(P$1:P284)+1,"")</f>
        <v/>
      </c>
      <c r="Q285" s="0" t="str">
        <f aca="false">IF(AND(TRIM(F285)&lt;&gt;"",COUNTIF(F$2:F285,F285)=1),MAX(Q$1:Q284)+1,"")</f>
        <v/>
      </c>
    </row>
    <row r="286" customFormat="false" ht="15" hidden="false" customHeight="false" outlineLevel="0" collapsed="false">
      <c r="A286" s="9"/>
      <c r="B286" s="10"/>
      <c r="C286" s="11"/>
      <c r="D286" s="11"/>
      <c r="E286" s="11"/>
      <c r="F286" s="11"/>
      <c r="G286" s="12"/>
      <c r="H286" s="12"/>
      <c r="I286" s="10"/>
      <c r="J286" s="12"/>
      <c r="K286" s="13" t="str">
        <f aca="false">IF(ISNUMBER(B286),YEAR(B286),"")</f>
        <v/>
      </c>
      <c r="L286" s="13" t="str">
        <f aca="false">IF(ISNUMBER(B286),MONTH(B286),"")</f>
        <v/>
      </c>
      <c r="M286" s="13" t="str">
        <f aca="false">IF(AND(ISNUMBER(B286),ISNUMBER(I286)),B286-I286+1,"")</f>
        <v/>
      </c>
      <c r="N286" s="14" t="str">
        <f aca="false">IF(B286="","",IF(M286="","시작일 미입력",IF(M286&lt;1,"시작일 이전(확인)",IF(M286=1,"1일째",IF(M286=2,"2일째",IF(M286=3,"3일째",IF(M286&lt;=7,"일주일 이내",IF(M286&lt;=14,"이주일 이내","15일 이후"))))))))</f>
        <v/>
      </c>
      <c r="O286" s="0" t="str">
        <f aca="false">IF(AND(COUNTA($A286:$J286)&gt;0,OR(클레임조회!$C$4="",AND(ISNUMBER($B286),$B286&gt;=클레임조회!$C$4)),OR(클레임조회!$C$5="",AND(ISNUMBER($B286),$B286&lt;=클레임조회!$C$5)),OR(클레임조회!$C$6="",$C286=클레임조회!$C$6),OR(클레임조회!$C$7="",$D286=클레임조회!$C$7),OR(클레임조회!$C$8="",$E286=클레임조회!$C$8),OR(클레임조회!$C$9="",$F286=클레임조회!$C$9),OR(클레임조회!$C$10="",ISNUMBER(SEARCH(클레임조회!$C$10,$C286&amp;" "&amp;$F286&amp;" "&amp;$G286&amp;" "&amp;$H286)))),COUNT(O$1:O285)+1,"")</f>
        <v/>
      </c>
      <c r="P286" s="0" t="str">
        <f aca="false">IF(AND(TRIM(C286)&lt;&gt;"",COUNTIF(C$2:C286,C286)=1),MAX(P$1:P285)+1,"")</f>
        <v/>
      </c>
      <c r="Q286" s="0" t="str">
        <f aca="false">IF(AND(TRIM(F286)&lt;&gt;"",COUNTIF(F$2:F286,F286)=1),MAX(Q$1:Q285)+1,"")</f>
        <v/>
      </c>
    </row>
    <row r="287" customFormat="false" ht="15" hidden="false" customHeight="false" outlineLevel="0" collapsed="false">
      <c r="A287" s="9"/>
      <c r="B287" s="10"/>
      <c r="C287" s="11"/>
      <c r="D287" s="11"/>
      <c r="E287" s="11"/>
      <c r="F287" s="11"/>
      <c r="G287" s="12"/>
      <c r="H287" s="12"/>
      <c r="I287" s="10"/>
      <c r="J287" s="12"/>
      <c r="K287" s="13" t="str">
        <f aca="false">IF(ISNUMBER(B287),YEAR(B287),"")</f>
        <v/>
      </c>
      <c r="L287" s="13" t="str">
        <f aca="false">IF(ISNUMBER(B287),MONTH(B287),"")</f>
        <v/>
      </c>
      <c r="M287" s="13" t="str">
        <f aca="false">IF(AND(ISNUMBER(B287),ISNUMBER(I287)),B287-I287+1,"")</f>
        <v/>
      </c>
      <c r="N287" s="14" t="str">
        <f aca="false">IF(B287="","",IF(M287="","시작일 미입력",IF(M287&lt;1,"시작일 이전(확인)",IF(M287=1,"1일째",IF(M287=2,"2일째",IF(M287=3,"3일째",IF(M287&lt;=7,"일주일 이내",IF(M287&lt;=14,"이주일 이내","15일 이후"))))))))</f>
        <v/>
      </c>
      <c r="O287" s="0" t="str">
        <f aca="false">IF(AND(COUNTA($A287:$J287)&gt;0,OR(클레임조회!$C$4="",AND(ISNUMBER($B287),$B287&gt;=클레임조회!$C$4)),OR(클레임조회!$C$5="",AND(ISNUMBER($B287),$B287&lt;=클레임조회!$C$5)),OR(클레임조회!$C$6="",$C287=클레임조회!$C$6),OR(클레임조회!$C$7="",$D287=클레임조회!$C$7),OR(클레임조회!$C$8="",$E287=클레임조회!$C$8),OR(클레임조회!$C$9="",$F287=클레임조회!$C$9),OR(클레임조회!$C$10="",ISNUMBER(SEARCH(클레임조회!$C$10,$C287&amp;" "&amp;$F287&amp;" "&amp;$G287&amp;" "&amp;$H287)))),COUNT(O$1:O286)+1,"")</f>
        <v/>
      </c>
      <c r="P287" s="0" t="str">
        <f aca="false">IF(AND(TRIM(C287)&lt;&gt;"",COUNTIF(C$2:C287,C287)=1),MAX(P$1:P286)+1,"")</f>
        <v/>
      </c>
      <c r="Q287" s="0" t="str">
        <f aca="false">IF(AND(TRIM(F287)&lt;&gt;"",COUNTIF(F$2:F287,F287)=1),MAX(Q$1:Q286)+1,"")</f>
        <v/>
      </c>
    </row>
    <row r="288" customFormat="false" ht="15" hidden="false" customHeight="false" outlineLevel="0" collapsed="false">
      <c r="A288" s="9"/>
      <c r="B288" s="10"/>
      <c r="C288" s="11"/>
      <c r="D288" s="11"/>
      <c r="E288" s="11"/>
      <c r="F288" s="11"/>
      <c r="G288" s="12"/>
      <c r="H288" s="12"/>
      <c r="I288" s="10"/>
      <c r="J288" s="12"/>
      <c r="K288" s="13" t="str">
        <f aca="false">IF(ISNUMBER(B288),YEAR(B288),"")</f>
        <v/>
      </c>
      <c r="L288" s="13" t="str">
        <f aca="false">IF(ISNUMBER(B288),MONTH(B288),"")</f>
        <v/>
      </c>
      <c r="M288" s="13" t="str">
        <f aca="false">IF(AND(ISNUMBER(B288),ISNUMBER(I288)),B288-I288+1,"")</f>
        <v/>
      </c>
      <c r="N288" s="14" t="str">
        <f aca="false">IF(B288="","",IF(M288="","시작일 미입력",IF(M288&lt;1,"시작일 이전(확인)",IF(M288=1,"1일째",IF(M288=2,"2일째",IF(M288=3,"3일째",IF(M288&lt;=7,"일주일 이내",IF(M288&lt;=14,"이주일 이내","15일 이후"))))))))</f>
        <v/>
      </c>
      <c r="O288" s="0" t="str">
        <f aca="false">IF(AND(COUNTA($A288:$J288)&gt;0,OR(클레임조회!$C$4="",AND(ISNUMBER($B288),$B288&gt;=클레임조회!$C$4)),OR(클레임조회!$C$5="",AND(ISNUMBER($B288),$B288&lt;=클레임조회!$C$5)),OR(클레임조회!$C$6="",$C288=클레임조회!$C$6),OR(클레임조회!$C$7="",$D288=클레임조회!$C$7),OR(클레임조회!$C$8="",$E288=클레임조회!$C$8),OR(클레임조회!$C$9="",$F288=클레임조회!$C$9),OR(클레임조회!$C$10="",ISNUMBER(SEARCH(클레임조회!$C$10,$C288&amp;" "&amp;$F288&amp;" "&amp;$G288&amp;" "&amp;$H288)))),COUNT(O$1:O287)+1,"")</f>
        <v/>
      </c>
      <c r="P288" s="0" t="str">
        <f aca="false">IF(AND(TRIM(C288)&lt;&gt;"",COUNTIF(C$2:C288,C288)=1),MAX(P$1:P287)+1,"")</f>
        <v/>
      </c>
      <c r="Q288" s="0" t="str">
        <f aca="false">IF(AND(TRIM(F288)&lt;&gt;"",COUNTIF(F$2:F288,F288)=1),MAX(Q$1:Q287)+1,"")</f>
        <v/>
      </c>
    </row>
    <row r="289" customFormat="false" ht="15" hidden="false" customHeight="false" outlineLevel="0" collapsed="false">
      <c r="A289" s="9"/>
      <c r="B289" s="10"/>
      <c r="C289" s="11"/>
      <c r="D289" s="11"/>
      <c r="E289" s="11"/>
      <c r="F289" s="11"/>
      <c r="G289" s="12"/>
      <c r="H289" s="12"/>
      <c r="I289" s="10"/>
      <c r="J289" s="12"/>
      <c r="K289" s="13" t="str">
        <f aca="false">IF(ISNUMBER(B289),YEAR(B289),"")</f>
        <v/>
      </c>
      <c r="L289" s="13" t="str">
        <f aca="false">IF(ISNUMBER(B289),MONTH(B289),"")</f>
        <v/>
      </c>
      <c r="M289" s="13" t="str">
        <f aca="false">IF(AND(ISNUMBER(B289),ISNUMBER(I289)),B289-I289+1,"")</f>
        <v/>
      </c>
      <c r="N289" s="14" t="str">
        <f aca="false">IF(B289="","",IF(M289="","시작일 미입력",IF(M289&lt;1,"시작일 이전(확인)",IF(M289=1,"1일째",IF(M289=2,"2일째",IF(M289=3,"3일째",IF(M289&lt;=7,"일주일 이내",IF(M289&lt;=14,"이주일 이내","15일 이후"))))))))</f>
        <v/>
      </c>
      <c r="O289" s="0" t="str">
        <f aca="false">IF(AND(COUNTA($A289:$J289)&gt;0,OR(클레임조회!$C$4="",AND(ISNUMBER($B289),$B289&gt;=클레임조회!$C$4)),OR(클레임조회!$C$5="",AND(ISNUMBER($B289),$B289&lt;=클레임조회!$C$5)),OR(클레임조회!$C$6="",$C289=클레임조회!$C$6),OR(클레임조회!$C$7="",$D289=클레임조회!$C$7),OR(클레임조회!$C$8="",$E289=클레임조회!$C$8),OR(클레임조회!$C$9="",$F289=클레임조회!$C$9),OR(클레임조회!$C$10="",ISNUMBER(SEARCH(클레임조회!$C$10,$C289&amp;" "&amp;$F289&amp;" "&amp;$G289&amp;" "&amp;$H289)))),COUNT(O$1:O288)+1,"")</f>
        <v/>
      </c>
      <c r="P289" s="0" t="str">
        <f aca="false">IF(AND(TRIM(C289)&lt;&gt;"",COUNTIF(C$2:C289,C289)=1),MAX(P$1:P288)+1,"")</f>
        <v/>
      </c>
      <c r="Q289" s="0" t="str">
        <f aca="false">IF(AND(TRIM(F289)&lt;&gt;"",COUNTIF(F$2:F289,F289)=1),MAX(Q$1:Q288)+1,"")</f>
        <v/>
      </c>
    </row>
    <row r="290" customFormat="false" ht="15" hidden="false" customHeight="false" outlineLevel="0" collapsed="false">
      <c r="A290" s="9"/>
      <c r="B290" s="10"/>
      <c r="C290" s="11"/>
      <c r="D290" s="11"/>
      <c r="E290" s="11"/>
      <c r="F290" s="11"/>
      <c r="G290" s="12"/>
      <c r="H290" s="12"/>
      <c r="I290" s="10"/>
      <c r="J290" s="12"/>
      <c r="K290" s="13" t="str">
        <f aca="false">IF(ISNUMBER(B290),YEAR(B290),"")</f>
        <v/>
      </c>
      <c r="L290" s="13" t="str">
        <f aca="false">IF(ISNUMBER(B290),MONTH(B290),"")</f>
        <v/>
      </c>
      <c r="M290" s="13" t="str">
        <f aca="false">IF(AND(ISNUMBER(B290),ISNUMBER(I290)),B290-I290+1,"")</f>
        <v/>
      </c>
      <c r="N290" s="14" t="str">
        <f aca="false">IF(B290="","",IF(M290="","시작일 미입력",IF(M290&lt;1,"시작일 이전(확인)",IF(M290=1,"1일째",IF(M290=2,"2일째",IF(M290=3,"3일째",IF(M290&lt;=7,"일주일 이내",IF(M290&lt;=14,"이주일 이내","15일 이후"))))))))</f>
        <v/>
      </c>
      <c r="O290" s="0" t="str">
        <f aca="false">IF(AND(COUNTA($A290:$J290)&gt;0,OR(클레임조회!$C$4="",AND(ISNUMBER($B290),$B290&gt;=클레임조회!$C$4)),OR(클레임조회!$C$5="",AND(ISNUMBER($B290),$B290&lt;=클레임조회!$C$5)),OR(클레임조회!$C$6="",$C290=클레임조회!$C$6),OR(클레임조회!$C$7="",$D290=클레임조회!$C$7),OR(클레임조회!$C$8="",$E290=클레임조회!$C$8),OR(클레임조회!$C$9="",$F290=클레임조회!$C$9),OR(클레임조회!$C$10="",ISNUMBER(SEARCH(클레임조회!$C$10,$C290&amp;" "&amp;$F290&amp;" "&amp;$G290&amp;" "&amp;$H290)))),COUNT(O$1:O289)+1,"")</f>
        <v/>
      </c>
      <c r="P290" s="0" t="str">
        <f aca="false">IF(AND(TRIM(C290)&lt;&gt;"",COUNTIF(C$2:C290,C290)=1),MAX(P$1:P289)+1,"")</f>
        <v/>
      </c>
      <c r="Q290" s="0" t="str">
        <f aca="false">IF(AND(TRIM(F290)&lt;&gt;"",COUNTIF(F$2:F290,F290)=1),MAX(Q$1:Q289)+1,"")</f>
        <v/>
      </c>
    </row>
    <row r="291" customFormat="false" ht="15" hidden="false" customHeight="false" outlineLevel="0" collapsed="false">
      <c r="A291" s="9"/>
      <c r="B291" s="10"/>
      <c r="C291" s="11"/>
      <c r="D291" s="11"/>
      <c r="E291" s="11"/>
      <c r="F291" s="11"/>
      <c r="G291" s="12"/>
      <c r="H291" s="12"/>
      <c r="I291" s="10"/>
      <c r="J291" s="12"/>
      <c r="K291" s="13" t="str">
        <f aca="false">IF(ISNUMBER(B291),YEAR(B291),"")</f>
        <v/>
      </c>
      <c r="L291" s="13" t="str">
        <f aca="false">IF(ISNUMBER(B291),MONTH(B291),"")</f>
        <v/>
      </c>
      <c r="M291" s="13" t="str">
        <f aca="false">IF(AND(ISNUMBER(B291),ISNUMBER(I291)),B291-I291+1,"")</f>
        <v/>
      </c>
      <c r="N291" s="14" t="str">
        <f aca="false">IF(B291="","",IF(M291="","시작일 미입력",IF(M291&lt;1,"시작일 이전(확인)",IF(M291=1,"1일째",IF(M291=2,"2일째",IF(M291=3,"3일째",IF(M291&lt;=7,"일주일 이내",IF(M291&lt;=14,"이주일 이내","15일 이후"))))))))</f>
        <v/>
      </c>
      <c r="O291" s="0" t="str">
        <f aca="false">IF(AND(COUNTA($A291:$J291)&gt;0,OR(클레임조회!$C$4="",AND(ISNUMBER($B291),$B291&gt;=클레임조회!$C$4)),OR(클레임조회!$C$5="",AND(ISNUMBER($B291),$B291&lt;=클레임조회!$C$5)),OR(클레임조회!$C$6="",$C291=클레임조회!$C$6),OR(클레임조회!$C$7="",$D291=클레임조회!$C$7),OR(클레임조회!$C$8="",$E291=클레임조회!$C$8),OR(클레임조회!$C$9="",$F291=클레임조회!$C$9),OR(클레임조회!$C$10="",ISNUMBER(SEARCH(클레임조회!$C$10,$C291&amp;" "&amp;$F291&amp;" "&amp;$G291&amp;" "&amp;$H291)))),COUNT(O$1:O290)+1,"")</f>
        <v/>
      </c>
      <c r="P291" s="0" t="str">
        <f aca="false">IF(AND(TRIM(C291)&lt;&gt;"",COUNTIF(C$2:C291,C291)=1),MAX(P$1:P290)+1,"")</f>
        <v/>
      </c>
      <c r="Q291" s="0" t="str">
        <f aca="false">IF(AND(TRIM(F291)&lt;&gt;"",COUNTIF(F$2:F291,F291)=1),MAX(Q$1:Q290)+1,"")</f>
        <v/>
      </c>
    </row>
    <row r="292" customFormat="false" ht="15" hidden="false" customHeight="false" outlineLevel="0" collapsed="false">
      <c r="A292" s="9"/>
      <c r="B292" s="10"/>
      <c r="C292" s="11"/>
      <c r="D292" s="11"/>
      <c r="E292" s="11"/>
      <c r="F292" s="11"/>
      <c r="G292" s="12"/>
      <c r="H292" s="12"/>
      <c r="I292" s="10"/>
      <c r="J292" s="12"/>
      <c r="K292" s="13" t="str">
        <f aca="false">IF(ISNUMBER(B292),YEAR(B292),"")</f>
        <v/>
      </c>
      <c r="L292" s="13" t="str">
        <f aca="false">IF(ISNUMBER(B292),MONTH(B292),"")</f>
        <v/>
      </c>
      <c r="M292" s="13" t="str">
        <f aca="false">IF(AND(ISNUMBER(B292),ISNUMBER(I292)),B292-I292+1,"")</f>
        <v/>
      </c>
      <c r="N292" s="14" t="str">
        <f aca="false">IF(B292="","",IF(M292="","시작일 미입력",IF(M292&lt;1,"시작일 이전(확인)",IF(M292=1,"1일째",IF(M292=2,"2일째",IF(M292=3,"3일째",IF(M292&lt;=7,"일주일 이내",IF(M292&lt;=14,"이주일 이내","15일 이후"))))))))</f>
        <v/>
      </c>
      <c r="O292" s="0" t="str">
        <f aca="false">IF(AND(COUNTA($A292:$J292)&gt;0,OR(클레임조회!$C$4="",AND(ISNUMBER($B292),$B292&gt;=클레임조회!$C$4)),OR(클레임조회!$C$5="",AND(ISNUMBER($B292),$B292&lt;=클레임조회!$C$5)),OR(클레임조회!$C$6="",$C292=클레임조회!$C$6),OR(클레임조회!$C$7="",$D292=클레임조회!$C$7),OR(클레임조회!$C$8="",$E292=클레임조회!$C$8),OR(클레임조회!$C$9="",$F292=클레임조회!$C$9),OR(클레임조회!$C$10="",ISNUMBER(SEARCH(클레임조회!$C$10,$C292&amp;" "&amp;$F292&amp;" "&amp;$G292&amp;" "&amp;$H292)))),COUNT(O$1:O291)+1,"")</f>
        <v/>
      </c>
      <c r="P292" s="0" t="str">
        <f aca="false">IF(AND(TRIM(C292)&lt;&gt;"",COUNTIF(C$2:C292,C292)=1),MAX(P$1:P291)+1,"")</f>
        <v/>
      </c>
      <c r="Q292" s="0" t="str">
        <f aca="false">IF(AND(TRIM(F292)&lt;&gt;"",COUNTIF(F$2:F292,F292)=1),MAX(Q$1:Q291)+1,"")</f>
        <v/>
      </c>
    </row>
    <row r="293" customFormat="false" ht="15" hidden="false" customHeight="false" outlineLevel="0" collapsed="false">
      <c r="A293" s="9"/>
      <c r="B293" s="10"/>
      <c r="C293" s="11"/>
      <c r="D293" s="11"/>
      <c r="E293" s="11"/>
      <c r="F293" s="11"/>
      <c r="G293" s="12"/>
      <c r="H293" s="12"/>
      <c r="I293" s="10"/>
      <c r="J293" s="12"/>
      <c r="K293" s="13" t="str">
        <f aca="false">IF(ISNUMBER(B293),YEAR(B293),"")</f>
        <v/>
      </c>
      <c r="L293" s="13" t="str">
        <f aca="false">IF(ISNUMBER(B293),MONTH(B293),"")</f>
        <v/>
      </c>
      <c r="M293" s="13" t="str">
        <f aca="false">IF(AND(ISNUMBER(B293),ISNUMBER(I293)),B293-I293+1,"")</f>
        <v/>
      </c>
      <c r="N293" s="14" t="str">
        <f aca="false">IF(B293="","",IF(M293="","시작일 미입력",IF(M293&lt;1,"시작일 이전(확인)",IF(M293=1,"1일째",IF(M293=2,"2일째",IF(M293=3,"3일째",IF(M293&lt;=7,"일주일 이내",IF(M293&lt;=14,"이주일 이내","15일 이후"))))))))</f>
        <v/>
      </c>
      <c r="O293" s="0" t="str">
        <f aca="false">IF(AND(COUNTA($A293:$J293)&gt;0,OR(클레임조회!$C$4="",AND(ISNUMBER($B293),$B293&gt;=클레임조회!$C$4)),OR(클레임조회!$C$5="",AND(ISNUMBER($B293),$B293&lt;=클레임조회!$C$5)),OR(클레임조회!$C$6="",$C293=클레임조회!$C$6),OR(클레임조회!$C$7="",$D293=클레임조회!$C$7),OR(클레임조회!$C$8="",$E293=클레임조회!$C$8),OR(클레임조회!$C$9="",$F293=클레임조회!$C$9),OR(클레임조회!$C$10="",ISNUMBER(SEARCH(클레임조회!$C$10,$C293&amp;" "&amp;$F293&amp;" "&amp;$G293&amp;" "&amp;$H293)))),COUNT(O$1:O292)+1,"")</f>
        <v/>
      </c>
      <c r="P293" s="0" t="str">
        <f aca="false">IF(AND(TRIM(C293)&lt;&gt;"",COUNTIF(C$2:C293,C293)=1),MAX(P$1:P292)+1,"")</f>
        <v/>
      </c>
      <c r="Q293" s="0" t="str">
        <f aca="false">IF(AND(TRIM(F293)&lt;&gt;"",COUNTIF(F$2:F293,F293)=1),MAX(Q$1:Q292)+1,"")</f>
        <v/>
      </c>
    </row>
    <row r="294" customFormat="false" ht="15" hidden="false" customHeight="false" outlineLevel="0" collapsed="false">
      <c r="A294" s="9"/>
      <c r="B294" s="10"/>
      <c r="C294" s="11"/>
      <c r="D294" s="11"/>
      <c r="E294" s="11"/>
      <c r="F294" s="11"/>
      <c r="G294" s="12"/>
      <c r="H294" s="12"/>
      <c r="I294" s="10"/>
      <c r="J294" s="12"/>
      <c r="K294" s="13" t="str">
        <f aca="false">IF(ISNUMBER(B294),YEAR(B294),"")</f>
        <v/>
      </c>
      <c r="L294" s="13" t="str">
        <f aca="false">IF(ISNUMBER(B294),MONTH(B294),"")</f>
        <v/>
      </c>
      <c r="M294" s="13" t="str">
        <f aca="false">IF(AND(ISNUMBER(B294),ISNUMBER(I294)),B294-I294+1,"")</f>
        <v/>
      </c>
      <c r="N294" s="14" t="str">
        <f aca="false">IF(B294="","",IF(M294="","시작일 미입력",IF(M294&lt;1,"시작일 이전(확인)",IF(M294=1,"1일째",IF(M294=2,"2일째",IF(M294=3,"3일째",IF(M294&lt;=7,"일주일 이내",IF(M294&lt;=14,"이주일 이내","15일 이후"))))))))</f>
        <v/>
      </c>
      <c r="O294" s="0" t="str">
        <f aca="false">IF(AND(COUNTA($A294:$J294)&gt;0,OR(클레임조회!$C$4="",AND(ISNUMBER($B294),$B294&gt;=클레임조회!$C$4)),OR(클레임조회!$C$5="",AND(ISNUMBER($B294),$B294&lt;=클레임조회!$C$5)),OR(클레임조회!$C$6="",$C294=클레임조회!$C$6),OR(클레임조회!$C$7="",$D294=클레임조회!$C$7),OR(클레임조회!$C$8="",$E294=클레임조회!$C$8),OR(클레임조회!$C$9="",$F294=클레임조회!$C$9),OR(클레임조회!$C$10="",ISNUMBER(SEARCH(클레임조회!$C$10,$C294&amp;" "&amp;$F294&amp;" "&amp;$G294&amp;" "&amp;$H294)))),COUNT(O$1:O293)+1,"")</f>
        <v/>
      </c>
      <c r="P294" s="0" t="str">
        <f aca="false">IF(AND(TRIM(C294)&lt;&gt;"",COUNTIF(C$2:C294,C294)=1),MAX(P$1:P293)+1,"")</f>
        <v/>
      </c>
      <c r="Q294" s="0" t="str">
        <f aca="false">IF(AND(TRIM(F294)&lt;&gt;"",COUNTIF(F$2:F294,F294)=1),MAX(Q$1:Q293)+1,"")</f>
        <v/>
      </c>
    </row>
    <row r="295" customFormat="false" ht="15" hidden="false" customHeight="false" outlineLevel="0" collapsed="false">
      <c r="A295" s="9"/>
      <c r="B295" s="10"/>
      <c r="C295" s="11"/>
      <c r="D295" s="11"/>
      <c r="E295" s="11"/>
      <c r="F295" s="11"/>
      <c r="G295" s="12"/>
      <c r="H295" s="12"/>
      <c r="I295" s="10"/>
      <c r="J295" s="12"/>
      <c r="K295" s="13" t="str">
        <f aca="false">IF(ISNUMBER(B295),YEAR(B295),"")</f>
        <v/>
      </c>
      <c r="L295" s="13" t="str">
        <f aca="false">IF(ISNUMBER(B295),MONTH(B295),"")</f>
        <v/>
      </c>
      <c r="M295" s="13" t="str">
        <f aca="false">IF(AND(ISNUMBER(B295),ISNUMBER(I295)),B295-I295+1,"")</f>
        <v/>
      </c>
      <c r="N295" s="14" t="str">
        <f aca="false">IF(B295="","",IF(M295="","시작일 미입력",IF(M295&lt;1,"시작일 이전(확인)",IF(M295=1,"1일째",IF(M295=2,"2일째",IF(M295=3,"3일째",IF(M295&lt;=7,"일주일 이내",IF(M295&lt;=14,"이주일 이내","15일 이후"))))))))</f>
        <v/>
      </c>
      <c r="O295" s="0" t="str">
        <f aca="false">IF(AND(COUNTA($A295:$J295)&gt;0,OR(클레임조회!$C$4="",AND(ISNUMBER($B295),$B295&gt;=클레임조회!$C$4)),OR(클레임조회!$C$5="",AND(ISNUMBER($B295),$B295&lt;=클레임조회!$C$5)),OR(클레임조회!$C$6="",$C295=클레임조회!$C$6),OR(클레임조회!$C$7="",$D295=클레임조회!$C$7),OR(클레임조회!$C$8="",$E295=클레임조회!$C$8),OR(클레임조회!$C$9="",$F295=클레임조회!$C$9),OR(클레임조회!$C$10="",ISNUMBER(SEARCH(클레임조회!$C$10,$C295&amp;" "&amp;$F295&amp;" "&amp;$G295&amp;" "&amp;$H295)))),COUNT(O$1:O294)+1,"")</f>
        <v/>
      </c>
      <c r="P295" s="0" t="str">
        <f aca="false">IF(AND(TRIM(C295)&lt;&gt;"",COUNTIF(C$2:C295,C295)=1),MAX(P$1:P294)+1,"")</f>
        <v/>
      </c>
      <c r="Q295" s="0" t="str">
        <f aca="false">IF(AND(TRIM(F295)&lt;&gt;"",COUNTIF(F$2:F295,F295)=1),MAX(Q$1:Q294)+1,"")</f>
        <v/>
      </c>
    </row>
    <row r="296" customFormat="false" ht="15" hidden="false" customHeight="false" outlineLevel="0" collapsed="false">
      <c r="A296" s="9"/>
      <c r="B296" s="10"/>
      <c r="C296" s="11"/>
      <c r="D296" s="11"/>
      <c r="E296" s="11"/>
      <c r="F296" s="11"/>
      <c r="G296" s="12"/>
      <c r="H296" s="12"/>
      <c r="I296" s="10"/>
      <c r="J296" s="12"/>
      <c r="K296" s="13" t="str">
        <f aca="false">IF(ISNUMBER(B296),YEAR(B296),"")</f>
        <v/>
      </c>
      <c r="L296" s="13" t="str">
        <f aca="false">IF(ISNUMBER(B296),MONTH(B296),"")</f>
        <v/>
      </c>
      <c r="M296" s="13" t="str">
        <f aca="false">IF(AND(ISNUMBER(B296),ISNUMBER(I296)),B296-I296+1,"")</f>
        <v/>
      </c>
      <c r="N296" s="14" t="str">
        <f aca="false">IF(B296="","",IF(M296="","시작일 미입력",IF(M296&lt;1,"시작일 이전(확인)",IF(M296=1,"1일째",IF(M296=2,"2일째",IF(M296=3,"3일째",IF(M296&lt;=7,"일주일 이내",IF(M296&lt;=14,"이주일 이내","15일 이후"))))))))</f>
        <v/>
      </c>
      <c r="O296" s="0" t="str">
        <f aca="false">IF(AND(COUNTA($A296:$J296)&gt;0,OR(클레임조회!$C$4="",AND(ISNUMBER($B296),$B296&gt;=클레임조회!$C$4)),OR(클레임조회!$C$5="",AND(ISNUMBER($B296),$B296&lt;=클레임조회!$C$5)),OR(클레임조회!$C$6="",$C296=클레임조회!$C$6),OR(클레임조회!$C$7="",$D296=클레임조회!$C$7),OR(클레임조회!$C$8="",$E296=클레임조회!$C$8),OR(클레임조회!$C$9="",$F296=클레임조회!$C$9),OR(클레임조회!$C$10="",ISNUMBER(SEARCH(클레임조회!$C$10,$C296&amp;" "&amp;$F296&amp;" "&amp;$G296&amp;" "&amp;$H296)))),COUNT(O$1:O295)+1,"")</f>
        <v/>
      </c>
      <c r="P296" s="0" t="str">
        <f aca="false">IF(AND(TRIM(C296)&lt;&gt;"",COUNTIF(C$2:C296,C296)=1),MAX(P$1:P295)+1,"")</f>
        <v/>
      </c>
      <c r="Q296" s="0" t="str">
        <f aca="false">IF(AND(TRIM(F296)&lt;&gt;"",COUNTIF(F$2:F296,F296)=1),MAX(Q$1:Q295)+1,"")</f>
        <v/>
      </c>
    </row>
    <row r="297" customFormat="false" ht="15" hidden="false" customHeight="false" outlineLevel="0" collapsed="false">
      <c r="A297" s="9"/>
      <c r="B297" s="10"/>
      <c r="C297" s="11"/>
      <c r="D297" s="11"/>
      <c r="E297" s="11"/>
      <c r="F297" s="11"/>
      <c r="G297" s="12"/>
      <c r="H297" s="12"/>
      <c r="I297" s="10"/>
      <c r="J297" s="12"/>
      <c r="K297" s="13" t="str">
        <f aca="false">IF(ISNUMBER(B297),YEAR(B297),"")</f>
        <v/>
      </c>
      <c r="L297" s="13" t="str">
        <f aca="false">IF(ISNUMBER(B297),MONTH(B297),"")</f>
        <v/>
      </c>
      <c r="M297" s="13" t="str">
        <f aca="false">IF(AND(ISNUMBER(B297),ISNUMBER(I297)),B297-I297+1,"")</f>
        <v/>
      </c>
      <c r="N297" s="14" t="str">
        <f aca="false">IF(B297="","",IF(M297="","시작일 미입력",IF(M297&lt;1,"시작일 이전(확인)",IF(M297=1,"1일째",IF(M297=2,"2일째",IF(M297=3,"3일째",IF(M297&lt;=7,"일주일 이내",IF(M297&lt;=14,"이주일 이내","15일 이후"))))))))</f>
        <v/>
      </c>
      <c r="O297" s="0" t="str">
        <f aca="false">IF(AND(COUNTA($A297:$J297)&gt;0,OR(클레임조회!$C$4="",AND(ISNUMBER($B297),$B297&gt;=클레임조회!$C$4)),OR(클레임조회!$C$5="",AND(ISNUMBER($B297),$B297&lt;=클레임조회!$C$5)),OR(클레임조회!$C$6="",$C297=클레임조회!$C$6),OR(클레임조회!$C$7="",$D297=클레임조회!$C$7),OR(클레임조회!$C$8="",$E297=클레임조회!$C$8),OR(클레임조회!$C$9="",$F297=클레임조회!$C$9),OR(클레임조회!$C$10="",ISNUMBER(SEARCH(클레임조회!$C$10,$C297&amp;" "&amp;$F297&amp;" "&amp;$G297&amp;" "&amp;$H297)))),COUNT(O$1:O296)+1,"")</f>
        <v/>
      </c>
      <c r="P297" s="0" t="str">
        <f aca="false">IF(AND(TRIM(C297)&lt;&gt;"",COUNTIF(C$2:C297,C297)=1),MAX(P$1:P296)+1,"")</f>
        <v/>
      </c>
      <c r="Q297" s="0" t="str">
        <f aca="false">IF(AND(TRIM(F297)&lt;&gt;"",COUNTIF(F$2:F297,F297)=1),MAX(Q$1:Q296)+1,"")</f>
        <v/>
      </c>
    </row>
    <row r="298" customFormat="false" ht="15" hidden="false" customHeight="false" outlineLevel="0" collapsed="false">
      <c r="A298" s="9"/>
      <c r="B298" s="10"/>
      <c r="C298" s="11"/>
      <c r="D298" s="11"/>
      <c r="E298" s="11"/>
      <c r="F298" s="11"/>
      <c r="G298" s="12"/>
      <c r="H298" s="12"/>
      <c r="I298" s="10"/>
      <c r="J298" s="12"/>
      <c r="K298" s="13" t="str">
        <f aca="false">IF(ISNUMBER(B298),YEAR(B298),"")</f>
        <v/>
      </c>
      <c r="L298" s="13" t="str">
        <f aca="false">IF(ISNUMBER(B298),MONTH(B298),"")</f>
        <v/>
      </c>
      <c r="M298" s="13" t="str">
        <f aca="false">IF(AND(ISNUMBER(B298),ISNUMBER(I298)),B298-I298+1,"")</f>
        <v/>
      </c>
      <c r="N298" s="14" t="str">
        <f aca="false">IF(B298="","",IF(M298="","시작일 미입력",IF(M298&lt;1,"시작일 이전(확인)",IF(M298=1,"1일째",IF(M298=2,"2일째",IF(M298=3,"3일째",IF(M298&lt;=7,"일주일 이내",IF(M298&lt;=14,"이주일 이내","15일 이후"))))))))</f>
        <v/>
      </c>
      <c r="O298" s="0" t="str">
        <f aca="false">IF(AND(COUNTA($A298:$J298)&gt;0,OR(클레임조회!$C$4="",AND(ISNUMBER($B298),$B298&gt;=클레임조회!$C$4)),OR(클레임조회!$C$5="",AND(ISNUMBER($B298),$B298&lt;=클레임조회!$C$5)),OR(클레임조회!$C$6="",$C298=클레임조회!$C$6),OR(클레임조회!$C$7="",$D298=클레임조회!$C$7),OR(클레임조회!$C$8="",$E298=클레임조회!$C$8),OR(클레임조회!$C$9="",$F298=클레임조회!$C$9),OR(클레임조회!$C$10="",ISNUMBER(SEARCH(클레임조회!$C$10,$C298&amp;" "&amp;$F298&amp;" "&amp;$G298&amp;" "&amp;$H298)))),COUNT(O$1:O297)+1,"")</f>
        <v/>
      </c>
      <c r="P298" s="0" t="str">
        <f aca="false">IF(AND(TRIM(C298)&lt;&gt;"",COUNTIF(C$2:C298,C298)=1),MAX(P$1:P297)+1,"")</f>
        <v/>
      </c>
      <c r="Q298" s="0" t="str">
        <f aca="false">IF(AND(TRIM(F298)&lt;&gt;"",COUNTIF(F$2:F298,F298)=1),MAX(Q$1:Q297)+1,"")</f>
        <v/>
      </c>
    </row>
    <row r="299" customFormat="false" ht="15" hidden="false" customHeight="false" outlineLevel="0" collapsed="false">
      <c r="A299" s="9"/>
      <c r="B299" s="10"/>
      <c r="C299" s="11"/>
      <c r="D299" s="11"/>
      <c r="E299" s="11"/>
      <c r="F299" s="11"/>
      <c r="G299" s="12"/>
      <c r="H299" s="12"/>
      <c r="I299" s="10"/>
      <c r="J299" s="12"/>
      <c r="K299" s="13" t="str">
        <f aca="false">IF(ISNUMBER(B299),YEAR(B299),"")</f>
        <v/>
      </c>
      <c r="L299" s="13" t="str">
        <f aca="false">IF(ISNUMBER(B299),MONTH(B299),"")</f>
        <v/>
      </c>
      <c r="M299" s="13" t="str">
        <f aca="false">IF(AND(ISNUMBER(B299),ISNUMBER(I299)),B299-I299+1,"")</f>
        <v/>
      </c>
      <c r="N299" s="14" t="str">
        <f aca="false">IF(B299="","",IF(M299="","시작일 미입력",IF(M299&lt;1,"시작일 이전(확인)",IF(M299=1,"1일째",IF(M299=2,"2일째",IF(M299=3,"3일째",IF(M299&lt;=7,"일주일 이내",IF(M299&lt;=14,"이주일 이내","15일 이후"))))))))</f>
        <v/>
      </c>
      <c r="O299" s="0" t="str">
        <f aca="false">IF(AND(COUNTA($A299:$J299)&gt;0,OR(클레임조회!$C$4="",AND(ISNUMBER($B299),$B299&gt;=클레임조회!$C$4)),OR(클레임조회!$C$5="",AND(ISNUMBER($B299),$B299&lt;=클레임조회!$C$5)),OR(클레임조회!$C$6="",$C299=클레임조회!$C$6),OR(클레임조회!$C$7="",$D299=클레임조회!$C$7),OR(클레임조회!$C$8="",$E299=클레임조회!$C$8),OR(클레임조회!$C$9="",$F299=클레임조회!$C$9),OR(클레임조회!$C$10="",ISNUMBER(SEARCH(클레임조회!$C$10,$C299&amp;" "&amp;$F299&amp;" "&amp;$G299&amp;" "&amp;$H299)))),COUNT(O$1:O298)+1,"")</f>
        <v/>
      </c>
      <c r="P299" s="0" t="str">
        <f aca="false">IF(AND(TRIM(C299)&lt;&gt;"",COUNTIF(C$2:C299,C299)=1),MAX(P$1:P298)+1,"")</f>
        <v/>
      </c>
      <c r="Q299" s="0" t="str">
        <f aca="false">IF(AND(TRIM(F299)&lt;&gt;"",COUNTIF(F$2:F299,F299)=1),MAX(Q$1:Q298)+1,"")</f>
        <v/>
      </c>
    </row>
    <row r="300" customFormat="false" ht="15" hidden="false" customHeight="false" outlineLevel="0" collapsed="false">
      <c r="A300" s="9"/>
      <c r="B300" s="10"/>
      <c r="C300" s="11"/>
      <c r="D300" s="11"/>
      <c r="E300" s="11"/>
      <c r="F300" s="11"/>
      <c r="G300" s="12"/>
      <c r="H300" s="12"/>
      <c r="I300" s="10"/>
      <c r="J300" s="12"/>
      <c r="K300" s="13" t="str">
        <f aca="false">IF(ISNUMBER(B300),YEAR(B300),"")</f>
        <v/>
      </c>
      <c r="L300" s="13" t="str">
        <f aca="false">IF(ISNUMBER(B300),MONTH(B300),"")</f>
        <v/>
      </c>
      <c r="M300" s="13" t="str">
        <f aca="false">IF(AND(ISNUMBER(B300),ISNUMBER(I300)),B300-I300+1,"")</f>
        <v/>
      </c>
      <c r="N300" s="14" t="str">
        <f aca="false">IF(B300="","",IF(M300="","시작일 미입력",IF(M300&lt;1,"시작일 이전(확인)",IF(M300=1,"1일째",IF(M300=2,"2일째",IF(M300=3,"3일째",IF(M300&lt;=7,"일주일 이내",IF(M300&lt;=14,"이주일 이내","15일 이후"))))))))</f>
        <v/>
      </c>
      <c r="O300" s="0" t="str">
        <f aca="false">IF(AND(COUNTA($A300:$J300)&gt;0,OR(클레임조회!$C$4="",AND(ISNUMBER($B300),$B300&gt;=클레임조회!$C$4)),OR(클레임조회!$C$5="",AND(ISNUMBER($B300),$B300&lt;=클레임조회!$C$5)),OR(클레임조회!$C$6="",$C300=클레임조회!$C$6),OR(클레임조회!$C$7="",$D300=클레임조회!$C$7),OR(클레임조회!$C$8="",$E300=클레임조회!$C$8),OR(클레임조회!$C$9="",$F300=클레임조회!$C$9),OR(클레임조회!$C$10="",ISNUMBER(SEARCH(클레임조회!$C$10,$C300&amp;" "&amp;$F300&amp;" "&amp;$G300&amp;" "&amp;$H300)))),COUNT(O$1:O299)+1,"")</f>
        <v/>
      </c>
      <c r="P300" s="0" t="str">
        <f aca="false">IF(AND(TRIM(C300)&lt;&gt;"",COUNTIF(C$2:C300,C300)=1),MAX(P$1:P299)+1,"")</f>
        <v/>
      </c>
      <c r="Q300" s="0" t="str">
        <f aca="false">IF(AND(TRIM(F300)&lt;&gt;"",COUNTIF(F$2:F300,F300)=1),MAX(Q$1:Q299)+1,"")</f>
        <v/>
      </c>
    </row>
    <row r="301" customFormat="false" ht="15" hidden="false" customHeight="false" outlineLevel="0" collapsed="false">
      <c r="A301" s="9"/>
      <c r="B301" s="10"/>
      <c r="C301" s="11"/>
      <c r="D301" s="11"/>
      <c r="E301" s="11"/>
      <c r="F301" s="11"/>
      <c r="G301" s="12"/>
      <c r="H301" s="12"/>
      <c r="I301" s="10"/>
      <c r="J301" s="12"/>
      <c r="K301" s="13" t="str">
        <f aca="false">IF(ISNUMBER(B301),YEAR(B301),"")</f>
        <v/>
      </c>
      <c r="L301" s="13" t="str">
        <f aca="false">IF(ISNUMBER(B301),MONTH(B301),"")</f>
        <v/>
      </c>
      <c r="M301" s="13" t="str">
        <f aca="false">IF(AND(ISNUMBER(B301),ISNUMBER(I301)),B301-I301+1,"")</f>
        <v/>
      </c>
      <c r="N301" s="14" t="str">
        <f aca="false">IF(B301="","",IF(M301="","시작일 미입력",IF(M301&lt;1,"시작일 이전(확인)",IF(M301=1,"1일째",IF(M301=2,"2일째",IF(M301=3,"3일째",IF(M301&lt;=7,"일주일 이내",IF(M301&lt;=14,"이주일 이내","15일 이후"))))))))</f>
        <v/>
      </c>
      <c r="O301" s="0" t="str">
        <f aca="false">IF(AND(COUNTA($A301:$J301)&gt;0,OR(클레임조회!$C$4="",AND(ISNUMBER($B301),$B301&gt;=클레임조회!$C$4)),OR(클레임조회!$C$5="",AND(ISNUMBER($B301),$B301&lt;=클레임조회!$C$5)),OR(클레임조회!$C$6="",$C301=클레임조회!$C$6),OR(클레임조회!$C$7="",$D301=클레임조회!$C$7),OR(클레임조회!$C$8="",$E301=클레임조회!$C$8),OR(클레임조회!$C$9="",$F301=클레임조회!$C$9),OR(클레임조회!$C$10="",ISNUMBER(SEARCH(클레임조회!$C$10,$C301&amp;" "&amp;$F301&amp;" "&amp;$G301&amp;" "&amp;$H301)))),COUNT(O$1:O300)+1,"")</f>
        <v/>
      </c>
      <c r="P301" s="0" t="str">
        <f aca="false">IF(AND(TRIM(C301)&lt;&gt;"",COUNTIF(C$2:C301,C301)=1),MAX(P$1:P300)+1,"")</f>
        <v/>
      </c>
      <c r="Q301" s="0" t="str">
        <f aca="false">IF(AND(TRIM(F301)&lt;&gt;"",COUNTIF(F$2:F301,F301)=1),MAX(Q$1:Q300)+1,"")</f>
        <v/>
      </c>
    </row>
    <row r="302" customFormat="false" ht="15" hidden="false" customHeight="false" outlineLevel="0" collapsed="false">
      <c r="A302" s="9"/>
      <c r="B302" s="10"/>
      <c r="C302" s="11"/>
      <c r="D302" s="11"/>
      <c r="E302" s="11"/>
      <c r="F302" s="11"/>
      <c r="G302" s="12"/>
      <c r="H302" s="12"/>
      <c r="I302" s="10"/>
      <c r="J302" s="12"/>
      <c r="K302" s="13" t="str">
        <f aca="false">IF(ISNUMBER(B302),YEAR(B302),"")</f>
        <v/>
      </c>
      <c r="L302" s="13" t="str">
        <f aca="false">IF(ISNUMBER(B302),MONTH(B302),"")</f>
        <v/>
      </c>
      <c r="M302" s="13" t="str">
        <f aca="false">IF(AND(ISNUMBER(B302),ISNUMBER(I302)),B302-I302+1,"")</f>
        <v/>
      </c>
      <c r="N302" s="14" t="str">
        <f aca="false">IF(B302="","",IF(M302="","시작일 미입력",IF(M302&lt;1,"시작일 이전(확인)",IF(M302=1,"1일째",IF(M302=2,"2일째",IF(M302=3,"3일째",IF(M302&lt;=7,"일주일 이내",IF(M302&lt;=14,"이주일 이내","15일 이후"))))))))</f>
        <v/>
      </c>
      <c r="O302" s="0" t="str">
        <f aca="false">IF(AND(COUNTA($A302:$J302)&gt;0,OR(클레임조회!$C$4="",AND(ISNUMBER($B302),$B302&gt;=클레임조회!$C$4)),OR(클레임조회!$C$5="",AND(ISNUMBER($B302),$B302&lt;=클레임조회!$C$5)),OR(클레임조회!$C$6="",$C302=클레임조회!$C$6),OR(클레임조회!$C$7="",$D302=클레임조회!$C$7),OR(클레임조회!$C$8="",$E302=클레임조회!$C$8),OR(클레임조회!$C$9="",$F302=클레임조회!$C$9),OR(클레임조회!$C$10="",ISNUMBER(SEARCH(클레임조회!$C$10,$C302&amp;" "&amp;$F302&amp;" "&amp;$G302&amp;" "&amp;$H302)))),COUNT(O$1:O301)+1,"")</f>
        <v/>
      </c>
      <c r="P302" s="0" t="str">
        <f aca="false">IF(AND(TRIM(C302)&lt;&gt;"",COUNTIF(C$2:C302,C302)=1),MAX(P$1:P301)+1,"")</f>
        <v/>
      </c>
      <c r="Q302" s="0" t="str">
        <f aca="false">IF(AND(TRIM(F302)&lt;&gt;"",COUNTIF(F$2:F302,F302)=1),MAX(Q$1:Q301)+1,"")</f>
        <v/>
      </c>
    </row>
    <row r="303" customFormat="false" ht="15" hidden="false" customHeight="false" outlineLevel="0" collapsed="false">
      <c r="A303" s="9"/>
      <c r="B303" s="10"/>
      <c r="C303" s="11"/>
      <c r="D303" s="11"/>
      <c r="E303" s="11"/>
      <c r="F303" s="11"/>
      <c r="G303" s="12"/>
      <c r="H303" s="12"/>
      <c r="I303" s="10"/>
      <c r="J303" s="12"/>
      <c r="K303" s="13" t="str">
        <f aca="false">IF(ISNUMBER(B303),YEAR(B303),"")</f>
        <v/>
      </c>
      <c r="L303" s="13" t="str">
        <f aca="false">IF(ISNUMBER(B303),MONTH(B303),"")</f>
        <v/>
      </c>
      <c r="M303" s="13" t="str">
        <f aca="false">IF(AND(ISNUMBER(B303),ISNUMBER(I303)),B303-I303+1,"")</f>
        <v/>
      </c>
      <c r="N303" s="14" t="str">
        <f aca="false">IF(B303="","",IF(M303="","시작일 미입력",IF(M303&lt;1,"시작일 이전(확인)",IF(M303=1,"1일째",IF(M303=2,"2일째",IF(M303=3,"3일째",IF(M303&lt;=7,"일주일 이내",IF(M303&lt;=14,"이주일 이내","15일 이후"))))))))</f>
        <v/>
      </c>
      <c r="O303" s="0" t="str">
        <f aca="false">IF(AND(COUNTA($A303:$J303)&gt;0,OR(클레임조회!$C$4="",AND(ISNUMBER($B303),$B303&gt;=클레임조회!$C$4)),OR(클레임조회!$C$5="",AND(ISNUMBER($B303),$B303&lt;=클레임조회!$C$5)),OR(클레임조회!$C$6="",$C303=클레임조회!$C$6),OR(클레임조회!$C$7="",$D303=클레임조회!$C$7),OR(클레임조회!$C$8="",$E303=클레임조회!$C$8),OR(클레임조회!$C$9="",$F303=클레임조회!$C$9),OR(클레임조회!$C$10="",ISNUMBER(SEARCH(클레임조회!$C$10,$C303&amp;" "&amp;$F303&amp;" "&amp;$G303&amp;" "&amp;$H303)))),COUNT(O$1:O302)+1,"")</f>
        <v/>
      </c>
      <c r="P303" s="0" t="str">
        <f aca="false">IF(AND(TRIM(C303)&lt;&gt;"",COUNTIF(C$2:C303,C303)=1),MAX(P$1:P302)+1,"")</f>
        <v/>
      </c>
      <c r="Q303" s="0" t="str">
        <f aca="false">IF(AND(TRIM(F303)&lt;&gt;"",COUNTIF(F$2:F303,F303)=1),MAX(Q$1:Q302)+1,"")</f>
        <v/>
      </c>
    </row>
    <row r="304" customFormat="false" ht="15" hidden="false" customHeight="false" outlineLevel="0" collapsed="false">
      <c r="A304" s="9"/>
      <c r="B304" s="10"/>
      <c r="C304" s="11"/>
      <c r="D304" s="11"/>
      <c r="E304" s="11"/>
      <c r="F304" s="11"/>
      <c r="G304" s="12"/>
      <c r="H304" s="12"/>
      <c r="I304" s="10"/>
      <c r="J304" s="12"/>
      <c r="K304" s="13" t="str">
        <f aca="false">IF(ISNUMBER(B304),YEAR(B304),"")</f>
        <v/>
      </c>
      <c r="L304" s="13" t="str">
        <f aca="false">IF(ISNUMBER(B304),MONTH(B304),"")</f>
        <v/>
      </c>
      <c r="M304" s="13" t="str">
        <f aca="false">IF(AND(ISNUMBER(B304),ISNUMBER(I304)),B304-I304+1,"")</f>
        <v/>
      </c>
      <c r="N304" s="14" t="str">
        <f aca="false">IF(B304="","",IF(M304="","시작일 미입력",IF(M304&lt;1,"시작일 이전(확인)",IF(M304=1,"1일째",IF(M304=2,"2일째",IF(M304=3,"3일째",IF(M304&lt;=7,"일주일 이내",IF(M304&lt;=14,"이주일 이내","15일 이후"))))))))</f>
        <v/>
      </c>
      <c r="O304" s="0" t="str">
        <f aca="false">IF(AND(COUNTA($A304:$J304)&gt;0,OR(클레임조회!$C$4="",AND(ISNUMBER($B304),$B304&gt;=클레임조회!$C$4)),OR(클레임조회!$C$5="",AND(ISNUMBER($B304),$B304&lt;=클레임조회!$C$5)),OR(클레임조회!$C$6="",$C304=클레임조회!$C$6),OR(클레임조회!$C$7="",$D304=클레임조회!$C$7),OR(클레임조회!$C$8="",$E304=클레임조회!$C$8),OR(클레임조회!$C$9="",$F304=클레임조회!$C$9),OR(클레임조회!$C$10="",ISNUMBER(SEARCH(클레임조회!$C$10,$C304&amp;" "&amp;$F304&amp;" "&amp;$G304&amp;" "&amp;$H304)))),COUNT(O$1:O303)+1,"")</f>
        <v/>
      </c>
      <c r="P304" s="0" t="str">
        <f aca="false">IF(AND(TRIM(C304)&lt;&gt;"",COUNTIF(C$2:C304,C304)=1),MAX(P$1:P303)+1,"")</f>
        <v/>
      </c>
      <c r="Q304" s="0" t="str">
        <f aca="false">IF(AND(TRIM(F304)&lt;&gt;"",COUNTIF(F$2:F304,F304)=1),MAX(Q$1:Q303)+1,"")</f>
        <v/>
      </c>
    </row>
    <row r="305" customFormat="false" ht="15" hidden="false" customHeight="false" outlineLevel="0" collapsed="false">
      <c r="A305" s="9"/>
      <c r="B305" s="10"/>
      <c r="C305" s="11"/>
      <c r="D305" s="11"/>
      <c r="E305" s="11"/>
      <c r="F305" s="11"/>
      <c r="G305" s="12"/>
      <c r="H305" s="12"/>
      <c r="I305" s="10"/>
      <c r="J305" s="12"/>
      <c r="K305" s="13" t="str">
        <f aca="false">IF(ISNUMBER(B305),YEAR(B305),"")</f>
        <v/>
      </c>
      <c r="L305" s="13" t="str">
        <f aca="false">IF(ISNUMBER(B305),MONTH(B305),"")</f>
        <v/>
      </c>
      <c r="M305" s="13" t="str">
        <f aca="false">IF(AND(ISNUMBER(B305),ISNUMBER(I305)),B305-I305+1,"")</f>
        <v/>
      </c>
      <c r="N305" s="14" t="str">
        <f aca="false">IF(B305="","",IF(M305="","시작일 미입력",IF(M305&lt;1,"시작일 이전(확인)",IF(M305=1,"1일째",IF(M305=2,"2일째",IF(M305=3,"3일째",IF(M305&lt;=7,"일주일 이내",IF(M305&lt;=14,"이주일 이내","15일 이후"))))))))</f>
        <v/>
      </c>
      <c r="O305" s="0" t="str">
        <f aca="false">IF(AND(COUNTA($A305:$J305)&gt;0,OR(클레임조회!$C$4="",AND(ISNUMBER($B305),$B305&gt;=클레임조회!$C$4)),OR(클레임조회!$C$5="",AND(ISNUMBER($B305),$B305&lt;=클레임조회!$C$5)),OR(클레임조회!$C$6="",$C305=클레임조회!$C$6),OR(클레임조회!$C$7="",$D305=클레임조회!$C$7),OR(클레임조회!$C$8="",$E305=클레임조회!$C$8),OR(클레임조회!$C$9="",$F305=클레임조회!$C$9),OR(클레임조회!$C$10="",ISNUMBER(SEARCH(클레임조회!$C$10,$C305&amp;" "&amp;$F305&amp;" "&amp;$G305&amp;" "&amp;$H305)))),COUNT(O$1:O304)+1,"")</f>
        <v/>
      </c>
      <c r="P305" s="0" t="str">
        <f aca="false">IF(AND(TRIM(C305)&lt;&gt;"",COUNTIF(C$2:C305,C305)=1),MAX(P$1:P304)+1,"")</f>
        <v/>
      </c>
      <c r="Q305" s="0" t="str">
        <f aca="false">IF(AND(TRIM(F305)&lt;&gt;"",COUNTIF(F$2:F305,F305)=1),MAX(Q$1:Q304)+1,"")</f>
        <v/>
      </c>
    </row>
    <row r="306" customFormat="false" ht="15" hidden="false" customHeight="false" outlineLevel="0" collapsed="false">
      <c r="A306" s="9"/>
      <c r="B306" s="10"/>
      <c r="C306" s="11"/>
      <c r="D306" s="11"/>
      <c r="E306" s="11"/>
      <c r="F306" s="11"/>
      <c r="G306" s="12"/>
      <c r="H306" s="12"/>
      <c r="I306" s="10"/>
      <c r="J306" s="12"/>
      <c r="K306" s="13" t="str">
        <f aca="false">IF(ISNUMBER(B306),YEAR(B306),"")</f>
        <v/>
      </c>
      <c r="L306" s="13" t="str">
        <f aca="false">IF(ISNUMBER(B306),MONTH(B306),"")</f>
        <v/>
      </c>
      <c r="M306" s="13" t="str">
        <f aca="false">IF(AND(ISNUMBER(B306),ISNUMBER(I306)),B306-I306+1,"")</f>
        <v/>
      </c>
      <c r="N306" s="14" t="str">
        <f aca="false">IF(B306="","",IF(M306="","시작일 미입력",IF(M306&lt;1,"시작일 이전(확인)",IF(M306=1,"1일째",IF(M306=2,"2일째",IF(M306=3,"3일째",IF(M306&lt;=7,"일주일 이내",IF(M306&lt;=14,"이주일 이내","15일 이후"))))))))</f>
        <v/>
      </c>
      <c r="O306" s="0" t="str">
        <f aca="false">IF(AND(COUNTA($A306:$J306)&gt;0,OR(클레임조회!$C$4="",AND(ISNUMBER($B306),$B306&gt;=클레임조회!$C$4)),OR(클레임조회!$C$5="",AND(ISNUMBER($B306),$B306&lt;=클레임조회!$C$5)),OR(클레임조회!$C$6="",$C306=클레임조회!$C$6),OR(클레임조회!$C$7="",$D306=클레임조회!$C$7),OR(클레임조회!$C$8="",$E306=클레임조회!$C$8),OR(클레임조회!$C$9="",$F306=클레임조회!$C$9),OR(클레임조회!$C$10="",ISNUMBER(SEARCH(클레임조회!$C$10,$C306&amp;" "&amp;$F306&amp;" "&amp;$G306&amp;" "&amp;$H306)))),COUNT(O$1:O305)+1,"")</f>
        <v/>
      </c>
      <c r="P306" s="0" t="str">
        <f aca="false">IF(AND(TRIM(C306)&lt;&gt;"",COUNTIF(C$2:C306,C306)=1),MAX(P$1:P305)+1,"")</f>
        <v/>
      </c>
      <c r="Q306" s="0" t="str">
        <f aca="false">IF(AND(TRIM(F306)&lt;&gt;"",COUNTIF(F$2:F306,F306)=1),MAX(Q$1:Q305)+1,"")</f>
        <v/>
      </c>
    </row>
    <row r="307" customFormat="false" ht="15" hidden="false" customHeight="false" outlineLevel="0" collapsed="false">
      <c r="A307" s="9"/>
      <c r="B307" s="10"/>
      <c r="C307" s="11"/>
      <c r="D307" s="11"/>
      <c r="E307" s="11"/>
      <c r="F307" s="11"/>
      <c r="G307" s="12"/>
      <c r="H307" s="12"/>
      <c r="I307" s="10"/>
      <c r="J307" s="12"/>
      <c r="K307" s="13" t="str">
        <f aca="false">IF(ISNUMBER(B307),YEAR(B307),"")</f>
        <v/>
      </c>
      <c r="L307" s="13" t="str">
        <f aca="false">IF(ISNUMBER(B307),MONTH(B307),"")</f>
        <v/>
      </c>
      <c r="M307" s="13" t="str">
        <f aca="false">IF(AND(ISNUMBER(B307),ISNUMBER(I307)),B307-I307+1,"")</f>
        <v/>
      </c>
      <c r="N307" s="14" t="str">
        <f aca="false">IF(B307="","",IF(M307="","시작일 미입력",IF(M307&lt;1,"시작일 이전(확인)",IF(M307=1,"1일째",IF(M307=2,"2일째",IF(M307=3,"3일째",IF(M307&lt;=7,"일주일 이내",IF(M307&lt;=14,"이주일 이내","15일 이후"))))))))</f>
        <v/>
      </c>
      <c r="O307" s="0" t="str">
        <f aca="false">IF(AND(COUNTA($A307:$J307)&gt;0,OR(클레임조회!$C$4="",AND(ISNUMBER($B307),$B307&gt;=클레임조회!$C$4)),OR(클레임조회!$C$5="",AND(ISNUMBER($B307),$B307&lt;=클레임조회!$C$5)),OR(클레임조회!$C$6="",$C307=클레임조회!$C$6),OR(클레임조회!$C$7="",$D307=클레임조회!$C$7),OR(클레임조회!$C$8="",$E307=클레임조회!$C$8),OR(클레임조회!$C$9="",$F307=클레임조회!$C$9),OR(클레임조회!$C$10="",ISNUMBER(SEARCH(클레임조회!$C$10,$C307&amp;" "&amp;$F307&amp;" "&amp;$G307&amp;" "&amp;$H307)))),COUNT(O$1:O306)+1,"")</f>
        <v/>
      </c>
      <c r="P307" s="0" t="str">
        <f aca="false">IF(AND(TRIM(C307)&lt;&gt;"",COUNTIF(C$2:C307,C307)=1),MAX(P$1:P306)+1,"")</f>
        <v/>
      </c>
      <c r="Q307" s="0" t="str">
        <f aca="false">IF(AND(TRIM(F307)&lt;&gt;"",COUNTIF(F$2:F307,F307)=1),MAX(Q$1:Q306)+1,"")</f>
        <v/>
      </c>
    </row>
    <row r="308" customFormat="false" ht="15" hidden="false" customHeight="false" outlineLevel="0" collapsed="false">
      <c r="A308" s="9"/>
      <c r="B308" s="10"/>
      <c r="C308" s="11"/>
      <c r="D308" s="11"/>
      <c r="E308" s="11"/>
      <c r="F308" s="11"/>
      <c r="G308" s="12"/>
      <c r="H308" s="12"/>
      <c r="I308" s="10"/>
      <c r="J308" s="12"/>
      <c r="K308" s="13" t="str">
        <f aca="false">IF(ISNUMBER(B308),YEAR(B308),"")</f>
        <v/>
      </c>
      <c r="L308" s="13" t="str">
        <f aca="false">IF(ISNUMBER(B308),MONTH(B308),"")</f>
        <v/>
      </c>
      <c r="M308" s="13" t="str">
        <f aca="false">IF(AND(ISNUMBER(B308),ISNUMBER(I308)),B308-I308+1,"")</f>
        <v/>
      </c>
      <c r="N308" s="14" t="str">
        <f aca="false">IF(B308="","",IF(M308="","시작일 미입력",IF(M308&lt;1,"시작일 이전(확인)",IF(M308=1,"1일째",IF(M308=2,"2일째",IF(M308=3,"3일째",IF(M308&lt;=7,"일주일 이내",IF(M308&lt;=14,"이주일 이내","15일 이후"))))))))</f>
        <v/>
      </c>
      <c r="O308" s="0" t="str">
        <f aca="false">IF(AND(COUNTA($A308:$J308)&gt;0,OR(클레임조회!$C$4="",AND(ISNUMBER($B308),$B308&gt;=클레임조회!$C$4)),OR(클레임조회!$C$5="",AND(ISNUMBER($B308),$B308&lt;=클레임조회!$C$5)),OR(클레임조회!$C$6="",$C308=클레임조회!$C$6),OR(클레임조회!$C$7="",$D308=클레임조회!$C$7),OR(클레임조회!$C$8="",$E308=클레임조회!$C$8),OR(클레임조회!$C$9="",$F308=클레임조회!$C$9),OR(클레임조회!$C$10="",ISNUMBER(SEARCH(클레임조회!$C$10,$C308&amp;" "&amp;$F308&amp;" "&amp;$G308&amp;" "&amp;$H308)))),COUNT(O$1:O307)+1,"")</f>
        <v/>
      </c>
      <c r="P308" s="0" t="str">
        <f aca="false">IF(AND(TRIM(C308)&lt;&gt;"",COUNTIF(C$2:C308,C308)=1),MAX(P$1:P307)+1,"")</f>
        <v/>
      </c>
      <c r="Q308" s="0" t="str">
        <f aca="false">IF(AND(TRIM(F308)&lt;&gt;"",COUNTIF(F$2:F308,F308)=1),MAX(Q$1:Q307)+1,"")</f>
        <v/>
      </c>
    </row>
    <row r="309" customFormat="false" ht="15" hidden="false" customHeight="false" outlineLevel="0" collapsed="false">
      <c r="A309" s="9"/>
      <c r="B309" s="10"/>
      <c r="C309" s="11"/>
      <c r="D309" s="11"/>
      <c r="E309" s="11"/>
      <c r="F309" s="11"/>
      <c r="G309" s="12"/>
      <c r="H309" s="12"/>
      <c r="I309" s="10"/>
      <c r="J309" s="12"/>
      <c r="K309" s="13" t="str">
        <f aca="false">IF(ISNUMBER(B309),YEAR(B309),"")</f>
        <v/>
      </c>
      <c r="L309" s="13" t="str">
        <f aca="false">IF(ISNUMBER(B309),MONTH(B309),"")</f>
        <v/>
      </c>
      <c r="M309" s="13" t="str">
        <f aca="false">IF(AND(ISNUMBER(B309),ISNUMBER(I309)),B309-I309+1,"")</f>
        <v/>
      </c>
      <c r="N309" s="14" t="str">
        <f aca="false">IF(B309="","",IF(M309="","시작일 미입력",IF(M309&lt;1,"시작일 이전(확인)",IF(M309=1,"1일째",IF(M309=2,"2일째",IF(M309=3,"3일째",IF(M309&lt;=7,"일주일 이내",IF(M309&lt;=14,"이주일 이내","15일 이후"))))))))</f>
        <v/>
      </c>
      <c r="O309" s="0" t="str">
        <f aca="false">IF(AND(COUNTA($A309:$J309)&gt;0,OR(클레임조회!$C$4="",AND(ISNUMBER($B309),$B309&gt;=클레임조회!$C$4)),OR(클레임조회!$C$5="",AND(ISNUMBER($B309),$B309&lt;=클레임조회!$C$5)),OR(클레임조회!$C$6="",$C309=클레임조회!$C$6),OR(클레임조회!$C$7="",$D309=클레임조회!$C$7),OR(클레임조회!$C$8="",$E309=클레임조회!$C$8),OR(클레임조회!$C$9="",$F309=클레임조회!$C$9),OR(클레임조회!$C$10="",ISNUMBER(SEARCH(클레임조회!$C$10,$C309&amp;" "&amp;$F309&amp;" "&amp;$G309&amp;" "&amp;$H309)))),COUNT(O$1:O308)+1,"")</f>
        <v/>
      </c>
      <c r="P309" s="0" t="str">
        <f aca="false">IF(AND(TRIM(C309)&lt;&gt;"",COUNTIF(C$2:C309,C309)=1),MAX(P$1:P308)+1,"")</f>
        <v/>
      </c>
      <c r="Q309" s="0" t="str">
        <f aca="false">IF(AND(TRIM(F309)&lt;&gt;"",COUNTIF(F$2:F309,F309)=1),MAX(Q$1:Q308)+1,"")</f>
        <v/>
      </c>
    </row>
    <row r="310" customFormat="false" ht="15" hidden="false" customHeight="false" outlineLevel="0" collapsed="false">
      <c r="A310" s="9"/>
      <c r="B310" s="10"/>
      <c r="C310" s="11"/>
      <c r="D310" s="11"/>
      <c r="E310" s="11"/>
      <c r="F310" s="11"/>
      <c r="G310" s="12"/>
      <c r="H310" s="12"/>
      <c r="I310" s="10"/>
      <c r="J310" s="12"/>
      <c r="K310" s="13" t="str">
        <f aca="false">IF(ISNUMBER(B310),YEAR(B310),"")</f>
        <v/>
      </c>
      <c r="L310" s="13" t="str">
        <f aca="false">IF(ISNUMBER(B310),MONTH(B310),"")</f>
        <v/>
      </c>
      <c r="M310" s="13" t="str">
        <f aca="false">IF(AND(ISNUMBER(B310),ISNUMBER(I310)),B310-I310+1,"")</f>
        <v/>
      </c>
      <c r="N310" s="14" t="str">
        <f aca="false">IF(B310="","",IF(M310="","시작일 미입력",IF(M310&lt;1,"시작일 이전(확인)",IF(M310=1,"1일째",IF(M310=2,"2일째",IF(M310=3,"3일째",IF(M310&lt;=7,"일주일 이내",IF(M310&lt;=14,"이주일 이내","15일 이후"))))))))</f>
        <v/>
      </c>
      <c r="O310" s="0" t="str">
        <f aca="false">IF(AND(COUNTA($A310:$J310)&gt;0,OR(클레임조회!$C$4="",AND(ISNUMBER($B310),$B310&gt;=클레임조회!$C$4)),OR(클레임조회!$C$5="",AND(ISNUMBER($B310),$B310&lt;=클레임조회!$C$5)),OR(클레임조회!$C$6="",$C310=클레임조회!$C$6),OR(클레임조회!$C$7="",$D310=클레임조회!$C$7),OR(클레임조회!$C$8="",$E310=클레임조회!$C$8),OR(클레임조회!$C$9="",$F310=클레임조회!$C$9),OR(클레임조회!$C$10="",ISNUMBER(SEARCH(클레임조회!$C$10,$C310&amp;" "&amp;$F310&amp;" "&amp;$G310&amp;" "&amp;$H310)))),COUNT(O$1:O309)+1,"")</f>
        <v/>
      </c>
      <c r="P310" s="0" t="str">
        <f aca="false">IF(AND(TRIM(C310)&lt;&gt;"",COUNTIF(C$2:C310,C310)=1),MAX(P$1:P309)+1,"")</f>
        <v/>
      </c>
      <c r="Q310" s="0" t="str">
        <f aca="false">IF(AND(TRIM(F310)&lt;&gt;"",COUNTIF(F$2:F310,F310)=1),MAX(Q$1:Q309)+1,"")</f>
        <v/>
      </c>
    </row>
    <row r="311" customFormat="false" ht="15" hidden="false" customHeight="false" outlineLevel="0" collapsed="false">
      <c r="A311" s="9"/>
      <c r="B311" s="10"/>
      <c r="C311" s="11"/>
      <c r="D311" s="11"/>
      <c r="E311" s="11"/>
      <c r="F311" s="11"/>
      <c r="G311" s="12"/>
      <c r="H311" s="12"/>
      <c r="I311" s="10"/>
      <c r="J311" s="12"/>
      <c r="K311" s="13" t="str">
        <f aca="false">IF(ISNUMBER(B311),YEAR(B311),"")</f>
        <v/>
      </c>
      <c r="L311" s="13" t="str">
        <f aca="false">IF(ISNUMBER(B311),MONTH(B311),"")</f>
        <v/>
      </c>
      <c r="M311" s="13" t="str">
        <f aca="false">IF(AND(ISNUMBER(B311),ISNUMBER(I311)),B311-I311+1,"")</f>
        <v/>
      </c>
      <c r="N311" s="14" t="str">
        <f aca="false">IF(B311="","",IF(M311="","시작일 미입력",IF(M311&lt;1,"시작일 이전(확인)",IF(M311=1,"1일째",IF(M311=2,"2일째",IF(M311=3,"3일째",IF(M311&lt;=7,"일주일 이내",IF(M311&lt;=14,"이주일 이내","15일 이후"))))))))</f>
        <v/>
      </c>
      <c r="O311" s="0" t="str">
        <f aca="false">IF(AND(COUNTA($A311:$J311)&gt;0,OR(클레임조회!$C$4="",AND(ISNUMBER($B311),$B311&gt;=클레임조회!$C$4)),OR(클레임조회!$C$5="",AND(ISNUMBER($B311),$B311&lt;=클레임조회!$C$5)),OR(클레임조회!$C$6="",$C311=클레임조회!$C$6),OR(클레임조회!$C$7="",$D311=클레임조회!$C$7),OR(클레임조회!$C$8="",$E311=클레임조회!$C$8),OR(클레임조회!$C$9="",$F311=클레임조회!$C$9),OR(클레임조회!$C$10="",ISNUMBER(SEARCH(클레임조회!$C$10,$C311&amp;" "&amp;$F311&amp;" "&amp;$G311&amp;" "&amp;$H311)))),COUNT(O$1:O310)+1,"")</f>
        <v/>
      </c>
      <c r="P311" s="0" t="str">
        <f aca="false">IF(AND(TRIM(C311)&lt;&gt;"",COUNTIF(C$2:C311,C311)=1),MAX(P$1:P310)+1,"")</f>
        <v/>
      </c>
      <c r="Q311" s="0" t="str">
        <f aca="false">IF(AND(TRIM(F311)&lt;&gt;"",COUNTIF(F$2:F311,F311)=1),MAX(Q$1:Q310)+1,"")</f>
        <v/>
      </c>
    </row>
    <row r="312" customFormat="false" ht="15" hidden="false" customHeight="false" outlineLevel="0" collapsed="false">
      <c r="A312" s="9"/>
      <c r="B312" s="10"/>
      <c r="C312" s="11"/>
      <c r="D312" s="11"/>
      <c r="E312" s="11"/>
      <c r="F312" s="11"/>
      <c r="G312" s="12"/>
      <c r="H312" s="12"/>
      <c r="I312" s="10"/>
      <c r="J312" s="12"/>
      <c r="K312" s="13" t="str">
        <f aca="false">IF(ISNUMBER(B312),YEAR(B312),"")</f>
        <v/>
      </c>
      <c r="L312" s="13" t="str">
        <f aca="false">IF(ISNUMBER(B312),MONTH(B312),"")</f>
        <v/>
      </c>
      <c r="M312" s="13" t="str">
        <f aca="false">IF(AND(ISNUMBER(B312),ISNUMBER(I312)),B312-I312+1,"")</f>
        <v/>
      </c>
      <c r="N312" s="14" t="str">
        <f aca="false">IF(B312="","",IF(M312="","시작일 미입력",IF(M312&lt;1,"시작일 이전(확인)",IF(M312=1,"1일째",IF(M312=2,"2일째",IF(M312=3,"3일째",IF(M312&lt;=7,"일주일 이내",IF(M312&lt;=14,"이주일 이내","15일 이후"))))))))</f>
        <v/>
      </c>
      <c r="O312" s="0" t="str">
        <f aca="false">IF(AND(COUNTA($A312:$J312)&gt;0,OR(클레임조회!$C$4="",AND(ISNUMBER($B312),$B312&gt;=클레임조회!$C$4)),OR(클레임조회!$C$5="",AND(ISNUMBER($B312),$B312&lt;=클레임조회!$C$5)),OR(클레임조회!$C$6="",$C312=클레임조회!$C$6),OR(클레임조회!$C$7="",$D312=클레임조회!$C$7),OR(클레임조회!$C$8="",$E312=클레임조회!$C$8),OR(클레임조회!$C$9="",$F312=클레임조회!$C$9),OR(클레임조회!$C$10="",ISNUMBER(SEARCH(클레임조회!$C$10,$C312&amp;" "&amp;$F312&amp;" "&amp;$G312&amp;" "&amp;$H312)))),COUNT(O$1:O311)+1,"")</f>
        <v/>
      </c>
      <c r="P312" s="0" t="str">
        <f aca="false">IF(AND(TRIM(C312)&lt;&gt;"",COUNTIF(C$2:C312,C312)=1),MAX(P$1:P311)+1,"")</f>
        <v/>
      </c>
      <c r="Q312" s="0" t="str">
        <f aca="false">IF(AND(TRIM(F312)&lt;&gt;"",COUNTIF(F$2:F312,F312)=1),MAX(Q$1:Q311)+1,"")</f>
        <v/>
      </c>
    </row>
    <row r="313" customFormat="false" ht="15" hidden="false" customHeight="false" outlineLevel="0" collapsed="false">
      <c r="A313" s="9"/>
      <c r="B313" s="10"/>
      <c r="C313" s="11"/>
      <c r="D313" s="11"/>
      <c r="E313" s="11"/>
      <c r="F313" s="11"/>
      <c r="G313" s="12"/>
      <c r="H313" s="12"/>
      <c r="I313" s="10"/>
      <c r="J313" s="12"/>
      <c r="K313" s="13" t="str">
        <f aca="false">IF(ISNUMBER(B313),YEAR(B313),"")</f>
        <v/>
      </c>
      <c r="L313" s="13" t="str">
        <f aca="false">IF(ISNUMBER(B313),MONTH(B313),"")</f>
        <v/>
      </c>
      <c r="M313" s="13" t="str">
        <f aca="false">IF(AND(ISNUMBER(B313),ISNUMBER(I313)),B313-I313+1,"")</f>
        <v/>
      </c>
      <c r="N313" s="14" t="str">
        <f aca="false">IF(B313="","",IF(M313="","시작일 미입력",IF(M313&lt;1,"시작일 이전(확인)",IF(M313=1,"1일째",IF(M313=2,"2일째",IF(M313=3,"3일째",IF(M313&lt;=7,"일주일 이내",IF(M313&lt;=14,"이주일 이내","15일 이후"))))))))</f>
        <v/>
      </c>
      <c r="O313" s="0" t="str">
        <f aca="false">IF(AND(COUNTA($A313:$J313)&gt;0,OR(클레임조회!$C$4="",AND(ISNUMBER($B313),$B313&gt;=클레임조회!$C$4)),OR(클레임조회!$C$5="",AND(ISNUMBER($B313),$B313&lt;=클레임조회!$C$5)),OR(클레임조회!$C$6="",$C313=클레임조회!$C$6),OR(클레임조회!$C$7="",$D313=클레임조회!$C$7),OR(클레임조회!$C$8="",$E313=클레임조회!$C$8),OR(클레임조회!$C$9="",$F313=클레임조회!$C$9),OR(클레임조회!$C$10="",ISNUMBER(SEARCH(클레임조회!$C$10,$C313&amp;" "&amp;$F313&amp;" "&amp;$G313&amp;" "&amp;$H313)))),COUNT(O$1:O312)+1,"")</f>
        <v/>
      </c>
      <c r="P313" s="0" t="str">
        <f aca="false">IF(AND(TRIM(C313)&lt;&gt;"",COUNTIF(C$2:C313,C313)=1),MAX(P$1:P312)+1,"")</f>
        <v/>
      </c>
      <c r="Q313" s="0" t="str">
        <f aca="false">IF(AND(TRIM(F313)&lt;&gt;"",COUNTIF(F$2:F313,F313)=1),MAX(Q$1:Q312)+1,"")</f>
        <v/>
      </c>
    </row>
    <row r="314" customFormat="false" ht="15" hidden="false" customHeight="false" outlineLevel="0" collapsed="false">
      <c r="A314" s="9"/>
      <c r="B314" s="10"/>
      <c r="C314" s="11"/>
      <c r="D314" s="11"/>
      <c r="E314" s="11"/>
      <c r="F314" s="11"/>
      <c r="G314" s="12"/>
      <c r="H314" s="12"/>
      <c r="I314" s="10"/>
      <c r="J314" s="12"/>
      <c r="K314" s="13" t="str">
        <f aca="false">IF(ISNUMBER(B314),YEAR(B314),"")</f>
        <v/>
      </c>
      <c r="L314" s="13" t="str">
        <f aca="false">IF(ISNUMBER(B314),MONTH(B314),"")</f>
        <v/>
      </c>
      <c r="M314" s="13" t="str">
        <f aca="false">IF(AND(ISNUMBER(B314),ISNUMBER(I314)),B314-I314+1,"")</f>
        <v/>
      </c>
      <c r="N314" s="14" t="str">
        <f aca="false">IF(B314="","",IF(M314="","시작일 미입력",IF(M314&lt;1,"시작일 이전(확인)",IF(M314=1,"1일째",IF(M314=2,"2일째",IF(M314=3,"3일째",IF(M314&lt;=7,"일주일 이내",IF(M314&lt;=14,"이주일 이내","15일 이후"))))))))</f>
        <v/>
      </c>
      <c r="O314" s="0" t="str">
        <f aca="false">IF(AND(COUNTA($A314:$J314)&gt;0,OR(클레임조회!$C$4="",AND(ISNUMBER($B314),$B314&gt;=클레임조회!$C$4)),OR(클레임조회!$C$5="",AND(ISNUMBER($B314),$B314&lt;=클레임조회!$C$5)),OR(클레임조회!$C$6="",$C314=클레임조회!$C$6),OR(클레임조회!$C$7="",$D314=클레임조회!$C$7),OR(클레임조회!$C$8="",$E314=클레임조회!$C$8),OR(클레임조회!$C$9="",$F314=클레임조회!$C$9),OR(클레임조회!$C$10="",ISNUMBER(SEARCH(클레임조회!$C$10,$C314&amp;" "&amp;$F314&amp;" "&amp;$G314&amp;" "&amp;$H314)))),COUNT(O$1:O313)+1,"")</f>
        <v/>
      </c>
      <c r="P314" s="0" t="str">
        <f aca="false">IF(AND(TRIM(C314)&lt;&gt;"",COUNTIF(C$2:C314,C314)=1),MAX(P$1:P313)+1,"")</f>
        <v/>
      </c>
      <c r="Q314" s="0" t="str">
        <f aca="false">IF(AND(TRIM(F314)&lt;&gt;"",COUNTIF(F$2:F314,F314)=1),MAX(Q$1:Q313)+1,"")</f>
        <v/>
      </c>
    </row>
    <row r="315" customFormat="false" ht="15" hidden="false" customHeight="false" outlineLevel="0" collapsed="false">
      <c r="A315" s="9"/>
      <c r="B315" s="10"/>
      <c r="C315" s="11"/>
      <c r="D315" s="11"/>
      <c r="E315" s="11"/>
      <c r="F315" s="11"/>
      <c r="G315" s="12"/>
      <c r="H315" s="12"/>
      <c r="I315" s="10"/>
      <c r="J315" s="12"/>
      <c r="K315" s="13" t="str">
        <f aca="false">IF(ISNUMBER(B315),YEAR(B315),"")</f>
        <v/>
      </c>
      <c r="L315" s="13" t="str">
        <f aca="false">IF(ISNUMBER(B315),MONTH(B315),"")</f>
        <v/>
      </c>
      <c r="M315" s="13" t="str">
        <f aca="false">IF(AND(ISNUMBER(B315),ISNUMBER(I315)),B315-I315+1,"")</f>
        <v/>
      </c>
      <c r="N315" s="14" t="str">
        <f aca="false">IF(B315="","",IF(M315="","시작일 미입력",IF(M315&lt;1,"시작일 이전(확인)",IF(M315=1,"1일째",IF(M315=2,"2일째",IF(M315=3,"3일째",IF(M315&lt;=7,"일주일 이내",IF(M315&lt;=14,"이주일 이내","15일 이후"))))))))</f>
        <v/>
      </c>
      <c r="O315" s="0" t="str">
        <f aca="false">IF(AND(COUNTA($A315:$J315)&gt;0,OR(클레임조회!$C$4="",AND(ISNUMBER($B315),$B315&gt;=클레임조회!$C$4)),OR(클레임조회!$C$5="",AND(ISNUMBER($B315),$B315&lt;=클레임조회!$C$5)),OR(클레임조회!$C$6="",$C315=클레임조회!$C$6),OR(클레임조회!$C$7="",$D315=클레임조회!$C$7),OR(클레임조회!$C$8="",$E315=클레임조회!$C$8),OR(클레임조회!$C$9="",$F315=클레임조회!$C$9),OR(클레임조회!$C$10="",ISNUMBER(SEARCH(클레임조회!$C$10,$C315&amp;" "&amp;$F315&amp;" "&amp;$G315&amp;" "&amp;$H315)))),COUNT(O$1:O314)+1,"")</f>
        <v/>
      </c>
      <c r="P315" s="0" t="str">
        <f aca="false">IF(AND(TRIM(C315)&lt;&gt;"",COUNTIF(C$2:C315,C315)=1),MAX(P$1:P314)+1,"")</f>
        <v/>
      </c>
      <c r="Q315" s="0" t="str">
        <f aca="false">IF(AND(TRIM(F315)&lt;&gt;"",COUNTIF(F$2:F315,F315)=1),MAX(Q$1:Q314)+1,"")</f>
        <v/>
      </c>
    </row>
    <row r="316" customFormat="false" ht="15" hidden="false" customHeight="false" outlineLevel="0" collapsed="false">
      <c r="A316" s="9"/>
      <c r="B316" s="10"/>
      <c r="C316" s="11"/>
      <c r="D316" s="11"/>
      <c r="E316" s="11"/>
      <c r="F316" s="11"/>
      <c r="G316" s="12"/>
      <c r="H316" s="12"/>
      <c r="I316" s="10"/>
      <c r="J316" s="12"/>
      <c r="K316" s="13" t="str">
        <f aca="false">IF(ISNUMBER(B316),YEAR(B316),"")</f>
        <v/>
      </c>
      <c r="L316" s="13" t="str">
        <f aca="false">IF(ISNUMBER(B316),MONTH(B316),"")</f>
        <v/>
      </c>
      <c r="M316" s="13" t="str">
        <f aca="false">IF(AND(ISNUMBER(B316),ISNUMBER(I316)),B316-I316+1,"")</f>
        <v/>
      </c>
      <c r="N316" s="14" t="str">
        <f aca="false">IF(B316="","",IF(M316="","시작일 미입력",IF(M316&lt;1,"시작일 이전(확인)",IF(M316=1,"1일째",IF(M316=2,"2일째",IF(M316=3,"3일째",IF(M316&lt;=7,"일주일 이내",IF(M316&lt;=14,"이주일 이내","15일 이후"))))))))</f>
        <v/>
      </c>
      <c r="O316" s="0" t="str">
        <f aca="false">IF(AND(COUNTA($A316:$J316)&gt;0,OR(클레임조회!$C$4="",AND(ISNUMBER($B316),$B316&gt;=클레임조회!$C$4)),OR(클레임조회!$C$5="",AND(ISNUMBER($B316),$B316&lt;=클레임조회!$C$5)),OR(클레임조회!$C$6="",$C316=클레임조회!$C$6),OR(클레임조회!$C$7="",$D316=클레임조회!$C$7),OR(클레임조회!$C$8="",$E316=클레임조회!$C$8),OR(클레임조회!$C$9="",$F316=클레임조회!$C$9),OR(클레임조회!$C$10="",ISNUMBER(SEARCH(클레임조회!$C$10,$C316&amp;" "&amp;$F316&amp;" "&amp;$G316&amp;" "&amp;$H316)))),COUNT(O$1:O315)+1,"")</f>
        <v/>
      </c>
      <c r="P316" s="0" t="str">
        <f aca="false">IF(AND(TRIM(C316)&lt;&gt;"",COUNTIF(C$2:C316,C316)=1),MAX(P$1:P315)+1,"")</f>
        <v/>
      </c>
      <c r="Q316" s="0" t="str">
        <f aca="false">IF(AND(TRIM(F316)&lt;&gt;"",COUNTIF(F$2:F316,F316)=1),MAX(Q$1:Q315)+1,"")</f>
        <v/>
      </c>
    </row>
    <row r="317" customFormat="false" ht="15" hidden="false" customHeight="false" outlineLevel="0" collapsed="false">
      <c r="A317" s="9"/>
      <c r="B317" s="10"/>
      <c r="C317" s="11"/>
      <c r="D317" s="11"/>
      <c r="E317" s="11"/>
      <c r="F317" s="11"/>
      <c r="G317" s="12"/>
      <c r="H317" s="12"/>
      <c r="I317" s="10"/>
      <c r="J317" s="12"/>
      <c r="K317" s="13" t="str">
        <f aca="false">IF(ISNUMBER(B317),YEAR(B317),"")</f>
        <v/>
      </c>
      <c r="L317" s="13" t="str">
        <f aca="false">IF(ISNUMBER(B317),MONTH(B317),"")</f>
        <v/>
      </c>
      <c r="M317" s="13" t="str">
        <f aca="false">IF(AND(ISNUMBER(B317),ISNUMBER(I317)),B317-I317+1,"")</f>
        <v/>
      </c>
      <c r="N317" s="14" t="str">
        <f aca="false">IF(B317="","",IF(M317="","시작일 미입력",IF(M317&lt;1,"시작일 이전(확인)",IF(M317=1,"1일째",IF(M317=2,"2일째",IF(M317=3,"3일째",IF(M317&lt;=7,"일주일 이내",IF(M317&lt;=14,"이주일 이내","15일 이후"))))))))</f>
        <v/>
      </c>
      <c r="O317" s="0" t="str">
        <f aca="false">IF(AND(COUNTA($A317:$J317)&gt;0,OR(클레임조회!$C$4="",AND(ISNUMBER($B317),$B317&gt;=클레임조회!$C$4)),OR(클레임조회!$C$5="",AND(ISNUMBER($B317),$B317&lt;=클레임조회!$C$5)),OR(클레임조회!$C$6="",$C317=클레임조회!$C$6),OR(클레임조회!$C$7="",$D317=클레임조회!$C$7),OR(클레임조회!$C$8="",$E317=클레임조회!$C$8),OR(클레임조회!$C$9="",$F317=클레임조회!$C$9),OR(클레임조회!$C$10="",ISNUMBER(SEARCH(클레임조회!$C$10,$C317&amp;" "&amp;$F317&amp;" "&amp;$G317&amp;" "&amp;$H317)))),COUNT(O$1:O316)+1,"")</f>
        <v/>
      </c>
      <c r="P317" s="0" t="str">
        <f aca="false">IF(AND(TRIM(C317)&lt;&gt;"",COUNTIF(C$2:C317,C317)=1),MAX(P$1:P316)+1,"")</f>
        <v/>
      </c>
      <c r="Q317" s="0" t="str">
        <f aca="false">IF(AND(TRIM(F317)&lt;&gt;"",COUNTIF(F$2:F317,F317)=1),MAX(Q$1:Q316)+1,"")</f>
        <v/>
      </c>
    </row>
    <row r="318" customFormat="false" ht="15" hidden="false" customHeight="false" outlineLevel="0" collapsed="false">
      <c r="A318" s="9"/>
      <c r="B318" s="10"/>
      <c r="C318" s="11"/>
      <c r="D318" s="11"/>
      <c r="E318" s="11"/>
      <c r="F318" s="11"/>
      <c r="G318" s="12"/>
      <c r="H318" s="12"/>
      <c r="I318" s="10"/>
      <c r="J318" s="12"/>
      <c r="K318" s="13" t="str">
        <f aca="false">IF(ISNUMBER(B318),YEAR(B318),"")</f>
        <v/>
      </c>
      <c r="L318" s="13" t="str">
        <f aca="false">IF(ISNUMBER(B318),MONTH(B318),"")</f>
        <v/>
      </c>
      <c r="M318" s="13" t="str">
        <f aca="false">IF(AND(ISNUMBER(B318),ISNUMBER(I318)),B318-I318+1,"")</f>
        <v/>
      </c>
      <c r="N318" s="14" t="str">
        <f aca="false">IF(B318="","",IF(M318="","시작일 미입력",IF(M318&lt;1,"시작일 이전(확인)",IF(M318=1,"1일째",IF(M318=2,"2일째",IF(M318=3,"3일째",IF(M318&lt;=7,"일주일 이내",IF(M318&lt;=14,"이주일 이내","15일 이후"))))))))</f>
        <v/>
      </c>
      <c r="O318" s="0" t="str">
        <f aca="false">IF(AND(COUNTA($A318:$J318)&gt;0,OR(클레임조회!$C$4="",AND(ISNUMBER($B318),$B318&gt;=클레임조회!$C$4)),OR(클레임조회!$C$5="",AND(ISNUMBER($B318),$B318&lt;=클레임조회!$C$5)),OR(클레임조회!$C$6="",$C318=클레임조회!$C$6),OR(클레임조회!$C$7="",$D318=클레임조회!$C$7),OR(클레임조회!$C$8="",$E318=클레임조회!$C$8),OR(클레임조회!$C$9="",$F318=클레임조회!$C$9),OR(클레임조회!$C$10="",ISNUMBER(SEARCH(클레임조회!$C$10,$C318&amp;" "&amp;$F318&amp;" "&amp;$G318&amp;" "&amp;$H318)))),COUNT(O$1:O317)+1,"")</f>
        <v/>
      </c>
      <c r="P318" s="0" t="str">
        <f aca="false">IF(AND(TRIM(C318)&lt;&gt;"",COUNTIF(C$2:C318,C318)=1),MAX(P$1:P317)+1,"")</f>
        <v/>
      </c>
      <c r="Q318" s="0" t="str">
        <f aca="false">IF(AND(TRIM(F318)&lt;&gt;"",COUNTIF(F$2:F318,F318)=1),MAX(Q$1:Q317)+1,"")</f>
        <v/>
      </c>
    </row>
    <row r="319" customFormat="false" ht="15" hidden="false" customHeight="false" outlineLevel="0" collapsed="false">
      <c r="A319" s="9"/>
      <c r="B319" s="10"/>
      <c r="C319" s="11"/>
      <c r="D319" s="11"/>
      <c r="E319" s="11"/>
      <c r="F319" s="11"/>
      <c r="G319" s="12"/>
      <c r="H319" s="12"/>
      <c r="I319" s="10"/>
      <c r="J319" s="12"/>
      <c r="K319" s="13" t="str">
        <f aca="false">IF(ISNUMBER(B319),YEAR(B319),"")</f>
        <v/>
      </c>
      <c r="L319" s="13" t="str">
        <f aca="false">IF(ISNUMBER(B319),MONTH(B319),"")</f>
        <v/>
      </c>
      <c r="M319" s="13" t="str">
        <f aca="false">IF(AND(ISNUMBER(B319),ISNUMBER(I319)),B319-I319+1,"")</f>
        <v/>
      </c>
      <c r="N319" s="14" t="str">
        <f aca="false">IF(B319="","",IF(M319="","시작일 미입력",IF(M319&lt;1,"시작일 이전(확인)",IF(M319=1,"1일째",IF(M319=2,"2일째",IF(M319=3,"3일째",IF(M319&lt;=7,"일주일 이내",IF(M319&lt;=14,"이주일 이내","15일 이후"))))))))</f>
        <v/>
      </c>
      <c r="O319" s="0" t="str">
        <f aca="false">IF(AND(COUNTA($A319:$J319)&gt;0,OR(클레임조회!$C$4="",AND(ISNUMBER($B319),$B319&gt;=클레임조회!$C$4)),OR(클레임조회!$C$5="",AND(ISNUMBER($B319),$B319&lt;=클레임조회!$C$5)),OR(클레임조회!$C$6="",$C319=클레임조회!$C$6),OR(클레임조회!$C$7="",$D319=클레임조회!$C$7),OR(클레임조회!$C$8="",$E319=클레임조회!$C$8),OR(클레임조회!$C$9="",$F319=클레임조회!$C$9),OR(클레임조회!$C$10="",ISNUMBER(SEARCH(클레임조회!$C$10,$C319&amp;" "&amp;$F319&amp;" "&amp;$G319&amp;" "&amp;$H319)))),COUNT(O$1:O318)+1,"")</f>
        <v/>
      </c>
      <c r="P319" s="0" t="str">
        <f aca="false">IF(AND(TRIM(C319)&lt;&gt;"",COUNTIF(C$2:C319,C319)=1),MAX(P$1:P318)+1,"")</f>
        <v/>
      </c>
      <c r="Q319" s="0" t="str">
        <f aca="false">IF(AND(TRIM(F319)&lt;&gt;"",COUNTIF(F$2:F319,F319)=1),MAX(Q$1:Q318)+1,"")</f>
        <v/>
      </c>
    </row>
    <row r="320" customFormat="false" ht="15" hidden="false" customHeight="false" outlineLevel="0" collapsed="false">
      <c r="A320" s="9"/>
      <c r="B320" s="10"/>
      <c r="C320" s="11"/>
      <c r="D320" s="11"/>
      <c r="E320" s="11"/>
      <c r="F320" s="11"/>
      <c r="G320" s="12"/>
      <c r="H320" s="12"/>
      <c r="I320" s="10"/>
      <c r="J320" s="12"/>
      <c r="K320" s="13" t="str">
        <f aca="false">IF(ISNUMBER(B320),YEAR(B320),"")</f>
        <v/>
      </c>
      <c r="L320" s="13" t="str">
        <f aca="false">IF(ISNUMBER(B320),MONTH(B320),"")</f>
        <v/>
      </c>
      <c r="M320" s="13" t="str">
        <f aca="false">IF(AND(ISNUMBER(B320),ISNUMBER(I320)),B320-I320+1,"")</f>
        <v/>
      </c>
      <c r="N320" s="14" t="str">
        <f aca="false">IF(B320="","",IF(M320="","시작일 미입력",IF(M320&lt;1,"시작일 이전(확인)",IF(M320=1,"1일째",IF(M320=2,"2일째",IF(M320=3,"3일째",IF(M320&lt;=7,"일주일 이내",IF(M320&lt;=14,"이주일 이내","15일 이후"))))))))</f>
        <v/>
      </c>
      <c r="O320" s="0" t="str">
        <f aca="false">IF(AND(COUNTA($A320:$J320)&gt;0,OR(클레임조회!$C$4="",AND(ISNUMBER($B320),$B320&gt;=클레임조회!$C$4)),OR(클레임조회!$C$5="",AND(ISNUMBER($B320),$B320&lt;=클레임조회!$C$5)),OR(클레임조회!$C$6="",$C320=클레임조회!$C$6),OR(클레임조회!$C$7="",$D320=클레임조회!$C$7),OR(클레임조회!$C$8="",$E320=클레임조회!$C$8),OR(클레임조회!$C$9="",$F320=클레임조회!$C$9),OR(클레임조회!$C$10="",ISNUMBER(SEARCH(클레임조회!$C$10,$C320&amp;" "&amp;$F320&amp;" "&amp;$G320&amp;" "&amp;$H320)))),COUNT(O$1:O319)+1,"")</f>
        <v/>
      </c>
      <c r="P320" s="0" t="str">
        <f aca="false">IF(AND(TRIM(C320)&lt;&gt;"",COUNTIF(C$2:C320,C320)=1),MAX(P$1:P319)+1,"")</f>
        <v/>
      </c>
      <c r="Q320" s="0" t="str">
        <f aca="false">IF(AND(TRIM(F320)&lt;&gt;"",COUNTIF(F$2:F320,F320)=1),MAX(Q$1:Q319)+1,"")</f>
        <v/>
      </c>
    </row>
    <row r="321" customFormat="false" ht="15" hidden="false" customHeight="false" outlineLevel="0" collapsed="false">
      <c r="A321" s="9"/>
      <c r="B321" s="10"/>
      <c r="C321" s="11"/>
      <c r="D321" s="11"/>
      <c r="E321" s="11"/>
      <c r="F321" s="11"/>
      <c r="G321" s="12"/>
      <c r="H321" s="12"/>
      <c r="I321" s="10"/>
      <c r="J321" s="12"/>
      <c r="K321" s="13" t="str">
        <f aca="false">IF(ISNUMBER(B321),YEAR(B321),"")</f>
        <v/>
      </c>
      <c r="L321" s="13" t="str">
        <f aca="false">IF(ISNUMBER(B321),MONTH(B321),"")</f>
        <v/>
      </c>
      <c r="M321" s="13" t="str">
        <f aca="false">IF(AND(ISNUMBER(B321),ISNUMBER(I321)),B321-I321+1,"")</f>
        <v/>
      </c>
      <c r="N321" s="14" t="str">
        <f aca="false">IF(B321="","",IF(M321="","시작일 미입력",IF(M321&lt;1,"시작일 이전(확인)",IF(M321=1,"1일째",IF(M321=2,"2일째",IF(M321=3,"3일째",IF(M321&lt;=7,"일주일 이내",IF(M321&lt;=14,"이주일 이내","15일 이후"))))))))</f>
        <v/>
      </c>
      <c r="O321" s="0" t="str">
        <f aca="false">IF(AND(COUNTA($A321:$J321)&gt;0,OR(클레임조회!$C$4="",AND(ISNUMBER($B321),$B321&gt;=클레임조회!$C$4)),OR(클레임조회!$C$5="",AND(ISNUMBER($B321),$B321&lt;=클레임조회!$C$5)),OR(클레임조회!$C$6="",$C321=클레임조회!$C$6),OR(클레임조회!$C$7="",$D321=클레임조회!$C$7),OR(클레임조회!$C$8="",$E321=클레임조회!$C$8),OR(클레임조회!$C$9="",$F321=클레임조회!$C$9),OR(클레임조회!$C$10="",ISNUMBER(SEARCH(클레임조회!$C$10,$C321&amp;" "&amp;$F321&amp;" "&amp;$G321&amp;" "&amp;$H321)))),COUNT(O$1:O320)+1,"")</f>
        <v/>
      </c>
      <c r="P321" s="0" t="str">
        <f aca="false">IF(AND(TRIM(C321)&lt;&gt;"",COUNTIF(C$2:C321,C321)=1),MAX(P$1:P320)+1,"")</f>
        <v/>
      </c>
      <c r="Q321" s="0" t="str">
        <f aca="false">IF(AND(TRIM(F321)&lt;&gt;"",COUNTIF(F$2:F321,F321)=1),MAX(Q$1:Q320)+1,"")</f>
        <v/>
      </c>
    </row>
    <row r="322" customFormat="false" ht="15" hidden="false" customHeight="false" outlineLevel="0" collapsed="false">
      <c r="A322" s="9"/>
      <c r="B322" s="10"/>
      <c r="C322" s="11"/>
      <c r="D322" s="11"/>
      <c r="E322" s="11"/>
      <c r="F322" s="11"/>
      <c r="G322" s="12"/>
      <c r="H322" s="12"/>
      <c r="I322" s="10"/>
      <c r="J322" s="12"/>
      <c r="K322" s="13" t="str">
        <f aca="false">IF(ISNUMBER(B322),YEAR(B322),"")</f>
        <v/>
      </c>
      <c r="L322" s="13" t="str">
        <f aca="false">IF(ISNUMBER(B322),MONTH(B322),"")</f>
        <v/>
      </c>
      <c r="M322" s="13" t="str">
        <f aca="false">IF(AND(ISNUMBER(B322),ISNUMBER(I322)),B322-I322+1,"")</f>
        <v/>
      </c>
      <c r="N322" s="14" t="str">
        <f aca="false">IF(B322="","",IF(M322="","시작일 미입력",IF(M322&lt;1,"시작일 이전(확인)",IF(M322=1,"1일째",IF(M322=2,"2일째",IF(M322=3,"3일째",IF(M322&lt;=7,"일주일 이내",IF(M322&lt;=14,"이주일 이내","15일 이후"))))))))</f>
        <v/>
      </c>
      <c r="O322" s="0" t="str">
        <f aca="false">IF(AND(COUNTA($A322:$J322)&gt;0,OR(클레임조회!$C$4="",AND(ISNUMBER($B322),$B322&gt;=클레임조회!$C$4)),OR(클레임조회!$C$5="",AND(ISNUMBER($B322),$B322&lt;=클레임조회!$C$5)),OR(클레임조회!$C$6="",$C322=클레임조회!$C$6),OR(클레임조회!$C$7="",$D322=클레임조회!$C$7),OR(클레임조회!$C$8="",$E322=클레임조회!$C$8),OR(클레임조회!$C$9="",$F322=클레임조회!$C$9),OR(클레임조회!$C$10="",ISNUMBER(SEARCH(클레임조회!$C$10,$C322&amp;" "&amp;$F322&amp;" "&amp;$G322&amp;" "&amp;$H322)))),COUNT(O$1:O321)+1,"")</f>
        <v/>
      </c>
      <c r="P322" s="0" t="str">
        <f aca="false">IF(AND(TRIM(C322)&lt;&gt;"",COUNTIF(C$2:C322,C322)=1),MAX(P$1:P321)+1,"")</f>
        <v/>
      </c>
      <c r="Q322" s="0" t="str">
        <f aca="false">IF(AND(TRIM(F322)&lt;&gt;"",COUNTIF(F$2:F322,F322)=1),MAX(Q$1:Q321)+1,"")</f>
        <v/>
      </c>
    </row>
    <row r="323" customFormat="false" ht="15" hidden="false" customHeight="false" outlineLevel="0" collapsed="false">
      <c r="A323" s="9"/>
      <c r="B323" s="10"/>
      <c r="C323" s="11"/>
      <c r="D323" s="11"/>
      <c r="E323" s="11"/>
      <c r="F323" s="11"/>
      <c r="G323" s="12"/>
      <c r="H323" s="12"/>
      <c r="I323" s="10"/>
      <c r="J323" s="12"/>
      <c r="K323" s="13" t="str">
        <f aca="false">IF(ISNUMBER(B323),YEAR(B323),"")</f>
        <v/>
      </c>
      <c r="L323" s="13" t="str">
        <f aca="false">IF(ISNUMBER(B323),MONTH(B323),"")</f>
        <v/>
      </c>
      <c r="M323" s="13" t="str">
        <f aca="false">IF(AND(ISNUMBER(B323),ISNUMBER(I323)),B323-I323+1,"")</f>
        <v/>
      </c>
      <c r="N323" s="14" t="str">
        <f aca="false">IF(B323="","",IF(M323="","시작일 미입력",IF(M323&lt;1,"시작일 이전(확인)",IF(M323=1,"1일째",IF(M323=2,"2일째",IF(M323=3,"3일째",IF(M323&lt;=7,"일주일 이내",IF(M323&lt;=14,"이주일 이내","15일 이후"))))))))</f>
        <v/>
      </c>
      <c r="O323" s="0" t="str">
        <f aca="false">IF(AND(COUNTA($A323:$J323)&gt;0,OR(클레임조회!$C$4="",AND(ISNUMBER($B323),$B323&gt;=클레임조회!$C$4)),OR(클레임조회!$C$5="",AND(ISNUMBER($B323),$B323&lt;=클레임조회!$C$5)),OR(클레임조회!$C$6="",$C323=클레임조회!$C$6),OR(클레임조회!$C$7="",$D323=클레임조회!$C$7),OR(클레임조회!$C$8="",$E323=클레임조회!$C$8),OR(클레임조회!$C$9="",$F323=클레임조회!$C$9),OR(클레임조회!$C$10="",ISNUMBER(SEARCH(클레임조회!$C$10,$C323&amp;" "&amp;$F323&amp;" "&amp;$G323&amp;" "&amp;$H323)))),COUNT(O$1:O322)+1,"")</f>
        <v/>
      </c>
      <c r="P323" s="0" t="str">
        <f aca="false">IF(AND(TRIM(C323)&lt;&gt;"",COUNTIF(C$2:C323,C323)=1),MAX(P$1:P322)+1,"")</f>
        <v/>
      </c>
      <c r="Q323" s="0" t="str">
        <f aca="false">IF(AND(TRIM(F323)&lt;&gt;"",COUNTIF(F$2:F323,F323)=1),MAX(Q$1:Q322)+1,"")</f>
        <v/>
      </c>
    </row>
    <row r="324" customFormat="false" ht="15" hidden="false" customHeight="false" outlineLevel="0" collapsed="false">
      <c r="A324" s="9"/>
      <c r="B324" s="10"/>
      <c r="C324" s="11"/>
      <c r="D324" s="11"/>
      <c r="E324" s="11"/>
      <c r="F324" s="11"/>
      <c r="G324" s="12"/>
      <c r="H324" s="12"/>
      <c r="I324" s="10"/>
      <c r="J324" s="12"/>
      <c r="K324" s="13" t="str">
        <f aca="false">IF(ISNUMBER(B324),YEAR(B324),"")</f>
        <v/>
      </c>
      <c r="L324" s="13" t="str">
        <f aca="false">IF(ISNUMBER(B324),MONTH(B324),"")</f>
        <v/>
      </c>
      <c r="M324" s="13" t="str">
        <f aca="false">IF(AND(ISNUMBER(B324),ISNUMBER(I324)),B324-I324+1,"")</f>
        <v/>
      </c>
      <c r="N324" s="14" t="str">
        <f aca="false">IF(B324="","",IF(M324="","시작일 미입력",IF(M324&lt;1,"시작일 이전(확인)",IF(M324=1,"1일째",IF(M324=2,"2일째",IF(M324=3,"3일째",IF(M324&lt;=7,"일주일 이내",IF(M324&lt;=14,"이주일 이내","15일 이후"))))))))</f>
        <v/>
      </c>
      <c r="O324" s="0" t="str">
        <f aca="false">IF(AND(COUNTA($A324:$J324)&gt;0,OR(클레임조회!$C$4="",AND(ISNUMBER($B324),$B324&gt;=클레임조회!$C$4)),OR(클레임조회!$C$5="",AND(ISNUMBER($B324),$B324&lt;=클레임조회!$C$5)),OR(클레임조회!$C$6="",$C324=클레임조회!$C$6),OR(클레임조회!$C$7="",$D324=클레임조회!$C$7),OR(클레임조회!$C$8="",$E324=클레임조회!$C$8),OR(클레임조회!$C$9="",$F324=클레임조회!$C$9),OR(클레임조회!$C$10="",ISNUMBER(SEARCH(클레임조회!$C$10,$C324&amp;" "&amp;$F324&amp;" "&amp;$G324&amp;" "&amp;$H324)))),COUNT(O$1:O323)+1,"")</f>
        <v/>
      </c>
      <c r="P324" s="0" t="str">
        <f aca="false">IF(AND(TRIM(C324)&lt;&gt;"",COUNTIF(C$2:C324,C324)=1),MAX(P$1:P323)+1,"")</f>
        <v/>
      </c>
      <c r="Q324" s="0" t="str">
        <f aca="false">IF(AND(TRIM(F324)&lt;&gt;"",COUNTIF(F$2:F324,F324)=1),MAX(Q$1:Q323)+1,"")</f>
        <v/>
      </c>
    </row>
    <row r="325" customFormat="false" ht="15" hidden="false" customHeight="false" outlineLevel="0" collapsed="false">
      <c r="A325" s="9"/>
      <c r="B325" s="10"/>
      <c r="C325" s="11"/>
      <c r="D325" s="11"/>
      <c r="E325" s="11"/>
      <c r="F325" s="11"/>
      <c r="G325" s="12"/>
      <c r="H325" s="12"/>
      <c r="I325" s="10"/>
      <c r="J325" s="12"/>
      <c r="K325" s="13" t="str">
        <f aca="false">IF(ISNUMBER(B325),YEAR(B325),"")</f>
        <v/>
      </c>
      <c r="L325" s="13" t="str">
        <f aca="false">IF(ISNUMBER(B325),MONTH(B325),"")</f>
        <v/>
      </c>
      <c r="M325" s="13" t="str">
        <f aca="false">IF(AND(ISNUMBER(B325),ISNUMBER(I325)),B325-I325+1,"")</f>
        <v/>
      </c>
      <c r="N325" s="14" t="str">
        <f aca="false">IF(B325="","",IF(M325="","시작일 미입력",IF(M325&lt;1,"시작일 이전(확인)",IF(M325=1,"1일째",IF(M325=2,"2일째",IF(M325=3,"3일째",IF(M325&lt;=7,"일주일 이내",IF(M325&lt;=14,"이주일 이내","15일 이후"))))))))</f>
        <v/>
      </c>
      <c r="O325" s="0" t="str">
        <f aca="false">IF(AND(COUNTA($A325:$J325)&gt;0,OR(클레임조회!$C$4="",AND(ISNUMBER($B325),$B325&gt;=클레임조회!$C$4)),OR(클레임조회!$C$5="",AND(ISNUMBER($B325),$B325&lt;=클레임조회!$C$5)),OR(클레임조회!$C$6="",$C325=클레임조회!$C$6),OR(클레임조회!$C$7="",$D325=클레임조회!$C$7),OR(클레임조회!$C$8="",$E325=클레임조회!$C$8),OR(클레임조회!$C$9="",$F325=클레임조회!$C$9),OR(클레임조회!$C$10="",ISNUMBER(SEARCH(클레임조회!$C$10,$C325&amp;" "&amp;$F325&amp;" "&amp;$G325&amp;" "&amp;$H325)))),COUNT(O$1:O324)+1,"")</f>
        <v/>
      </c>
      <c r="P325" s="0" t="str">
        <f aca="false">IF(AND(TRIM(C325)&lt;&gt;"",COUNTIF(C$2:C325,C325)=1),MAX(P$1:P324)+1,"")</f>
        <v/>
      </c>
      <c r="Q325" s="0" t="str">
        <f aca="false">IF(AND(TRIM(F325)&lt;&gt;"",COUNTIF(F$2:F325,F325)=1),MAX(Q$1:Q324)+1,"")</f>
        <v/>
      </c>
    </row>
    <row r="326" customFormat="false" ht="15" hidden="false" customHeight="false" outlineLevel="0" collapsed="false">
      <c r="A326" s="9"/>
      <c r="B326" s="10"/>
      <c r="C326" s="11"/>
      <c r="D326" s="11"/>
      <c r="E326" s="11"/>
      <c r="F326" s="11"/>
      <c r="G326" s="12"/>
      <c r="H326" s="12"/>
      <c r="I326" s="10"/>
      <c r="J326" s="12"/>
      <c r="K326" s="13" t="str">
        <f aca="false">IF(ISNUMBER(B326),YEAR(B326),"")</f>
        <v/>
      </c>
      <c r="L326" s="13" t="str">
        <f aca="false">IF(ISNUMBER(B326),MONTH(B326),"")</f>
        <v/>
      </c>
      <c r="M326" s="13" t="str">
        <f aca="false">IF(AND(ISNUMBER(B326),ISNUMBER(I326)),B326-I326+1,"")</f>
        <v/>
      </c>
      <c r="N326" s="14" t="str">
        <f aca="false">IF(B326="","",IF(M326="","시작일 미입력",IF(M326&lt;1,"시작일 이전(확인)",IF(M326=1,"1일째",IF(M326=2,"2일째",IF(M326=3,"3일째",IF(M326&lt;=7,"일주일 이내",IF(M326&lt;=14,"이주일 이내","15일 이후"))))))))</f>
        <v/>
      </c>
      <c r="O326" s="0" t="str">
        <f aca="false">IF(AND(COUNTA($A326:$J326)&gt;0,OR(클레임조회!$C$4="",AND(ISNUMBER($B326),$B326&gt;=클레임조회!$C$4)),OR(클레임조회!$C$5="",AND(ISNUMBER($B326),$B326&lt;=클레임조회!$C$5)),OR(클레임조회!$C$6="",$C326=클레임조회!$C$6),OR(클레임조회!$C$7="",$D326=클레임조회!$C$7),OR(클레임조회!$C$8="",$E326=클레임조회!$C$8),OR(클레임조회!$C$9="",$F326=클레임조회!$C$9),OR(클레임조회!$C$10="",ISNUMBER(SEARCH(클레임조회!$C$10,$C326&amp;" "&amp;$F326&amp;" "&amp;$G326&amp;" "&amp;$H326)))),COUNT(O$1:O325)+1,"")</f>
        <v/>
      </c>
      <c r="P326" s="0" t="str">
        <f aca="false">IF(AND(TRIM(C326)&lt;&gt;"",COUNTIF(C$2:C326,C326)=1),MAX(P$1:P325)+1,"")</f>
        <v/>
      </c>
      <c r="Q326" s="0" t="str">
        <f aca="false">IF(AND(TRIM(F326)&lt;&gt;"",COUNTIF(F$2:F326,F326)=1),MAX(Q$1:Q325)+1,"")</f>
        <v/>
      </c>
    </row>
    <row r="327" customFormat="false" ht="15" hidden="false" customHeight="false" outlineLevel="0" collapsed="false">
      <c r="A327" s="9"/>
      <c r="B327" s="10"/>
      <c r="C327" s="11"/>
      <c r="D327" s="11"/>
      <c r="E327" s="11"/>
      <c r="F327" s="11"/>
      <c r="G327" s="12"/>
      <c r="H327" s="12"/>
      <c r="I327" s="10"/>
      <c r="J327" s="12"/>
      <c r="K327" s="13" t="str">
        <f aca="false">IF(ISNUMBER(B327),YEAR(B327),"")</f>
        <v/>
      </c>
      <c r="L327" s="13" t="str">
        <f aca="false">IF(ISNUMBER(B327),MONTH(B327),"")</f>
        <v/>
      </c>
      <c r="M327" s="13" t="str">
        <f aca="false">IF(AND(ISNUMBER(B327),ISNUMBER(I327)),B327-I327+1,"")</f>
        <v/>
      </c>
      <c r="N327" s="14" t="str">
        <f aca="false">IF(B327="","",IF(M327="","시작일 미입력",IF(M327&lt;1,"시작일 이전(확인)",IF(M327=1,"1일째",IF(M327=2,"2일째",IF(M327=3,"3일째",IF(M327&lt;=7,"일주일 이내",IF(M327&lt;=14,"이주일 이내","15일 이후"))))))))</f>
        <v/>
      </c>
      <c r="O327" s="0" t="str">
        <f aca="false">IF(AND(COUNTA($A327:$J327)&gt;0,OR(클레임조회!$C$4="",AND(ISNUMBER($B327),$B327&gt;=클레임조회!$C$4)),OR(클레임조회!$C$5="",AND(ISNUMBER($B327),$B327&lt;=클레임조회!$C$5)),OR(클레임조회!$C$6="",$C327=클레임조회!$C$6),OR(클레임조회!$C$7="",$D327=클레임조회!$C$7),OR(클레임조회!$C$8="",$E327=클레임조회!$C$8),OR(클레임조회!$C$9="",$F327=클레임조회!$C$9),OR(클레임조회!$C$10="",ISNUMBER(SEARCH(클레임조회!$C$10,$C327&amp;" "&amp;$F327&amp;" "&amp;$G327&amp;" "&amp;$H327)))),COUNT(O$1:O326)+1,"")</f>
        <v/>
      </c>
      <c r="P327" s="0" t="str">
        <f aca="false">IF(AND(TRIM(C327)&lt;&gt;"",COUNTIF(C$2:C327,C327)=1),MAX(P$1:P326)+1,"")</f>
        <v/>
      </c>
      <c r="Q327" s="0" t="str">
        <f aca="false">IF(AND(TRIM(F327)&lt;&gt;"",COUNTIF(F$2:F327,F327)=1),MAX(Q$1:Q326)+1,"")</f>
        <v/>
      </c>
    </row>
    <row r="328" customFormat="false" ht="15" hidden="false" customHeight="false" outlineLevel="0" collapsed="false">
      <c r="A328" s="9"/>
      <c r="B328" s="10"/>
      <c r="C328" s="11"/>
      <c r="D328" s="11"/>
      <c r="E328" s="11"/>
      <c r="F328" s="11"/>
      <c r="G328" s="12"/>
      <c r="H328" s="12"/>
      <c r="I328" s="10"/>
      <c r="J328" s="12"/>
      <c r="K328" s="13" t="str">
        <f aca="false">IF(ISNUMBER(B328),YEAR(B328),"")</f>
        <v/>
      </c>
      <c r="L328" s="13" t="str">
        <f aca="false">IF(ISNUMBER(B328),MONTH(B328),"")</f>
        <v/>
      </c>
      <c r="M328" s="13" t="str">
        <f aca="false">IF(AND(ISNUMBER(B328),ISNUMBER(I328)),B328-I328+1,"")</f>
        <v/>
      </c>
      <c r="N328" s="14" t="str">
        <f aca="false">IF(B328="","",IF(M328="","시작일 미입력",IF(M328&lt;1,"시작일 이전(확인)",IF(M328=1,"1일째",IF(M328=2,"2일째",IF(M328=3,"3일째",IF(M328&lt;=7,"일주일 이내",IF(M328&lt;=14,"이주일 이내","15일 이후"))))))))</f>
        <v/>
      </c>
      <c r="O328" s="0" t="str">
        <f aca="false">IF(AND(COUNTA($A328:$J328)&gt;0,OR(클레임조회!$C$4="",AND(ISNUMBER($B328),$B328&gt;=클레임조회!$C$4)),OR(클레임조회!$C$5="",AND(ISNUMBER($B328),$B328&lt;=클레임조회!$C$5)),OR(클레임조회!$C$6="",$C328=클레임조회!$C$6),OR(클레임조회!$C$7="",$D328=클레임조회!$C$7),OR(클레임조회!$C$8="",$E328=클레임조회!$C$8),OR(클레임조회!$C$9="",$F328=클레임조회!$C$9),OR(클레임조회!$C$10="",ISNUMBER(SEARCH(클레임조회!$C$10,$C328&amp;" "&amp;$F328&amp;" "&amp;$G328&amp;" "&amp;$H328)))),COUNT(O$1:O327)+1,"")</f>
        <v/>
      </c>
      <c r="P328" s="0" t="str">
        <f aca="false">IF(AND(TRIM(C328)&lt;&gt;"",COUNTIF(C$2:C328,C328)=1),MAX(P$1:P327)+1,"")</f>
        <v/>
      </c>
      <c r="Q328" s="0" t="str">
        <f aca="false">IF(AND(TRIM(F328)&lt;&gt;"",COUNTIF(F$2:F328,F328)=1),MAX(Q$1:Q327)+1,"")</f>
        <v/>
      </c>
    </row>
    <row r="329" customFormat="false" ht="15" hidden="false" customHeight="false" outlineLevel="0" collapsed="false">
      <c r="A329" s="9"/>
      <c r="B329" s="10"/>
      <c r="C329" s="11"/>
      <c r="D329" s="11"/>
      <c r="E329" s="11"/>
      <c r="F329" s="11"/>
      <c r="G329" s="12"/>
      <c r="H329" s="12"/>
      <c r="I329" s="10"/>
      <c r="J329" s="12"/>
      <c r="K329" s="13" t="str">
        <f aca="false">IF(ISNUMBER(B329),YEAR(B329),"")</f>
        <v/>
      </c>
      <c r="L329" s="13" t="str">
        <f aca="false">IF(ISNUMBER(B329),MONTH(B329),"")</f>
        <v/>
      </c>
      <c r="M329" s="13" t="str">
        <f aca="false">IF(AND(ISNUMBER(B329),ISNUMBER(I329)),B329-I329+1,"")</f>
        <v/>
      </c>
      <c r="N329" s="14" t="str">
        <f aca="false">IF(B329="","",IF(M329="","시작일 미입력",IF(M329&lt;1,"시작일 이전(확인)",IF(M329=1,"1일째",IF(M329=2,"2일째",IF(M329=3,"3일째",IF(M329&lt;=7,"일주일 이내",IF(M329&lt;=14,"이주일 이내","15일 이후"))))))))</f>
        <v/>
      </c>
      <c r="O329" s="0" t="str">
        <f aca="false">IF(AND(COUNTA($A329:$J329)&gt;0,OR(클레임조회!$C$4="",AND(ISNUMBER($B329),$B329&gt;=클레임조회!$C$4)),OR(클레임조회!$C$5="",AND(ISNUMBER($B329),$B329&lt;=클레임조회!$C$5)),OR(클레임조회!$C$6="",$C329=클레임조회!$C$6),OR(클레임조회!$C$7="",$D329=클레임조회!$C$7),OR(클레임조회!$C$8="",$E329=클레임조회!$C$8),OR(클레임조회!$C$9="",$F329=클레임조회!$C$9),OR(클레임조회!$C$10="",ISNUMBER(SEARCH(클레임조회!$C$10,$C329&amp;" "&amp;$F329&amp;" "&amp;$G329&amp;" "&amp;$H329)))),COUNT(O$1:O328)+1,"")</f>
        <v/>
      </c>
      <c r="P329" s="0" t="str">
        <f aca="false">IF(AND(TRIM(C329)&lt;&gt;"",COUNTIF(C$2:C329,C329)=1),MAX(P$1:P328)+1,"")</f>
        <v/>
      </c>
      <c r="Q329" s="0" t="str">
        <f aca="false">IF(AND(TRIM(F329)&lt;&gt;"",COUNTIF(F$2:F329,F329)=1),MAX(Q$1:Q328)+1,"")</f>
        <v/>
      </c>
    </row>
    <row r="330" customFormat="false" ht="15" hidden="false" customHeight="false" outlineLevel="0" collapsed="false">
      <c r="A330" s="9"/>
      <c r="B330" s="10"/>
      <c r="C330" s="11"/>
      <c r="D330" s="11"/>
      <c r="E330" s="11"/>
      <c r="F330" s="11"/>
      <c r="G330" s="12"/>
      <c r="H330" s="12"/>
      <c r="I330" s="10"/>
      <c r="J330" s="12"/>
      <c r="K330" s="13" t="str">
        <f aca="false">IF(ISNUMBER(B330),YEAR(B330),"")</f>
        <v/>
      </c>
      <c r="L330" s="13" t="str">
        <f aca="false">IF(ISNUMBER(B330),MONTH(B330),"")</f>
        <v/>
      </c>
      <c r="M330" s="13" t="str">
        <f aca="false">IF(AND(ISNUMBER(B330),ISNUMBER(I330)),B330-I330+1,"")</f>
        <v/>
      </c>
      <c r="N330" s="14" t="str">
        <f aca="false">IF(B330="","",IF(M330="","시작일 미입력",IF(M330&lt;1,"시작일 이전(확인)",IF(M330=1,"1일째",IF(M330=2,"2일째",IF(M330=3,"3일째",IF(M330&lt;=7,"일주일 이내",IF(M330&lt;=14,"이주일 이내","15일 이후"))))))))</f>
        <v/>
      </c>
      <c r="O330" s="0" t="str">
        <f aca="false">IF(AND(COUNTA($A330:$J330)&gt;0,OR(클레임조회!$C$4="",AND(ISNUMBER($B330),$B330&gt;=클레임조회!$C$4)),OR(클레임조회!$C$5="",AND(ISNUMBER($B330),$B330&lt;=클레임조회!$C$5)),OR(클레임조회!$C$6="",$C330=클레임조회!$C$6),OR(클레임조회!$C$7="",$D330=클레임조회!$C$7),OR(클레임조회!$C$8="",$E330=클레임조회!$C$8),OR(클레임조회!$C$9="",$F330=클레임조회!$C$9),OR(클레임조회!$C$10="",ISNUMBER(SEARCH(클레임조회!$C$10,$C330&amp;" "&amp;$F330&amp;" "&amp;$G330&amp;" "&amp;$H330)))),COUNT(O$1:O329)+1,"")</f>
        <v/>
      </c>
      <c r="P330" s="0" t="str">
        <f aca="false">IF(AND(TRIM(C330)&lt;&gt;"",COUNTIF(C$2:C330,C330)=1),MAX(P$1:P329)+1,"")</f>
        <v/>
      </c>
      <c r="Q330" s="0" t="str">
        <f aca="false">IF(AND(TRIM(F330)&lt;&gt;"",COUNTIF(F$2:F330,F330)=1),MAX(Q$1:Q329)+1,"")</f>
        <v/>
      </c>
    </row>
    <row r="331" customFormat="false" ht="15" hidden="false" customHeight="false" outlineLevel="0" collapsed="false">
      <c r="A331" s="9"/>
      <c r="B331" s="10"/>
      <c r="C331" s="11"/>
      <c r="D331" s="11"/>
      <c r="E331" s="11"/>
      <c r="F331" s="11"/>
      <c r="G331" s="12"/>
      <c r="H331" s="12"/>
      <c r="I331" s="10"/>
      <c r="J331" s="12"/>
      <c r="K331" s="13" t="str">
        <f aca="false">IF(ISNUMBER(B331),YEAR(B331),"")</f>
        <v/>
      </c>
      <c r="L331" s="13" t="str">
        <f aca="false">IF(ISNUMBER(B331),MONTH(B331),"")</f>
        <v/>
      </c>
      <c r="M331" s="13" t="str">
        <f aca="false">IF(AND(ISNUMBER(B331),ISNUMBER(I331)),B331-I331+1,"")</f>
        <v/>
      </c>
      <c r="N331" s="14" t="str">
        <f aca="false">IF(B331="","",IF(M331="","시작일 미입력",IF(M331&lt;1,"시작일 이전(확인)",IF(M331=1,"1일째",IF(M331=2,"2일째",IF(M331=3,"3일째",IF(M331&lt;=7,"일주일 이내",IF(M331&lt;=14,"이주일 이내","15일 이후"))))))))</f>
        <v/>
      </c>
      <c r="O331" s="0" t="str">
        <f aca="false">IF(AND(COUNTA($A331:$J331)&gt;0,OR(클레임조회!$C$4="",AND(ISNUMBER($B331),$B331&gt;=클레임조회!$C$4)),OR(클레임조회!$C$5="",AND(ISNUMBER($B331),$B331&lt;=클레임조회!$C$5)),OR(클레임조회!$C$6="",$C331=클레임조회!$C$6),OR(클레임조회!$C$7="",$D331=클레임조회!$C$7),OR(클레임조회!$C$8="",$E331=클레임조회!$C$8),OR(클레임조회!$C$9="",$F331=클레임조회!$C$9),OR(클레임조회!$C$10="",ISNUMBER(SEARCH(클레임조회!$C$10,$C331&amp;" "&amp;$F331&amp;" "&amp;$G331&amp;" "&amp;$H331)))),COUNT(O$1:O330)+1,"")</f>
        <v/>
      </c>
      <c r="P331" s="0" t="str">
        <f aca="false">IF(AND(TRIM(C331)&lt;&gt;"",COUNTIF(C$2:C331,C331)=1),MAX(P$1:P330)+1,"")</f>
        <v/>
      </c>
      <c r="Q331" s="0" t="str">
        <f aca="false">IF(AND(TRIM(F331)&lt;&gt;"",COUNTIF(F$2:F331,F331)=1),MAX(Q$1:Q330)+1,"")</f>
        <v/>
      </c>
    </row>
    <row r="332" customFormat="false" ht="15" hidden="false" customHeight="false" outlineLevel="0" collapsed="false">
      <c r="A332" s="9"/>
      <c r="B332" s="10"/>
      <c r="C332" s="11"/>
      <c r="D332" s="11"/>
      <c r="E332" s="11"/>
      <c r="F332" s="11"/>
      <c r="G332" s="12"/>
      <c r="H332" s="12"/>
      <c r="I332" s="10"/>
      <c r="J332" s="12"/>
      <c r="K332" s="13" t="str">
        <f aca="false">IF(ISNUMBER(B332),YEAR(B332),"")</f>
        <v/>
      </c>
      <c r="L332" s="13" t="str">
        <f aca="false">IF(ISNUMBER(B332),MONTH(B332),"")</f>
        <v/>
      </c>
      <c r="M332" s="13" t="str">
        <f aca="false">IF(AND(ISNUMBER(B332),ISNUMBER(I332)),B332-I332+1,"")</f>
        <v/>
      </c>
      <c r="N332" s="14" t="str">
        <f aca="false">IF(B332="","",IF(M332="","시작일 미입력",IF(M332&lt;1,"시작일 이전(확인)",IF(M332=1,"1일째",IF(M332=2,"2일째",IF(M332=3,"3일째",IF(M332&lt;=7,"일주일 이내",IF(M332&lt;=14,"이주일 이내","15일 이후"))))))))</f>
        <v/>
      </c>
      <c r="O332" s="0" t="str">
        <f aca="false">IF(AND(COUNTA($A332:$J332)&gt;0,OR(클레임조회!$C$4="",AND(ISNUMBER($B332),$B332&gt;=클레임조회!$C$4)),OR(클레임조회!$C$5="",AND(ISNUMBER($B332),$B332&lt;=클레임조회!$C$5)),OR(클레임조회!$C$6="",$C332=클레임조회!$C$6),OR(클레임조회!$C$7="",$D332=클레임조회!$C$7),OR(클레임조회!$C$8="",$E332=클레임조회!$C$8),OR(클레임조회!$C$9="",$F332=클레임조회!$C$9),OR(클레임조회!$C$10="",ISNUMBER(SEARCH(클레임조회!$C$10,$C332&amp;" "&amp;$F332&amp;" "&amp;$G332&amp;" "&amp;$H332)))),COUNT(O$1:O331)+1,"")</f>
        <v/>
      </c>
      <c r="P332" s="0" t="str">
        <f aca="false">IF(AND(TRIM(C332)&lt;&gt;"",COUNTIF(C$2:C332,C332)=1),MAX(P$1:P331)+1,"")</f>
        <v/>
      </c>
      <c r="Q332" s="0" t="str">
        <f aca="false">IF(AND(TRIM(F332)&lt;&gt;"",COUNTIF(F$2:F332,F332)=1),MAX(Q$1:Q331)+1,"")</f>
        <v/>
      </c>
    </row>
    <row r="333" customFormat="false" ht="15" hidden="false" customHeight="false" outlineLevel="0" collapsed="false">
      <c r="A333" s="9"/>
      <c r="B333" s="10"/>
      <c r="C333" s="11"/>
      <c r="D333" s="11"/>
      <c r="E333" s="11"/>
      <c r="F333" s="11"/>
      <c r="G333" s="12"/>
      <c r="H333" s="12"/>
      <c r="I333" s="10"/>
      <c r="J333" s="12"/>
      <c r="K333" s="13" t="str">
        <f aca="false">IF(ISNUMBER(B333),YEAR(B333),"")</f>
        <v/>
      </c>
      <c r="L333" s="13" t="str">
        <f aca="false">IF(ISNUMBER(B333),MONTH(B333),"")</f>
        <v/>
      </c>
      <c r="M333" s="13" t="str">
        <f aca="false">IF(AND(ISNUMBER(B333),ISNUMBER(I333)),B333-I333+1,"")</f>
        <v/>
      </c>
      <c r="N333" s="14" t="str">
        <f aca="false">IF(B333="","",IF(M333="","시작일 미입력",IF(M333&lt;1,"시작일 이전(확인)",IF(M333=1,"1일째",IF(M333=2,"2일째",IF(M333=3,"3일째",IF(M333&lt;=7,"일주일 이내",IF(M333&lt;=14,"이주일 이내","15일 이후"))))))))</f>
        <v/>
      </c>
      <c r="O333" s="0" t="str">
        <f aca="false">IF(AND(COUNTA($A333:$J333)&gt;0,OR(클레임조회!$C$4="",AND(ISNUMBER($B333),$B333&gt;=클레임조회!$C$4)),OR(클레임조회!$C$5="",AND(ISNUMBER($B333),$B333&lt;=클레임조회!$C$5)),OR(클레임조회!$C$6="",$C333=클레임조회!$C$6),OR(클레임조회!$C$7="",$D333=클레임조회!$C$7),OR(클레임조회!$C$8="",$E333=클레임조회!$C$8),OR(클레임조회!$C$9="",$F333=클레임조회!$C$9),OR(클레임조회!$C$10="",ISNUMBER(SEARCH(클레임조회!$C$10,$C333&amp;" "&amp;$F333&amp;" "&amp;$G333&amp;" "&amp;$H333)))),COUNT(O$1:O332)+1,"")</f>
        <v/>
      </c>
      <c r="P333" s="0" t="str">
        <f aca="false">IF(AND(TRIM(C333)&lt;&gt;"",COUNTIF(C$2:C333,C333)=1),MAX(P$1:P332)+1,"")</f>
        <v/>
      </c>
      <c r="Q333" s="0" t="str">
        <f aca="false">IF(AND(TRIM(F333)&lt;&gt;"",COUNTIF(F$2:F333,F333)=1),MAX(Q$1:Q332)+1,"")</f>
        <v/>
      </c>
    </row>
    <row r="334" customFormat="false" ht="15" hidden="false" customHeight="false" outlineLevel="0" collapsed="false">
      <c r="A334" s="9"/>
      <c r="B334" s="10"/>
      <c r="C334" s="11"/>
      <c r="D334" s="11"/>
      <c r="E334" s="11"/>
      <c r="F334" s="11"/>
      <c r="G334" s="12"/>
      <c r="H334" s="12"/>
      <c r="I334" s="10"/>
      <c r="J334" s="12"/>
      <c r="K334" s="13" t="str">
        <f aca="false">IF(ISNUMBER(B334),YEAR(B334),"")</f>
        <v/>
      </c>
      <c r="L334" s="13" t="str">
        <f aca="false">IF(ISNUMBER(B334),MONTH(B334),"")</f>
        <v/>
      </c>
      <c r="M334" s="13" t="str">
        <f aca="false">IF(AND(ISNUMBER(B334),ISNUMBER(I334)),B334-I334+1,"")</f>
        <v/>
      </c>
      <c r="N334" s="14" t="str">
        <f aca="false">IF(B334="","",IF(M334="","시작일 미입력",IF(M334&lt;1,"시작일 이전(확인)",IF(M334=1,"1일째",IF(M334=2,"2일째",IF(M334=3,"3일째",IF(M334&lt;=7,"일주일 이내",IF(M334&lt;=14,"이주일 이내","15일 이후"))))))))</f>
        <v/>
      </c>
      <c r="O334" s="0" t="str">
        <f aca="false">IF(AND(COUNTA($A334:$J334)&gt;0,OR(클레임조회!$C$4="",AND(ISNUMBER($B334),$B334&gt;=클레임조회!$C$4)),OR(클레임조회!$C$5="",AND(ISNUMBER($B334),$B334&lt;=클레임조회!$C$5)),OR(클레임조회!$C$6="",$C334=클레임조회!$C$6),OR(클레임조회!$C$7="",$D334=클레임조회!$C$7),OR(클레임조회!$C$8="",$E334=클레임조회!$C$8),OR(클레임조회!$C$9="",$F334=클레임조회!$C$9),OR(클레임조회!$C$10="",ISNUMBER(SEARCH(클레임조회!$C$10,$C334&amp;" "&amp;$F334&amp;" "&amp;$G334&amp;" "&amp;$H334)))),COUNT(O$1:O333)+1,"")</f>
        <v/>
      </c>
      <c r="P334" s="0" t="str">
        <f aca="false">IF(AND(TRIM(C334)&lt;&gt;"",COUNTIF(C$2:C334,C334)=1),MAX(P$1:P333)+1,"")</f>
        <v/>
      </c>
      <c r="Q334" s="0" t="str">
        <f aca="false">IF(AND(TRIM(F334)&lt;&gt;"",COUNTIF(F$2:F334,F334)=1),MAX(Q$1:Q333)+1,"")</f>
        <v/>
      </c>
    </row>
    <row r="335" customFormat="false" ht="15" hidden="false" customHeight="false" outlineLevel="0" collapsed="false">
      <c r="A335" s="9"/>
      <c r="B335" s="10"/>
      <c r="C335" s="11"/>
      <c r="D335" s="11"/>
      <c r="E335" s="11"/>
      <c r="F335" s="11"/>
      <c r="G335" s="12"/>
      <c r="H335" s="12"/>
      <c r="I335" s="10"/>
      <c r="J335" s="12"/>
      <c r="K335" s="13" t="str">
        <f aca="false">IF(ISNUMBER(B335),YEAR(B335),"")</f>
        <v/>
      </c>
      <c r="L335" s="13" t="str">
        <f aca="false">IF(ISNUMBER(B335),MONTH(B335),"")</f>
        <v/>
      </c>
      <c r="M335" s="13" t="str">
        <f aca="false">IF(AND(ISNUMBER(B335),ISNUMBER(I335)),B335-I335+1,"")</f>
        <v/>
      </c>
      <c r="N335" s="14" t="str">
        <f aca="false">IF(B335="","",IF(M335="","시작일 미입력",IF(M335&lt;1,"시작일 이전(확인)",IF(M335=1,"1일째",IF(M335=2,"2일째",IF(M335=3,"3일째",IF(M335&lt;=7,"일주일 이내",IF(M335&lt;=14,"이주일 이내","15일 이후"))))))))</f>
        <v/>
      </c>
      <c r="O335" s="0" t="str">
        <f aca="false">IF(AND(COUNTA($A335:$J335)&gt;0,OR(클레임조회!$C$4="",AND(ISNUMBER($B335),$B335&gt;=클레임조회!$C$4)),OR(클레임조회!$C$5="",AND(ISNUMBER($B335),$B335&lt;=클레임조회!$C$5)),OR(클레임조회!$C$6="",$C335=클레임조회!$C$6),OR(클레임조회!$C$7="",$D335=클레임조회!$C$7),OR(클레임조회!$C$8="",$E335=클레임조회!$C$8),OR(클레임조회!$C$9="",$F335=클레임조회!$C$9),OR(클레임조회!$C$10="",ISNUMBER(SEARCH(클레임조회!$C$10,$C335&amp;" "&amp;$F335&amp;" "&amp;$G335&amp;" "&amp;$H335)))),COUNT(O$1:O334)+1,"")</f>
        <v/>
      </c>
      <c r="P335" s="0" t="str">
        <f aca="false">IF(AND(TRIM(C335)&lt;&gt;"",COUNTIF(C$2:C335,C335)=1),MAX(P$1:P334)+1,"")</f>
        <v/>
      </c>
      <c r="Q335" s="0" t="str">
        <f aca="false">IF(AND(TRIM(F335)&lt;&gt;"",COUNTIF(F$2:F335,F335)=1),MAX(Q$1:Q334)+1,"")</f>
        <v/>
      </c>
    </row>
    <row r="336" customFormat="false" ht="15" hidden="false" customHeight="false" outlineLevel="0" collapsed="false">
      <c r="A336" s="9"/>
      <c r="B336" s="10"/>
      <c r="C336" s="11"/>
      <c r="D336" s="11"/>
      <c r="E336" s="11"/>
      <c r="F336" s="11"/>
      <c r="G336" s="12"/>
      <c r="H336" s="12"/>
      <c r="I336" s="10"/>
      <c r="J336" s="12"/>
      <c r="K336" s="13" t="str">
        <f aca="false">IF(ISNUMBER(B336),YEAR(B336),"")</f>
        <v/>
      </c>
      <c r="L336" s="13" t="str">
        <f aca="false">IF(ISNUMBER(B336),MONTH(B336),"")</f>
        <v/>
      </c>
      <c r="M336" s="13" t="str">
        <f aca="false">IF(AND(ISNUMBER(B336),ISNUMBER(I336)),B336-I336+1,"")</f>
        <v/>
      </c>
      <c r="N336" s="14" t="str">
        <f aca="false">IF(B336="","",IF(M336="","시작일 미입력",IF(M336&lt;1,"시작일 이전(확인)",IF(M336=1,"1일째",IF(M336=2,"2일째",IF(M336=3,"3일째",IF(M336&lt;=7,"일주일 이내",IF(M336&lt;=14,"이주일 이내","15일 이후"))))))))</f>
        <v/>
      </c>
      <c r="O336" s="0" t="str">
        <f aca="false">IF(AND(COUNTA($A336:$J336)&gt;0,OR(클레임조회!$C$4="",AND(ISNUMBER($B336),$B336&gt;=클레임조회!$C$4)),OR(클레임조회!$C$5="",AND(ISNUMBER($B336),$B336&lt;=클레임조회!$C$5)),OR(클레임조회!$C$6="",$C336=클레임조회!$C$6),OR(클레임조회!$C$7="",$D336=클레임조회!$C$7),OR(클레임조회!$C$8="",$E336=클레임조회!$C$8),OR(클레임조회!$C$9="",$F336=클레임조회!$C$9),OR(클레임조회!$C$10="",ISNUMBER(SEARCH(클레임조회!$C$10,$C336&amp;" "&amp;$F336&amp;" "&amp;$G336&amp;" "&amp;$H336)))),COUNT(O$1:O335)+1,"")</f>
        <v/>
      </c>
      <c r="P336" s="0" t="str">
        <f aca="false">IF(AND(TRIM(C336)&lt;&gt;"",COUNTIF(C$2:C336,C336)=1),MAX(P$1:P335)+1,"")</f>
        <v/>
      </c>
      <c r="Q336" s="0" t="str">
        <f aca="false">IF(AND(TRIM(F336)&lt;&gt;"",COUNTIF(F$2:F336,F336)=1),MAX(Q$1:Q335)+1,"")</f>
        <v/>
      </c>
    </row>
    <row r="337" customFormat="false" ht="15" hidden="false" customHeight="false" outlineLevel="0" collapsed="false">
      <c r="A337" s="9"/>
      <c r="B337" s="10"/>
      <c r="C337" s="11"/>
      <c r="D337" s="11"/>
      <c r="E337" s="11"/>
      <c r="F337" s="11"/>
      <c r="G337" s="12"/>
      <c r="H337" s="12"/>
      <c r="I337" s="10"/>
      <c r="J337" s="12"/>
      <c r="K337" s="13" t="str">
        <f aca="false">IF(ISNUMBER(B337),YEAR(B337),"")</f>
        <v/>
      </c>
      <c r="L337" s="13" t="str">
        <f aca="false">IF(ISNUMBER(B337),MONTH(B337),"")</f>
        <v/>
      </c>
      <c r="M337" s="13" t="str">
        <f aca="false">IF(AND(ISNUMBER(B337),ISNUMBER(I337)),B337-I337+1,"")</f>
        <v/>
      </c>
      <c r="N337" s="14" t="str">
        <f aca="false">IF(B337="","",IF(M337="","시작일 미입력",IF(M337&lt;1,"시작일 이전(확인)",IF(M337=1,"1일째",IF(M337=2,"2일째",IF(M337=3,"3일째",IF(M337&lt;=7,"일주일 이내",IF(M337&lt;=14,"이주일 이내","15일 이후"))))))))</f>
        <v/>
      </c>
      <c r="O337" s="0" t="str">
        <f aca="false">IF(AND(COUNTA($A337:$J337)&gt;0,OR(클레임조회!$C$4="",AND(ISNUMBER($B337),$B337&gt;=클레임조회!$C$4)),OR(클레임조회!$C$5="",AND(ISNUMBER($B337),$B337&lt;=클레임조회!$C$5)),OR(클레임조회!$C$6="",$C337=클레임조회!$C$6),OR(클레임조회!$C$7="",$D337=클레임조회!$C$7),OR(클레임조회!$C$8="",$E337=클레임조회!$C$8),OR(클레임조회!$C$9="",$F337=클레임조회!$C$9),OR(클레임조회!$C$10="",ISNUMBER(SEARCH(클레임조회!$C$10,$C337&amp;" "&amp;$F337&amp;" "&amp;$G337&amp;" "&amp;$H337)))),COUNT(O$1:O336)+1,"")</f>
        <v/>
      </c>
      <c r="P337" s="0" t="str">
        <f aca="false">IF(AND(TRIM(C337)&lt;&gt;"",COUNTIF(C$2:C337,C337)=1),MAX(P$1:P336)+1,"")</f>
        <v/>
      </c>
      <c r="Q337" s="0" t="str">
        <f aca="false">IF(AND(TRIM(F337)&lt;&gt;"",COUNTIF(F$2:F337,F337)=1),MAX(Q$1:Q336)+1,"")</f>
        <v/>
      </c>
    </row>
    <row r="338" customFormat="false" ht="15" hidden="false" customHeight="false" outlineLevel="0" collapsed="false">
      <c r="A338" s="9"/>
      <c r="B338" s="10"/>
      <c r="C338" s="11"/>
      <c r="D338" s="11"/>
      <c r="E338" s="11"/>
      <c r="F338" s="11"/>
      <c r="G338" s="12"/>
      <c r="H338" s="12"/>
      <c r="I338" s="10"/>
      <c r="J338" s="12"/>
      <c r="K338" s="13" t="str">
        <f aca="false">IF(ISNUMBER(B338),YEAR(B338),"")</f>
        <v/>
      </c>
      <c r="L338" s="13" t="str">
        <f aca="false">IF(ISNUMBER(B338),MONTH(B338),"")</f>
        <v/>
      </c>
      <c r="M338" s="13" t="str">
        <f aca="false">IF(AND(ISNUMBER(B338),ISNUMBER(I338)),B338-I338+1,"")</f>
        <v/>
      </c>
      <c r="N338" s="14" t="str">
        <f aca="false">IF(B338="","",IF(M338="","시작일 미입력",IF(M338&lt;1,"시작일 이전(확인)",IF(M338=1,"1일째",IF(M338=2,"2일째",IF(M338=3,"3일째",IF(M338&lt;=7,"일주일 이내",IF(M338&lt;=14,"이주일 이내","15일 이후"))))))))</f>
        <v/>
      </c>
      <c r="O338" s="0" t="str">
        <f aca="false">IF(AND(COUNTA($A338:$J338)&gt;0,OR(클레임조회!$C$4="",AND(ISNUMBER($B338),$B338&gt;=클레임조회!$C$4)),OR(클레임조회!$C$5="",AND(ISNUMBER($B338),$B338&lt;=클레임조회!$C$5)),OR(클레임조회!$C$6="",$C338=클레임조회!$C$6),OR(클레임조회!$C$7="",$D338=클레임조회!$C$7),OR(클레임조회!$C$8="",$E338=클레임조회!$C$8),OR(클레임조회!$C$9="",$F338=클레임조회!$C$9),OR(클레임조회!$C$10="",ISNUMBER(SEARCH(클레임조회!$C$10,$C338&amp;" "&amp;$F338&amp;" "&amp;$G338&amp;" "&amp;$H338)))),COUNT(O$1:O337)+1,"")</f>
        <v/>
      </c>
      <c r="P338" s="0" t="str">
        <f aca="false">IF(AND(TRIM(C338)&lt;&gt;"",COUNTIF(C$2:C338,C338)=1),MAX(P$1:P337)+1,"")</f>
        <v/>
      </c>
      <c r="Q338" s="0" t="str">
        <f aca="false">IF(AND(TRIM(F338)&lt;&gt;"",COUNTIF(F$2:F338,F338)=1),MAX(Q$1:Q337)+1,"")</f>
        <v/>
      </c>
    </row>
    <row r="339" customFormat="false" ht="15" hidden="false" customHeight="false" outlineLevel="0" collapsed="false">
      <c r="A339" s="9"/>
      <c r="B339" s="10"/>
      <c r="C339" s="11"/>
      <c r="D339" s="11"/>
      <c r="E339" s="11"/>
      <c r="F339" s="11"/>
      <c r="G339" s="12"/>
      <c r="H339" s="12"/>
      <c r="I339" s="10"/>
      <c r="J339" s="12"/>
      <c r="K339" s="13" t="str">
        <f aca="false">IF(ISNUMBER(B339),YEAR(B339),"")</f>
        <v/>
      </c>
      <c r="L339" s="13" t="str">
        <f aca="false">IF(ISNUMBER(B339),MONTH(B339),"")</f>
        <v/>
      </c>
      <c r="M339" s="13" t="str">
        <f aca="false">IF(AND(ISNUMBER(B339),ISNUMBER(I339)),B339-I339+1,"")</f>
        <v/>
      </c>
      <c r="N339" s="14" t="str">
        <f aca="false">IF(B339="","",IF(M339="","시작일 미입력",IF(M339&lt;1,"시작일 이전(확인)",IF(M339=1,"1일째",IF(M339=2,"2일째",IF(M339=3,"3일째",IF(M339&lt;=7,"일주일 이내",IF(M339&lt;=14,"이주일 이내","15일 이후"))))))))</f>
        <v/>
      </c>
      <c r="O339" s="0" t="str">
        <f aca="false">IF(AND(COUNTA($A339:$J339)&gt;0,OR(클레임조회!$C$4="",AND(ISNUMBER($B339),$B339&gt;=클레임조회!$C$4)),OR(클레임조회!$C$5="",AND(ISNUMBER($B339),$B339&lt;=클레임조회!$C$5)),OR(클레임조회!$C$6="",$C339=클레임조회!$C$6),OR(클레임조회!$C$7="",$D339=클레임조회!$C$7),OR(클레임조회!$C$8="",$E339=클레임조회!$C$8),OR(클레임조회!$C$9="",$F339=클레임조회!$C$9),OR(클레임조회!$C$10="",ISNUMBER(SEARCH(클레임조회!$C$10,$C339&amp;" "&amp;$F339&amp;" "&amp;$G339&amp;" "&amp;$H339)))),COUNT(O$1:O338)+1,"")</f>
        <v/>
      </c>
      <c r="P339" s="0" t="str">
        <f aca="false">IF(AND(TRIM(C339)&lt;&gt;"",COUNTIF(C$2:C339,C339)=1),MAX(P$1:P338)+1,"")</f>
        <v/>
      </c>
      <c r="Q339" s="0" t="str">
        <f aca="false">IF(AND(TRIM(F339)&lt;&gt;"",COUNTIF(F$2:F339,F339)=1),MAX(Q$1:Q338)+1,"")</f>
        <v/>
      </c>
    </row>
    <row r="340" customFormat="false" ht="15" hidden="false" customHeight="false" outlineLevel="0" collapsed="false">
      <c r="A340" s="9"/>
      <c r="B340" s="10"/>
      <c r="C340" s="11"/>
      <c r="D340" s="11"/>
      <c r="E340" s="11"/>
      <c r="F340" s="11"/>
      <c r="G340" s="12"/>
      <c r="H340" s="12"/>
      <c r="I340" s="10"/>
      <c r="J340" s="12"/>
      <c r="K340" s="13" t="str">
        <f aca="false">IF(ISNUMBER(B340),YEAR(B340),"")</f>
        <v/>
      </c>
      <c r="L340" s="13" t="str">
        <f aca="false">IF(ISNUMBER(B340),MONTH(B340),"")</f>
        <v/>
      </c>
      <c r="M340" s="13" t="str">
        <f aca="false">IF(AND(ISNUMBER(B340),ISNUMBER(I340)),B340-I340+1,"")</f>
        <v/>
      </c>
      <c r="N340" s="14" t="str">
        <f aca="false">IF(B340="","",IF(M340="","시작일 미입력",IF(M340&lt;1,"시작일 이전(확인)",IF(M340=1,"1일째",IF(M340=2,"2일째",IF(M340=3,"3일째",IF(M340&lt;=7,"일주일 이내",IF(M340&lt;=14,"이주일 이내","15일 이후"))))))))</f>
        <v/>
      </c>
      <c r="O340" s="0" t="str">
        <f aca="false">IF(AND(COUNTA($A340:$J340)&gt;0,OR(클레임조회!$C$4="",AND(ISNUMBER($B340),$B340&gt;=클레임조회!$C$4)),OR(클레임조회!$C$5="",AND(ISNUMBER($B340),$B340&lt;=클레임조회!$C$5)),OR(클레임조회!$C$6="",$C340=클레임조회!$C$6),OR(클레임조회!$C$7="",$D340=클레임조회!$C$7),OR(클레임조회!$C$8="",$E340=클레임조회!$C$8),OR(클레임조회!$C$9="",$F340=클레임조회!$C$9),OR(클레임조회!$C$10="",ISNUMBER(SEARCH(클레임조회!$C$10,$C340&amp;" "&amp;$F340&amp;" "&amp;$G340&amp;" "&amp;$H340)))),COUNT(O$1:O339)+1,"")</f>
        <v/>
      </c>
      <c r="P340" s="0" t="str">
        <f aca="false">IF(AND(TRIM(C340)&lt;&gt;"",COUNTIF(C$2:C340,C340)=1),MAX(P$1:P339)+1,"")</f>
        <v/>
      </c>
      <c r="Q340" s="0" t="str">
        <f aca="false">IF(AND(TRIM(F340)&lt;&gt;"",COUNTIF(F$2:F340,F340)=1),MAX(Q$1:Q339)+1,"")</f>
        <v/>
      </c>
    </row>
    <row r="341" customFormat="false" ht="15" hidden="false" customHeight="false" outlineLevel="0" collapsed="false">
      <c r="A341" s="9"/>
      <c r="B341" s="10"/>
      <c r="C341" s="11"/>
      <c r="D341" s="11"/>
      <c r="E341" s="11"/>
      <c r="F341" s="11"/>
      <c r="G341" s="12"/>
      <c r="H341" s="12"/>
      <c r="I341" s="10"/>
      <c r="J341" s="12"/>
      <c r="K341" s="13" t="str">
        <f aca="false">IF(ISNUMBER(B341),YEAR(B341),"")</f>
        <v/>
      </c>
      <c r="L341" s="13" t="str">
        <f aca="false">IF(ISNUMBER(B341),MONTH(B341),"")</f>
        <v/>
      </c>
      <c r="M341" s="13" t="str">
        <f aca="false">IF(AND(ISNUMBER(B341),ISNUMBER(I341)),B341-I341+1,"")</f>
        <v/>
      </c>
      <c r="N341" s="14" t="str">
        <f aca="false">IF(B341="","",IF(M341="","시작일 미입력",IF(M341&lt;1,"시작일 이전(확인)",IF(M341=1,"1일째",IF(M341=2,"2일째",IF(M341=3,"3일째",IF(M341&lt;=7,"일주일 이내",IF(M341&lt;=14,"이주일 이내","15일 이후"))))))))</f>
        <v/>
      </c>
      <c r="O341" s="0" t="str">
        <f aca="false">IF(AND(COUNTA($A341:$J341)&gt;0,OR(클레임조회!$C$4="",AND(ISNUMBER($B341),$B341&gt;=클레임조회!$C$4)),OR(클레임조회!$C$5="",AND(ISNUMBER($B341),$B341&lt;=클레임조회!$C$5)),OR(클레임조회!$C$6="",$C341=클레임조회!$C$6),OR(클레임조회!$C$7="",$D341=클레임조회!$C$7),OR(클레임조회!$C$8="",$E341=클레임조회!$C$8),OR(클레임조회!$C$9="",$F341=클레임조회!$C$9),OR(클레임조회!$C$10="",ISNUMBER(SEARCH(클레임조회!$C$10,$C341&amp;" "&amp;$F341&amp;" "&amp;$G341&amp;" "&amp;$H341)))),COUNT(O$1:O340)+1,"")</f>
        <v/>
      </c>
      <c r="P341" s="0" t="str">
        <f aca="false">IF(AND(TRIM(C341)&lt;&gt;"",COUNTIF(C$2:C341,C341)=1),MAX(P$1:P340)+1,"")</f>
        <v/>
      </c>
      <c r="Q341" s="0" t="str">
        <f aca="false">IF(AND(TRIM(F341)&lt;&gt;"",COUNTIF(F$2:F341,F341)=1),MAX(Q$1:Q340)+1,"")</f>
        <v/>
      </c>
    </row>
    <row r="342" customFormat="false" ht="15" hidden="false" customHeight="false" outlineLevel="0" collapsed="false">
      <c r="A342" s="9"/>
      <c r="B342" s="10"/>
      <c r="C342" s="11"/>
      <c r="D342" s="11"/>
      <c r="E342" s="11"/>
      <c r="F342" s="11"/>
      <c r="G342" s="12"/>
      <c r="H342" s="12"/>
      <c r="I342" s="10"/>
      <c r="J342" s="12"/>
      <c r="K342" s="13" t="str">
        <f aca="false">IF(ISNUMBER(B342),YEAR(B342),"")</f>
        <v/>
      </c>
      <c r="L342" s="13" t="str">
        <f aca="false">IF(ISNUMBER(B342),MONTH(B342),"")</f>
        <v/>
      </c>
      <c r="M342" s="13" t="str">
        <f aca="false">IF(AND(ISNUMBER(B342),ISNUMBER(I342)),B342-I342+1,"")</f>
        <v/>
      </c>
      <c r="N342" s="14" t="str">
        <f aca="false">IF(B342="","",IF(M342="","시작일 미입력",IF(M342&lt;1,"시작일 이전(확인)",IF(M342=1,"1일째",IF(M342=2,"2일째",IF(M342=3,"3일째",IF(M342&lt;=7,"일주일 이내",IF(M342&lt;=14,"이주일 이내","15일 이후"))))))))</f>
        <v/>
      </c>
      <c r="O342" s="0" t="str">
        <f aca="false">IF(AND(COUNTA($A342:$J342)&gt;0,OR(클레임조회!$C$4="",AND(ISNUMBER($B342),$B342&gt;=클레임조회!$C$4)),OR(클레임조회!$C$5="",AND(ISNUMBER($B342),$B342&lt;=클레임조회!$C$5)),OR(클레임조회!$C$6="",$C342=클레임조회!$C$6),OR(클레임조회!$C$7="",$D342=클레임조회!$C$7),OR(클레임조회!$C$8="",$E342=클레임조회!$C$8),OR(클레임조회!$C$9="",$F342=클레임조회!$C$9),OR(클레임조회!$C$10="",ISNUMBER(SEARCH(클레임조회!$C$10,$C342&amp;" "&amp;$F342&amp;" "&amp;$G342&amp;" "&amp;$H342)))),COUNT(O$1:O341)+1,"")</f>
        <v/>
      </c>
      <c r="P342" s="0" t="str">
        <f aca="false">IF(AND(TRIM(C342)&lt;&gt;"",COUNTIF(C$2:C342,C342)=1),MAX(P$1:P341)+1,"")</f>
        <v/>
      </c>
      <c r="Q342" s="0" t="str">
        <f aca="false">IF(AND(TRIM(F342)&lt;&gt;"",COUNTIF(F$2:F342,F342)=1),MAX(Q$1:Q341)+1,"")</f>
        <v/>
      </c>
    </row>
    <row r="343" customFormat="false" ht="15" hidden="false" customHeight="false" outlineLevel="0" collapsed="false">
      <c r="A343" s="9"/>
      <c r="B343" s="10"/>
      <c r="C343" s="11"/>
      <c r="D343" s="11"/>
      <c r="E343" s="11"/>
      <c r="F343" s="11"/>
      <c r="G343" s="12"/>
      <c r="H343" s="12"/>
      <c r="I343" s="10"/>
      <c r="J343" s="12"/>
      <c r="K343" s="13" t="str">
        <f aca="false">IF(ISNUMBER(B343),YEAR(B343),"")</f>
        <v/>
      </c>
      <c r="L343" s="13" t="str">
        <f aca="false">IF(ISNUMBER(B343),MONTH(B343),"")</f>
        <v/>
      </c>
      <c r="M343" s="13" t="str">
        <f aca="false">IF(AND(ISNUMBER(B343),ISNUMBER(I343)),B343-I343+1,"")</f>
        <v/>
      </c>
      <c r="N343" s="14" t="str">
        <f aca="false">IF(B343="","",IF(M343="","시작일 미입력",IF(M343&lt;1,"시작일 이전(확인)",IF(M343=1,"1일째",IF(M343=2,"2일째",IF(M343=3,"3일째",IF(M343&lt;=7,"일주일 이내",IF(M343&lt;=14,"이주일 이내","15일 이후"))))))))</f>
        <v/>
      </c>
      <c r="O343" s="0" t="str">
        <f aca="false">IF(AND(COUNTA($A343:$J343)&gt;0,OR(클레임조회!$C$4="",AND(ISNUMBER($B343),$B343&gt;=클레임조회!$C$4)),OR(클레임조회!$C$5="",AND(ISNUMBER($B343),$B343&lt;=클레임조회!$C$5)),OR(클레임조회!$C$6="",$C343=클레임조회!$C$6),OR(클레임조회!$C$7="",$D343=클레임조회!$C$7),OR(클레임조회!$C$8="",$E343=클레임조회!$C$8),OR(클레임조회!$C$9="",$F343=클레임조회!$C$9),OR(클레임조회!$C$10="",ISNUMBER(SEARCH(클레임조회!$C$10,$C343&amp;" "&amp;$F343&amp;" "&amp;$G343&amp;" "&amp;$H343)))),COUNT(O$1:O342)+1,"")</f>
        <v/>
      </c>
      <c r="P343" s="0" t="str">
        <f aca="false">IF(AND(TRIM(C343)&lt;&gt;"",COUNTIF(C$2:C343,C343)=1),MAX(P$1:P342)+1,"")</f>
        <v/>
      </c>
      <c r="Q343" s="0" t="str">
        <f aca="false">IF(AND(TRIM(F343)&lt;&gt;"",COUNTIF(F$2:F343,F343)=1),MAX(Q$1:Q342)+1,"")</f>
        <v/>
      </c>
    </row>
    <row r="344" customFormat="false" ht="15" hidden="false" customHeight="false" outlineLevel="0" collapsed="false">
      <c r="A344" s="9"/>
      <c r="B344" s="10"/>
      <c r="C344" s="11"/>
      <c r="D344" s="11"/>
      <c r="E344" s="11"/>
      <c r="F344" s="11"/>
      <c r="G344" s="12"/>
      <c r="H344" s="12"/>
      <c r="I344" s="10"/>
      <c r="J344" s="12"/>
      <c r="K344" s="13" t="str">
        <f aca="false">IF(ISNUMBER(B344),YEAR(B344),"")</f>
        <v/>
      </c>
      <c r="L344" s="13" t="str">
        <f aca="false">IF(ISNUMBER(B344),MONTH(B344),"")</f>
        <v/>
      </c>
      <c r="M344" s="13" t="str">
        <f aca="false">IF(AND(ISNUMBER(B344),ISNUMBER(I344)),B344-I344+1,"")</f>
        <v/>
      </c>
      <c r="N344" s="14" t="str">
        <f aca="false">IF(B344="","",IF(M344="","시작일 미입력",IF(M344&lt;1,"시작일 이전(확인)",IF(M344=1,"1일째",IF(M344=2,"2일째",IF(M344=3,"3일째",IF(M344&lt;=7,"일주일 이내",IF(M344&lt;=14,"이주일 이내","15일 이후"))))))))</f>
        <v/>
      </c>
      <c r="O344" s="0" t="str">
        <f aca="false">IF(AND(COUNTA($A344:$J344)&gt;0,OR(클레임조회!$C$4="",AND(ISNUMBER($B344),$B344&gt;=클레임조회!$C$4)),OR(클레임조회!$C$5="",AND(ISNUMBER($B344),$B344&lt;=클레임조회!$C$5)),OR(클레임조회!$C$6="",$C344=클레임조회!$C$6),OR(클레임조회!$C$7="",$D344=클레임조회!$C$7),OR(클레임조회!$C$8="",$E344=클레임조회!$C$8),OR(클레임조회!$C$9="",$F344=클레임조회!$C$9),OR(클레임조회!$C$10="",ISNUMBER(SEARCH(클레임조회!$C$10,$C344&amp;" "&amp;$F344&amp;" "&amp;$G344&amp;" "&amp;$H344)))),COUNT(O$1:O343)+1,"")</f>
        <v/>
      </c>
      <c r="P344" s="0" t="str">
        <f aca="false">IF(AND(TRIM(C344)&lt;&gt;"",COUNTIF(C$2:C344,C344)=1),MAX(P$1:P343)+1,"")</f>
        <v/>
      </c>
      <c r="Q344" s="0" t="str">
        <f aca="false">IF(AND(TRIM(F344)&lt;&gt;"",COUNTIF(F$2:F344,F344)=1),MAX(Q$1:Q343)+1,"")</f>
        <v/>
      </c>
    </row>
    <row r="345" customFormat="false" ht="15" hidden="false" customHeight="false" outlineLevel="0" collapsed="false">
      <c r="A345" s="9"/>
      <c r="B345" s="10"/>
      <c r="C345" s="11"/>
      <c r="D345" s="11"/>
      <c r="E345" s="11"/>
      <c r="F345" s="11"/>
      <c r="G345" s="12"/>
      <c r="H345" s="12"/>
      <c r="I345" s="10"/>
      <c r="J345" s="12"/>
      <c r="K345" s="13" t="str">
        <f aca="false">IF(ISNUMBER(B345),YEAR(B345),"")</f>
        <v/>
      </c>
      <c r="L345" s="13" t="str">
        <f aca="false">IF(ISNUMBER(B345),MONTH(B345),"")</f>
        <v/>
      </c>
      <c r="M345" s="13" t="str">
        <f aca="false">IF(AND(ISNUMBER(B345),ISNUMBER(I345)),B345-I345+1,"")</f>
        <v/>
      </c>
      <c r="N345" s="14" t="str">
        <f aca="false">IF(B345="","",IF(M345="","시작일 미입력",IF(M345&lt;1,"시작일 이전(확인)",IF(M345=1,"1일째",IF(M345=2,"2일째",IF(M345=3,"3일째",IF(M345&lt;=7,"일주일 이내",IF(M345&lt;=14,"이주일 이내","15일 이후"))))))))</f>
        <v/>
      </c>
      <c r="O345" s="0" t="str">
        <f aca="false">IF(AND(COUNTA($A345:$J345)&gt;0,OR(클레임조회!$C$4="",AND(ISNUMBER($B345),$B345&gt;=클레임조회!$C$4)),OR(클레임조회!$C$5="",AND(ISNUMBER($B345),$B345&lt;=클레임조회!$C$5)),OR(클레임조회!$C$6="",$C345=클레임조회!$C$6),OR(클레임조회!$C$7="",$D345=클레임조회!$C$7),OR(클레임조회!$C$8="",$E345=클레임조회!$C$8),OR(클레임조회!$C$9="",$F345=클레임조회!$C$9),OR(클레임조회!$C$10="",ISNUMBER(SEARCH(클레임조회!$C$10,$C345&amp;" "&amp;$F345&amp;" "&amp;$G345&amp;" "&amp;$H345)))),COUNT(O$1:O344)+1,"")</f>
        <v/>
      </c>
      <c r="P345" s="0" t="str">
        <f aca="false">IF(AND(TRIM(C345)&lt;&gt;"",COUNTIF(C$2:C345,C345)=1),MAX(P$1:P344)+1,"")</f>
        <v/>
      </c>
      <c r="Q345" s="0" t="str">
        <f aca="false">IF(AND(TRIM(F345)&lt;&gt;"",COUNTIF(F$2:F345,F345)=1),MAX(Q$1:Q344)+1,"")</f>
        <v/>
      </c>
    </row>
    <row r="346" customFormat="false" ht="15" hidden="false" customHeight="false" outlineLevel="0" collapsed="false">
      <c r="A346" s="9"/>
      <c r="B346" s="10"/>
      <c r="C346" s="11"/>
      <c r="D346" s="11"/>
      <c r="E346" s="11"/>
      <c r="F346" s="11"/>
      <c r="G346" s="12"/>
      <c r="H346" s="12"/>
      <c r="I346" s="10"/>
      <c r="J346" s="12"/>
      <c r="K346" s="13" t="str">
        <f aca="false">IF(ISNUMBER(B346),YEAR(B346),"")</f>
        <v/>
      </c>
      <c r="L346" s="13" t="str">
        <f aca="false">IF(ISNUMBER(B346),MONTH(B346),"")</f>
        <v/>
      </c>
      <c r="M346" s="13" t="str">
        <f aca="false">IF(AND(ISNUMBER(B346),ISNUMBER(I346)),B346-I346+1,"")</f>
        <v/>
      </c>
      <c r="N346" s="14" t="str">
        <f aca="false">IF(B346="","",IF(M346="","시작일 미입력",IF(M346&lt;1,"시작일 이전(확인)",IF(M346=1,"1일째",IF(M346=2,"2일째",IF(M346=3,"3일째",IF(M346&lt;=7,"일주일 이내",IF(M346&lt;=14,"이주일 이내","15일 이후"))))))))</f>
        <v/>
      </c>
      <c r="O346" s="0" t="str">
        <f aca="false">IF(AND(COUNTA($A346:$J346)&gt;0,OR(클레임조회!$C$4="",AND(ISNUMBER($B346),$B346&gt;=클레임조회!$C$4)),OR(클레임조회!$C$5="",AND(ISNUMBER($B346),$B346&lt;=클레임조회!$C$5)),OR(클레임조회!$C$6="",$C346=클레임조회!$C$6),OR(클레임조회!$C$7="",$D346=클레임조회!$C$7),OR(클레임조회!$C$8="",$E346=클레임조회!$C$8),OR(클레임조회!$C$9="",$F346=클레임조회!$C$9),OR(클레임조회!$C$10="",ISNUMBER(SEARCH(클레임조회!$C$10,$C346&amp;" "&amp;$F346&amp;" "&amp;$G346&amp;" "&amp;$H346)))),COUNT(O$1:O345)+1,"")</f>
        <v/>
      </c>
      <c r="P346" s="0" t="str">
        <f aca="false">IF(AND(TRIM(C346)&lt;&gt;"",COUNTIF(C$2:C346,C346)=1),MAX(P$1:P345)+1,"")</f>
        <v/>
      </c>
      <c r="Q346" s="0" t="str">
        <f aca="false">IF(AND(TRIM(F346)&lt;&gt;"",COUNTIF(F$2:F346,F346)=1),MAX(Q$1:Q345)+1,"")</f>
        <v/>
      </c>
    </row>
    <row r="347" customFormat="false" ht="15" hidden="false" customHeight="false" outlineLevel="0" collapsed="false">
      <c r="A347" s="9"/>
      <c r="B347" s="10"/>
      <c r="C347" s="11"/>
      <c r="D347" s="11"/>
      <c r="E347" s="11"/>
      <c r="F347" s="11"/>
      <c r="G347" s="12"/>
      <c r="H347" s="12"/>
      <c r="I347" s="10"/>
      <c r="J347" s="12"/>
      <c r="K347" s="13" t="str">
        <f aca="false">IF(ISNUMBER(B347),YEAR(B347),"")</f>
        <v/>
      </c>
      <c r="L347" s="13" t="str">
        <f aca="false">IF(ISNUMBER(B347),MONTH(B347),"")</f>
        <v/>
      </c>
      <c r="M347" s="13" t="str">
        <f aca="false">IF(AND(ISNUMBER(B347),ISNUMBER(I347)),B347-I347+1,"")</f>
        <v/>
      </c>
      <c r="N347" s="14" t="str">
        <f aca="false">IF(B347="","",IF(M347="","시작일 미입력",IF(M347&lt;1,"시작일 이전(확인)",IF(M347=1,"1일째",IF(M347=2,"2일째",IF(M347=3,"3일째",IF(M347&lt;=7,"일주일 이내",IF(M347&lt;=14,"이주일 이내","15일 이후"))))))))</f>
        <v/>
      </c>
      <c r="O347" s="0" t="str">
        <f aca="false">IF(AND(COUNTA($A347:$J347)&gt;0,OR(클레임조회!$C$4="",AND(ISNUMBER($B347),$B347&gt;=클레임조회!$C$4)),OR(클레임조회!$C$5="",AND(ISNUMBER($B347),$B347&lt;=클레임조회!$C$5)),OR(클레임조회!$C$6="",$C347=클레임조회!$C$6),OR(클레임조회!$C$7="",$D347=클레임조회!$C$7),OR(클레임조회!$C$8="",$E347=클레임조회!$C$8),OR(클레임조회!$C$9="",$F347=클레임조회!$C$9),OR(클레임조회!$C$10="",ISNUMBER(SEARCH(클레임조회!$C$10,$C347&amp;" "&amp;$F347&amp;" "&amp;$G347&amp;" "&amp;$H347)))),COUNT(O$1:O346)+1,"")</f>
        <v/>
      </c>
      <c r="P347" s="0" t="str">
        <f aca="false">IF(AND(TRIM(C347)&lt;&gt;"",COUNTIF(C$2:C347,C347)=1),MAX(P$1:P346)+1,"")</f>
        <v/>
      </c>
      <c r="Q347" s="0" t="str">
        <f aca="false">IF(AND(TRIM(F347)&lt;&gt;"",COUNTIF(F$2:F347,F347)=1),MAX(Q$1:Q346)+1,"")</f>
        <v/>
      </c>
    </row>
    <row r="348" customFormat="false" ht="15" hidden="false" customHeight="false" outlineLevel="0" collapsed="false">
      <c r="A348" s="9"/>
      <c r="B348" s="10"/>
      <c r="C348" s="11"/>
      <c r="D348" s="11"/>
      <c r="E348" s="11"/>
      <c r="F348" s="11"/>
      <c r="G348" s="12"/>
      <c r="H348" s="12"/>
      <c r="I348" s="10"/>
      <c r="J348" s="12"/>
      <c r="K348" s="13" t="str">
        <f aca="false">IF(ISNUMBER(B348),YEAR(B348),"")</f>
        <v/>
      </c>
      <c r="L348" s="13" t="str">
        <f aca="false">IF(ISNUMBER(B348),MONTH(B348),"")</f>
        <v/>
      </c>
      <c r="M348" s="13" t="str">
        <f aca="false">IF(AND(ISNUMBER(B348),ISNUMBER(I348)),B348-I348+1,"")</f>
        <v/>
      </c>
      <c r="N348" s="14" t="str">
        <f aca="false">IF(B348="","",IF(M348="","시작일 미입력",IF(M348&lt;1,"시작일 이전(확인)",IF(M348=1,"1일째",IF(M348=2,"2일째",IF(M348=3,"3일째",IF(M348&lt;=7,"일주일 이내",IF(M348&lt;=14,"이주일 이내","15일 이후"))))))))</f>
        <v/>
      </c>
      <c r="O348" s="0" t="str">
        <f aca="false">IF(AND(COUNTA($A348:$J348)&gt;0,OR(클레임조회!$C$4="",AND(ISNUMBER($B348),$B348&gt;=클레임조회!$C$4)),OR(클레임조회!$C$5="",AND(ISNUMBER($B348),$B348&lt;=클레임조회!$C$5)),OR(클레임조회!$C$6="",$C348=클레임조회!$C$6),OR(클레임조회!$C$7="",$D348=클레임조회!$C$7),OR(클레임조회!$C$8="",$E348=클레임조회!$C$8),OR(클레임조회!$C$9="",$F348=클레임조회!$C$9),OR(클레임조회!$C$10="",ISNUMBER(SEARCH(클레임조회!$C$10,$C348&amp;" "&amp;$F348&amp;" "&amp;$G348&amp;" "&amp;$H348)))),COUNT(O$1:O347)+1,"")</f>
        <v/>
      </c>
      <c r="P348" s="0" t="str">
        <f aca="false">IF(AND(TRIM(C348)&lt;&gt;"",COUNTIF(C$2:C348,C348)=1),MAX(P$1:P347)+1,"")</f>
        <v/>
      </c>
      <c r="Q348" s="0" t="str">
        <f aca="false">IF(AND(TRIM(F348)&lt;&gt;"",COUNTIF(F$2:F348,F348)=1),MAX(Q$1:Q347)+1,"")</f>
        <v/>
      </c>
    </row>
    <row r="349" customFormat="false" ht="15" hidden="false" customHeight="false" outlineLevel="0" collapsed="false">
      <c r="A349" s="9"/>
      <c r="B349" s="10"/>
      <c r="C349" s="11"/>
      <c r="D349" s="11"/>
      <c r="E349" s="11"/>
      <c r="F349" s="11"/>
      <c r="G349" s="12"/>
      <c r="H349" s="12"/>
      <c r="I349" s="10"/>
      <c r="J349" s="12"/>
      <c r="K349" s="13" t="str">
        <f aca="false">IF(ISNUMBER(B349),YEAR(B349),"")</f>
        <v/>
      </c>
      <c r="L349" s="13" t="str">
        <f aca="false">IF(ISNUMBER(B349),MONTH(B349),"")</f>
        <v/>
      </c>
      <c r="M349" s="13" t="str">
        <f aca="false">IF(AND(ISNUMBER(B349),ISNUMBER(I349)),B349-I349+1,"")</f>
        <v/>
      </c>
      <c r="N349" s="14" t="str">
        <f aca="false">IF(B349="","",IF(M349="","시작일 미입력",IF(M349&lt;1,"시작일 이전(확인)",IF(M349=1,"1일째",IF(M349=2,"2일째",IF(M349=3,"3일째",IF(M349&lt;=7,"일주일 이내",IF(M349&lt;=14,"이주일 이내","15일 이후"))))))))</f>
        <v/>
      </c>
      <c r="O349" s="0" t="str">
        <f aca="false">IF(AND(COUNTA($A349:$J349)&gt;0,OR(클레임조회!$C$4="",AND(ISNUMBER($B349),$B349&gt;=클레임조회!$C$4)),OR(클레임조회!$C$5="",AND(ISNUMBER($B349),$B349&lt;=클레임조회!$C$5)),OR(클레임조회!$C$6="",$C349=클레임조회!$C$6),OR(클레임조회!$C$7="",$D349=클레임조회!$C$7),OR(클레임조회!$C$8="",$E349=클레임조회!$C$8),OR(클레임조회!$C$9="",$F349=클레임조회!$C$9),OR(클레임조회!$C$10="",ISNUMBER(SEARCH(클레임조회!$C$10,$C349&amp;" "&amp;$F349&amp;" "&amp;$G349&amp;" "&amp;$H349)))),COUNT(O$1:O348)+1,"")</f>
        <v/>
      </c>
      <c r="P349" s="0" t="str">
        <f aca="false">IF(AND(TRIM(C349)&lt;&gt;"",COUNTIF(C$2:C349,C349)=1),MAX(P$1:P348)+1,"")</f>
        <v/>
      </c>
      <c r="Q349" s="0" t="str">
        <f aca="false">IF(AND(TRIM(F349)&lt;&gt;"",COUNTIF(F$2:F349,F349)=1),MAX(Q$1:Q348)+1,"")</f>
        <v/>
      </c>
    </row>
    <row r="350" customFormat="false" ht="15" hidden="false" customHeight="false" outlineLevel="0" collapsed="false">
      <c r="A350" s="9"/>
      <c r="B350" s="10"/>
      <c r="C350" s="11"/>
      <c r="D350" s="11"/>
      <c r="E350" s="11"/>
      <c r="F350" s="11"/>
      <c r="G350" s="12"/>
      <c r="H350" s="12"/>
      <c r="I350" s="10"/>
      <c r="J350" s="12"/>
      <c r="K350" s="13" t="str">
        <f aca="false">IF(ISNUMBER(B350),YEAR(B350),"")</f>
        <v/>
      </c>
      <c r="L350" s="13" t="str">
        <f aca="false">IF(ISNUMBER(B350),MONTH(B350),"")</f>
        <v/>
      </c>
      <c r="M350" s="13" t="str">
        <f aca="false">IF(AND(ISNUMBER(B350),ISNUMBER(I350)),B350-I350+1,"")</f>
        <v/>
      </c>
      <c r="N350" s="14" t="str">
        <f aca="false">IF(B350="","",IF(M350="","시작일 미입력",IF(M350&lt;1,"시작일 이전(확인)",IF(M350=1,"1일째",IF(M350=2,"2일째",IF(M350=3,"3일째",IF(M350&lt;=7,"일주일 이내",IF(M350&lt;=14,"이주일 이내","15일 이후"))))))))</f>
        <v/>
      </c>
      <c r="O350" s="0" t="str">
        <f aca="false">IF(AND(COUNTA($A350:$J350)&gt;0,OR(클레임조회!$C$4="",AND(ISNUMBER($B350),$B350&gt;=클레임조회!$C$4)),OR(클레임조회!$C$5="",AND(ISNUMBER($B350),$B350&lt;=클레임조회!$C$5)),OR(클레임조회!$C$6="",$C350=클레임조회!$C$6),OR(클레임조회!$C$7="",$D350=클레임조회!$C$7),OR(클레임조회!$C$8="",$E350=클레임조회!$C$8),OR(클레임조회!$C$9="",$F350=클레임조회!$C$9),OR(클레임조회!$C$10="",ISNUMBER(SEARCH(클레임조회!$C$10,$C350&amp;" "&amp;$F350&amp;" "&amp;$G350&amp;" "&amp;$H350)))),COUNT(O$1:O349)+1,"")</f>
        <v/>
      </c>
      <c r="P350" s="0" t="str">
        <f aca="false">IF(AND(TRIM(C350)&lt;&gt;"",COUNTIF(C$2:C350,C350)=1),MAX(P$1:P349)+1,"")</f>
        <v/>
      </c>
      <c r="Q350" s="0" t="str">
        <f aca="false">IF(AND(TRIM(F350)&lt;&gt;"",COUNTIF(F$2:F350,F350)=1),MAX(Q$1:Q349)+1,"")</f>
        <v/>
      </c>
    </row>
    <row r="351" customFormat="false" ht="15" hidden="false" customHeight="false" outlineLevel="0" collapsed="false">
      <c r="A351" s="9"/>
      <c r="B351" s="10"/>
      <c r="C351" s="11"/>
      <c r="D351" s="11"/>
      <c r="E351" s="11"/>
      <c r="F351" s="11"/>
      <c r="G351" s="12"/>
      <c r="H351" s="12"/>
      <c r="I351" s="10"/>
      <c r="J351" s="12"/>
      <c r="K351" s="13" t="str">
        <f aca="false">IF(ISNUMBER(B351),YEAR(B351),"")</f>
        <v/>
      </c>
      <c r="L351" s="13" t="str">
        <f aca="false">IF(ISNUMBER(B351),MONTH(B351),"")</f>
        <v/>
      </c>
      <c r="M351" s="13" t="str">
        <f aca="false">IF(AND(ISNUMBER(B351),ISNUMBER(I351)),B351-I351+1,"")</f>
        <v/>
      </c>
      <c r="N351" s="14" t="str">
        <f aca="false">IF(B351="","",IF(M351="","시작일 미입력",IF(M351&lt;1,"시작일 이전(확인)",IF(M351=1,"1일째",IF(M351=2,"2일째",IF(M351=3,"3일째",IF(M351&lt;=7,"일주일 이내",IF(M351&lt;=14,"이주일 이내","15일 이후"))))))))</f>
        <v/>
      </c>
      <c r="O351" s="0" t="str">
        <f aca="false">IF(AND(COUNTA($A351:$J351)&gt;0,OR(클레임조회!$C$4="",AND(ISNUMBER($B351),$B351&gt;=클레임조회!$C$4)),OR(클레임조회!$C$5="",AND(ISNUMBER($B351),$B351&lt;=클레임조회!$C$5)),OR(클레임조회!$C$6="",$C351=클레임조회!$C$6),OR(클레임조회!$C$7="",$D351=클레임조회!$C$7),OR(클레임조회!$C$8="",$E351=클레임조회!$C$8),OR(클레임조회!$C$9="",$F351=클레임조회!$C$9),OR(클레임조회!$C$10="",ISNUMBER(SEARCH(클레임조회!$C$10,$C351&amp;" "&amp;$F351&amp;" "&amp;$G351&amp;" "&amp;$H351)))),COUNT(O$1:O350)+1,"")</f>
        <v/>
      </c>
      <c r="P351" s="0" t="str">
        <f aca="false">IF(AND(TRIM(C351)&lt;&gt;"",COUNTIF(C$2:C351,C351)=1),MAX(P$1:P350)+1,"")</f>
        <v/>
      </c>
      <c r="Q351" s="0" t="str">
        <f aca="false">IF(AND(TRIM(F351)&lt;&gt;"",COUNTIF(F$2:F351,F351)=1),MAX(Q$1:Q350)+1,"")</f>
        <v/>
      </c>
    </row>
    <row r="352" customFormat="false" ht="15" hidden="false" customHeight="false" outlineLevel="0" collapsed="false">
      <c r="A352" s="9"/>
      <c r="B352" s="10"/>
      <c r="C352" s="11"/>
      <c r="D352" s="11"/>
      <c r="E352" s="11"/>
      <c r="F352" s="11"/>
      <c r="G352" s="12"/>
      <c r="H352" s="12"/>
      <c r="I352" s="10"/>
      <c r="J352" s="12"/>
      <c r="K352" s="13" t="str">
        <f aca="false">IF(ISNUMBER(B352),YEAR(B352),"")</f>
        <v/>
      </c>
      <c r="L352" s="13" t="str">
        <f aca="false">IF(ISNUMBER(B352),MONTH(B352),"")</f>
        <v/>
      </c>
      <c r="M352" s="13" t="str">
        <f aca="false">IF(AND(ISNUMBER(B352),ISNUMBER(I352)),B352-I352+1,"")</f>
        <v/>
      </c>
      <c r="N352" s="14" t="str">
        <f aca="false">IF(B352="","",IF(M352="","시작일 미입력",IF(M352&lt;1,"시작일 이전(확인)",IF(M352=1,"1일째",IF(M352=2,"2일째",IF(M352=3,"3일째",IF(M352&lt;=7,"일주일 이내",IF(M352&lt;=14,"이주일 이내","15일 이후"))))))))</f>
        <v/>
      </c>
      <c r="O352" s="0" t="str">
        <f aca="false">IF(AND(COUNTA($A352:$J352)&gt;0,OR(클레임조회!$C$4="",AND(ISNUMBER($B352),$B352&gt;=클레임조회!$C$4)),OR(클레임조회!$C$5="",AND(ISNUMBER($B352),$B352&lt;=클레임조회!$C$5)),OR(클레임조회!$C$6="",$C352=클레임조회!$C$6),OR(클레임조회!$C$7="",$D352=클레임조회!$C$7),OR(클레임조회!$C$8="",$E352=클레임조회!$C$8),OR(클레임조회!$C$9="",$F352=클레임조회!$C$9),OR(클레임조회!$C$10="",ISNUMBER(SEARCH(클레임조회!$C$10,$C352&amp;" "&amp;$F352&amp;" "&amp;$G352&amp;" "&amp;$H352)))),COUNT(O$1:O351)+1,"")</f>
        <v/>
      </c>
      <c r="P352" s="0" t="str">
        <f aca="false">IF(AND(TRIM(C352)&lt;&gt;"",COUNTIF(C$2:C352,C352)=1),MAX(P$1:P351)+1,"")</f>
        <v/>
      </c>
      <c r="Q352" s="0" t="str">
        <f aca="false">IF(AND(TRIM(F352)&lt;&gt;"",COUNTIF(F$2:F352,F352)=1),MAX(Q$1:Q351)+1,"")</f>
        <v/>
      </c>
    </row>
    <row r="353" customFormat="false" ht="15" hidden="false" customHeight="false" outlineLevel="0" collapsed="false">
      <c r="A353" s="9"/>
      <c r="B353" s="10"/>
      <c r="C353" s="11"/>
      <c r="D353" s="11"/>
      <c r="E353" s="11"/>
      <c r="F353" s="11"/>
      <c r="G353" s="12"/>
      <c r="H353" s="12"/>
      <c r="I353" s="10"/>
      <c r="J353" s="12"/>
      <c r="K353" s="13" t="str">
        <f aca="false">IF(ISNUMBER(B353),YEAR(B353),"")</f>
        <v/>
      </c>
      <c r="L353" s="13" t="str">
        <f aca="false">IF(ISNUMBER(B353),MONTH(B353),"")</f>
        <v/>
      </c>
      <c r="M353" s="13" t="str">
        <f aca="false">IF(AND(ISNUMBER(B353),ISNUMBER(I353)),B353-I353+1,"")</f>
        <v/>
      </c>
      <c r="N353" s="14" t="str">
        <f aca="false">IF(B353="","",IF(M353="","시작일 미입력",IF(M353&lt;1,"시작일 이전(확인)",IF(M353=1,"1일째",IF(M353=2,"2일째",IF(M353=3,"3일째",IF(M353&lt;=7,"일주일 이내",IF(M353&lt;=14,"이주일 이내","15일 이후"))))))))</f>
        <v/>
      </c>
      <c r="O353" s="0" t="str">
        <f aca="false">IF(AND(COUNTA($A353:$J353)&gt;0,OR(클레임조회!$C$4="",AND(ISNUMBER($B353),$B353&gt;=클레임조회!$C$4)),OR(클레임조회!$C$5="",AND(ISNUMBER($B353),$B353&lt;=클레임조회!$C$5)),OR(클레임조회!$C$6="",$C353=클레임조회!$C$6),OR(클레임조회!$C$7="",$D353=클레임조회!$C$7),OR(클레임조회!$C$8="",$E353=클레임조회!$C$8),OR(클레임조회!$C$9="",$F353=클레임조회!$C$9),OR(클레임조회!$C$10="",ISNUMBER(SEARCH(클레임조회!$C$10,$C353&amp;" "&amp;$F353&amp;" "&amp;$G353&amp;" "&amp;$H353)))),COUNT(O$1:O352)+1,"")</f>
        <v/>
      </c>
      <c r="P353" s="0" t="str">
        <f aca="false">IF(AND(TRIM(C353)&lt;&gt;"",COUNTIF(C$2:C353,C353)=1),MAX(P$1:P352)+1,"")</f>
        <v/>
      </c>
      <c r="Q353" s="0" t="str">
        <f aca="false">IF(AND(TRIM(F353)&lt;&gt;"",COUNTIF(F$2:F353,F353)=1),MAX(Q$1:Q352)+1,"")</f>
        <v/>
      </c>
    </row>
    <row r="354" customFormat="false" ht="15" hidden="false" customHeight="false" outlineLevel="0" collapsed="false">
      <c r="A354" s="9"/>
      <c r="B354" s="10"/>
      <c r="C354" s="11"/>
      <c r="D354" s="11"/>
      <c r="E354" s="11"/>
      <c r="F354" s="11"/>
      <c r="G354" s="12"/>
      <c r="H354" s="12"/>
      <c r="I354" s="10"/>
      <c r="J354" s="12"/>
      <c r="K354" s="13" t="str">
        <f aca="false">IF(ISNUMBER(B354),YEAR(B354),"")</f>
        <v/>
      </c>
      <c r="L354" s="13" t="str">
        <f aca="false">IF(ISNUMBER(B354),MONTH(B354),"")</f>
        <v/>
      </c>
      <c r="M354" s="13" t="str">
        <f aca="false">IF(AND(ISNUMBER(B354),ISNUMBER(I354)),B354-I354+1,"")</f>
        <v/>
      </c>
      <c r="N354" s="14" t="str">
        <f aca="false">IF(B354="","",IF(M354="","시작일 미입력",IF(M354&lt;1,"시작일 이전(확인)",IF(M354=1,"1일째",IF(M354=2,"2일째",IF(M354=3,"3일째",IF(M354&lt;=7,"일주일 이내",IF(M354&lt;=14,"이주일 이내","15일 이후"))))))))</f>
        <v/>
      </c>
      <c r="O354" s="0" t="str">
        <f aca="false">IF(AND(COUNTA($A354:$J354)&gt;0,OR(클레임조회!$C$4="",AND(ISNUMBER($B354),$B354&gt;=클레임조회!$C$4)),OR(클레임조회!$C$5="",AND(ISNUMBER($B354),$B354&lt;=클레임조회!$C$5)),OR(클레임조회!$C$6="",$C354=클레임조회!$C$6),OR(클레임조회!$C$7="",$D354=클레임조회!$C$7),OR(클레임조회!$C$8="",$E354=클레임조회!$C$8),OR(클레임조회!$C$9="",$F354=클레임조회!$C$9),OR(클레임조회!$C$10="",ISNUMBER(SEARCH(클레임조회!$C$10,$C354&amp;" "&amp;$F354&amp;" "&amp;$G354&amp;" "&amp;$H354)))),COUNT(O$1:O353)+1,"")</f>
        <v/>
      </c>
      <c r="P354" s="0" t="str">
        <f aca="false">IF(AND(TRIM(C354)&lt;&gt;"",COUNTIF(C$2:C354,C354)=1),MAX(P$1:P353)+1,"")</f>
        <v/>
      </c>
      <c r="Q354" s="0" t="str">
        <f aca="false">IF(AND(TRIM(F354)&lt;&gt;"",COUNTIF(F$2:F354,F354)=1),MAX(Q$1:Q353)+1,"")</f>
        <v/>
      </c>
    </row>
    <row r="355" customFormat="false" ht="15" hidden="false" customHeight="false" outlineLevel="0" collapsed="false">
      <c r="A355" s="9"/>
      <c r="B355" s="10"/>
      <c r="C355" s="11"/>
      <c r="D355" s="11"/>
      <c r="E355" s="11"/>
      <c r="F355" s="11"/>
      <c r="G355" s="12"/>
      <c r="H355" s="12"/>
      <c r="I355" s="10"/>
      <c r="J355" s="12"/>
      <c r="K355" s="13" t="str">
        <f aca="false">IF(ISNUMBER(B355),YEAR(B355),"")</f>
        <v/>
      </c>
      <c r="L355" s="13" t="str">
        <f aca="false">IF(ISNUMBER(B355),MONTH(B355),"")</f>
        <v/>
      </c>
      <c r="M355" s="13" t="str">
        <f aca="false">IF(AND(ISNUMBER(B355),ISNUMBER(I355)),B355-I355+1,"")</f>
        <v/>
      </c>
      <c r="N355" s="14" t="str">
        <f aca="false">IF(B355="","",IF(M355="","시작일 미입력",IF(M355&lt;1,"시작일 이전(확인)",IF(M355=1,"1일째",IF(M355=2,"2일째",IF(M355=3,"3일째",IF(M355&lt;=7,"일주일 이내",IF(M355&lt;=14,"이주일 이내","15일 이후"))))))))</f>
        <v/>
      </c>
      <c r="O355" s="0" t="str">
        <f aca="false">IF(AND(COUNTA($A355:$J355)&gt;0,OR(클레임조회!$C$4="",AND(ISNUMBER($B355),$B355&gt;=클레임조회!$C$4)),OR(클레임조회!$C$5="",AND(ISNUMBER($B355),$B355&lt;=클레임조회!$C$5)),OR(클레임조회!$C$6="",$C355=클레임조회!$C$6),OR(클레임조회!$C$7="",$D355=클레임조회!$C$7),OR(클레임조회!$C$8="",$E355=클레임조회!$C$8),OR(클레임조회!$C$9="",$F355=클레임조회!$C$9),OR(클레임조회!$C$10="",ISNUMBER(SEARCH(클레임조회!$C$10,$C355&amp;" "&amp;$F355&amp;" "&amp;$G355&amp;" "&amp;$H355)))),COUNT(O$1:O354)+1,"")</f>
        <v/>
      </c>
      <c r="P355" s="0" t="str">
        <f aca="false">IF(AND(TRIM(C355)&lt;&gt;"",COUNTIF(C$2:C355,C355)=1),MAX(P$1:P354)+1,"")</f>
        <v/>
      </c>
      <c r="Q355" s="0" t="str">
        <f aca="false">IF(AND(TRIM(F355)&lt;&gt;"",COUNTIF(F$2:F355,F355)=1),MAX(Q$1:Q354)+1,"")</f>
        <v/>
      </c>
    </row>
    <row r="356" customFormat="false" ht="15" hidden="false" customHeight="false" outlineLevel="0" collapsed="false">
      <c r="A356" s="9"/>
      <c r="B356" s="10"/>
      <c r="C356" s="11"/>
      <c r="D356" s="11"/>
      <c r="E356" s="11"/>
      <c r="F356" s="11"/>
      <c r="G356" s="12"/>
      <c r="H356" s="12"/>
      <c r="I356" s="10"/>
      <c r="J356" s="12"/>
      <c r="K356" s="13" t="str">
        <f aca="false">IF(ISNUMBER(B356),YEAR(B356),"")</f>
        <v/>
      </c>
      <c r="L356" s="13" t="str">
        <f aca="false">IF(ISNUMBER(B356),MONTH(B356),"")</f>
        <v/>
      </c>
      <c r="M356" s="13" t="str">
        <f aca="false">IF(AND(ISNUMBER(B356),ISNUMBER(I356)),B356-I356+1,"")</f>
        <v/>
      </c>
      <c r="N356" s="14" t="str">
        <f aca="false">IF(B356="","",IF(M356="","시작일 미입력",IF(M356&lt;1,"시작일 이전(확인)",IF(M356=1,"1일째",IF(M356=2,"2일째",IF(M356=3,"3일째",IF(M356&lt;=7,"일주일 이내",IF(M356&lt;=14,"이주일 이내","15일 이후"))))))))</f>
        <v/>
      </c>
      <c r="O356" s="0" t="str">
        <f aca="false">IF(AND(COUNTA($A356:$J356)&gt;0,OR(클레임조회!$C$4="",AND(ISNUMBER($B356),$B356&gt;=클레임조회!$C$4)),OR(클레임조회!$C$5="",AND(ISNUMBER($B356),$B356&lt;=클레임조회!$C$5)),OR(클레임조회!$C$6="",$C356=클레임조회!$C$6),OR(클레임조회!$C$7="",$D356=클레임조회!$C$7),OR(클레임조회!$C$8="",$E356=클레임조회!$C$8),OR(클레임조회!$C$9="",$F356=클레임조회!$C$9),OR(클레임조회!$C$10="",ISNUMBER(SEARCH(클레임조회!$C$10,$C356&amp;" "&amp;$F356&amp;" "&amp;$G356&amp;" "&amp;$H356)))),COUNT(O$1:O355)+1,"")</f>
        <v/>
      </c>
      <c r="P356" s="0" t="str">
        <f aca="false">IF(AND(TRIM(C356)&lt;&gt;"",COUNTIF(C$2:C356,C356)=1),MAX(P$1:P355)+1,"")</f>
        <v/>
      </c>
      <c r="Q356" s="0" t="str">
        <f aca="false">IF(AND(TRIM(F356)&lt;&gt;"",COUNTIF(F$2:F356,F356)=1),MAX(Q$1:Q355)+1,"")</f>
        <v/>
      </c>
    </row>
    <row r="357" customFormat="false" ht="15" hidden="false" customHeight="false" outlineLevel="0" collapsed="false">
      <c r="A357" s="9"/>
      <c r="B357" s="10"/>
      <c r="C357" s="11"/>
      <c r="D357" s="11"/>
      <c r="E357" s="11"/>
      <c r="F357" s="11"/>
      <c r="G357" s="12"/>
      <c r="H357" s="12"/>
      <c r="I357" s="10"/>
      <c r="J357" s="12"/>
      <c r="K357" s="13" t="str">
        <f aca="false">IF(ISNUMBER(B357),YEAR(B357),"")</f>
        <v/>
      </c>
      <c r="L357" s="13" t="str">
        <f aca="false">IF(ISNUMBER(B357),MONTH(B357),"")</f>
        <v/>
      </c>
      <c r="M357" s="13" t="str">
        <f aca="false">IF(AND(ISNUMBER(B357),ISNUMBER(I357)),B357-I357+1,"")</f>
        <v/>
      </c>
      <c r="N357" s="14" t="str">
        <f aca="false">IF(B357="","",IF(M357="","시작일 미입력",IF(M357&lt;1,"시작일 이전(확인)",IF(M357=1,"1일째",IF(M357=2,"2일째",IF(M357=3,"3일째",IF(M357&lt;=7,"일주일 이내",IF(M357&lt;=14,"이주일 이내","15일 이후"))))))))</f>
        <v/>
      </c>
      <c r="O357" s="0" t="str">
        <f aca="false">IF(AND(COUNTA($A357:$J357)&gt;0,OR(클레임조회!$C$4="",AND(ISNUMBER($B357),$B357&gt;=클레임조회!$C$4)),OR(클레임조회!$C$5="",AND(ISNUMBER($B357),$B357&lt;=클레임조회!$C$5)),OR(클레임조회!$C$6="",$C357=클레임조회!$C$6),OR(클레임조회!$C$7="",$D357=클레임조회!$C$7),OR(클레임조회!$C$8="",$E357=클레임조회!$C$8),OR(클레임조회!$C$9="",$F357=클레임조회!$C$9),OR(클레임조회!$C$10="",ISNUMBER(SEARCH(클레임조회!$C$10,$C357&amp;" "&amp;$F357&amp;" "&amp;$G357&amp;" "&amp;$H357)))),COUNT(O$1:O356)+1,"")</f>
        <v/>
      </c>
      <c r="P357" s="0" t="str">
        <f aca="false">IF(AND(TRIM(C357)&lt;&gt;"",COUNTIF(C$2:C357,C357)=1),MAX(P$1:P356)+1,"")</f>
        <v/>
      </c>
      <c r="Q357" s="0" t="str">
        <f aca="false">IF(AND(TRIM(F357)&lt;&gt;"",COUNTIF(F$2:F357,F357)=1),MAX(Q$1:Q356)+1,"")</f>
        <v/>
      </c>
    </row>
    <row r="358" customFormat="false" ht="15" hidden="false" customHeight="false" outlineLevel="0" collapsed="false">
      <c r="A358" s="9"/>
      <c r="B358" s="10"/>
      <c r="C358" s="11"/>
      <c r="D358" s="11"/>
      <c r="E358" s="11"/>
      <c r="F358" s="11"/>
      <c r="G358" s="12"/>
      <c r="H358" s="12"/>
      <c r="I358" s="10"/>
      <c r="J358" s="12"/>
      <c r="K358" s="13" t="str">
        <f aca="false">IF(ISNUMBER(B358),YEAR(B358),"")</f>
        <v/>
      </c>
      <c r="L358" s="13" t="str">
        <f aca="false">IF(ISNUMBER(B358),MONTH(B358),"")</f>
        <v/>
      </c>
      <c r="M358" s="13" t="str">
        <f aca="false">IF(AND(ISNUMBER(B358),ISNUMBER(I358)),B358-I358+1,"")</f>
        <v/>
      </c>
      <c r="N358" s="14" t="str">
        <f aca="false">IF(B358="","",IF(M358="","시작일 미입력",IF(M358&lt;1,"시작일 이전(확인)",IF(M358=1,"1일째",IF(M358=2,"2일째",IF(M358=3,"3일째",IF(M358&lt;=7,"일주일 이내",IF(M358&lt;=14,"이주일 이내","15일 이후"))))))))</f>
        <v/>
      </c>
      <c r="O358" s="0" t="str">
        <f aca="false">IF(AND(COUNTA($A358:$J358)&gt;0,OR(클레임조회!$C$4="",AND(ISNUMBER($B358),$B358&gt;=클레임조회!$C$4)),OR(클레임조회!$C$5="",AND(ISNUMBER($B358),$B358&lt;=클레임조회!$C$5)),OR(클레임조회!$C$6="",$C358=클레임조회!$C$6),OR(클레임조회!$C$7="",$D358=클레임조회!$C$7),OR(클레임조회!$C$8="",$E358=클레임조회!$C$8),OR(클레임조회!$C$9="",$F358=클레임조회!$C$9),OR(클레임조회!$C$10="",ISNUMBER(SEARCH(클레임조회!$C$10,$C358&amp;" "&amp;$F358&amp;" "&amp;$G358&amp;" "&amp;$H358)))),COUNT(O$1:O357)+1,"")</f>
        <v/>
      </c>
      <c r="P358" s="0" t="str">
        <f aca="false">IF(AND(TRIM(C358)&lt;&gt;"",COUNTIF(C$2:C358,C358)=1),MAX(P$1:P357)+1,"")</f>
        <v/>
      </c>
      <c r="Q358" s="0" t="str">
        <f aca="false">IF(AND(TRIM(F358)&lt;&gt;"",COUNTIF(F$2:F358,F358)=1),MAX(Q$1:Q357)+1,"")</f>
        <v/>
      </c>
    </row>
    <row r="359" customFormat="false" ht="15" hidden="false" customHeight="false" outlineLevel="0" collapsed="false">
      <c r="A359" s="9"/>
      <c r="B359" s="10"/>
      <c r="C359" s="11"/>
      <c r="D359" s="11"/>
      <c r="E359" s="11"/>
      <c r="F359" s="11"/>
      <c r="G359" s="12"/>
      <c r="H359" s="12"/>
      <c r="I359" s="10"/>
      <c r="J359" s="12"/>
      <c r="K359" s="13" t="str">
        <f aca="false">IF(ISNUMBER(B359),YEAR(B359),"")</f>
        <v/>
      </c>
      <c r="L359" s="13" t="str">
        <f aca="false">IF(ISNUMBER(B359),MONTH(B359),"")</f>
        <v/>
      </c>
      <c r="M359" s="13" t="str">
        <f aca="false">IF(AND(ISNUMBER(B359),ISNUMBER(I359)),B359-I359+1,"")</f>
        <v/>
      </c>
      <c r="N359" s="14" t="str">
        <f aca="false">IF(B359="","",IF(M359="","시작일 미입력",IF(M359&lt;1,"시작일 이전(확인)",IF(M359=1,"1일째",IF(M359=2,"2일째",IF(M359=3,"3일째",IF(M359&lt;=7,"일주일 이내",IF(M359&lt;=14,"이주일 이내","15일 이후"))))))))</f>
        <v/>
      </c>
      <c r="O359" s="0" t="str">
        <f aca="false">IF(AND(COUNTA($A359:$J359)&gt;0,OR(클레임조회!$C$4="",AND(ISNUMBER($B359),$B359&gt;=클레임조회!$C$4)),OR(클레임조회!$C$5="",AND(ISNUMBER($B359),$B359&lt;=클레임조회!$C$5)),OR(클레임조회!$C$6="",$C359=클레임조회!$C$6),OR(클레임조회!$C$7="",$D359=클레임조회!$C$7),OR(클레임조회!$C$8="",$E359=클레임조회!$C$8),OR(클레임조회!$C$9="",$F359=클레임조회!$C$9),OR(클레임조회!$C$10="",ISNUMBER(SEARCH(클레임조회!$C$10,$C359&amp;" "&amp;$F359&amp;" "&amp;$G359&amp;" "&amp;$H359)))),COUNT(O$1:O358)+1,"")</f>
        <v/>
      </c>
      <c r="P359" s="0" t="str">
        <f aca="false">IF(AND(TRIM(C359)&lt;&gt;"",COUNTIF(C$2:C359,C359)=1),MAX(P$1:P358)+1,"")</f>
        <v/>
      </c>
      <c r="Q359" s="0" t="str">
        <f aca="false">IF(AND(TRIM(F359)&lt;&gt;"",COUNTIF(F$2:F359,F359)=1),MAX(Q$1:Q358)+1,"")</f>
        <v/>
      </c>
    </row>
    <row r="360" customFormat="false" ht="15" hidden="false" customHeight="false" outlineLevel="0" collapsed="false">
      <c r="A360" s="9"/>
      <c r="B360" s="10"/>
      <c r="C360" s="11"/>
      <c r="D360" s="11"/>
      <c r="E360" s="11"/>
      <c r="F360" s="11"/>
      <c r="G360" s="12"/>
      <c r="H360" s="12"/>
      <c r="I360" s="10"/>
      <c r="J360" s="12"/>
      <c r="K360" s="13" t="str">
        <f aca="false">IF(ISNUMBER(B360),YEAR(B360),"")</f>
        <v/>
      </c>
      <c r="L360" s="13" t="str">
        <f aca="false">IF(ISNUMBER(B360),MONTH(B360),"")</f>
        <v/>
      </c>
      <c r="M360" s="13" t="str">
        <f aca="false">IF(AND(ISNUMBER(B360),ISNUMBER(I360)),B360-I360+1,"")</f>
        <v/>
      </c>
      <c r="N360" s="14" t="str">
        <f aca="false">IF(B360="","",IF(M360="","시작일 미입력",IF(M360&lt;1,"시작일 이전(확인)",IF(M360=1,"1일째",IF(M360=2,"2일째",IF(M360=3,"3일째",IF(M360&lt;=7,"일주일 이내",IF(M360&lt;=14,"이주일 이내","15일 이후"))))))))</f>
        <v/>
      </c>
      <c r="O360" s="0" t="str">
        <f aca="false">IF(AND(COUNTA($A360:$J360)&gt;0,OR(클레임조회!$C$4="",AND(ISNUMBER($B360),$B360&gt;=클레임조회!$C$4)),OR(클레임조회!$C$5="",AND(ISNUMBER($B360),$B360&lt;=클레임조회!$C$5)),OR(클레임조회!$C$6="",$C360=클레임조회!$C$6),OR(클레임조회!$C$7="",$D360=클레임조회!$C$7),OR(클레임조회!$C$8="",$E360=클레임조회!$C$8),OR(클레임조회!$C$9="",$F360=클레임조회!$C$9),OR(클레임조회!$C$10="",ISNUMBER(SEARCH(클레임조회!$C$10,$C360&amp;" "&amp;$F360&amp;" "&amp;$G360&amp;" "&amp;$H360)))),COUNT(O$1:O359)+1,"")</f>
        <v/>
      </c>
      <c r="P360" s="0" t="str">
        <f aca="false">IF(AND(TRIM(C360)&lt;&gt;"",COUNTIF(C$2:C360,C360)=1),MAX(P$1:P359)+1,"")</f>
        <v/>
      </c>
      <c r="Q360" s="0" t="str">
        <f aca="false">IF(AND(TRIM(F360)&lt;&gt;"",COUNTIF(F$2:F360,F360)=1),MAX(Q$1:Q359)+1,"")</f>
        <v/>
      </c>
    </row>
    <row r="361" customFormat="false" ht="15" hidden="false" customHeight="false" outlineLevel="0" collapsed="false">
      <c r="A361" s="9"/>
      <c r="B361" s="10"/>
      <c r="C361" s="11"/>
      <c r="D361" s="11"/>
      <c r="E361" s="11"/>
      <c r="F361" s="11"/>
      <c r="G361" s="12"/>
      <c r="H361" s="12"/>
      <c r="I361" s="10"/>
      <c r="J361" s="12"/>
      <c r="K361" s="13" t="str">
        <f aca="false">IF(ISNUMBER(B361),YEAR(B361),"")</f>
        <v/>
      </c>
      <c r="L361" s="13" t="str">
        <f aca="false">IF(ISNUMBER(B361),MONTH(B361),"")</f>
        <v/>
      </c>
      <c r="M361" s="13" t="str">
        <f aca="false">IF(AND(ISNUMBER(B361),ISNUMBER(I361)),B361-I361+1,"")</f>
        <v/>
      </c>
      <c r="N361" s="14" t="str">
        <f aca="false">IF(B361="","",IF(M361="","시작일 미입력",IF(M361&lt;1,"시작일 이전(확인)",IF(M361=1,"1일째",IF(M361=2,"2일째",IF(M361=3,"3일째",IF(M361&lt;=7,"일주일 이내",IF(M361&lt;=14,"이주일 이내","15일 이후"))))))))</f>
        <v/>
      </c>
      <c r="O361" s="0" t="str">
        <f aca="false">IF(AND(COUNTA($A361:$J361)&gt;0,OR(클레임조회!$C$4="",AND(ISNUMBER($B361),$B361&gt;=클레임조회!$C$4)),OR(클레임조회!$C$5="",AND(ISNUMBER($B361),$B361&lt;=클레임조회!$C$5)),OR(클레임조회!$C$6="",$C361=클레임조회!$C$6),OR(클레임조회!$C$7="",$D361=클레임조회!$C$7),OR(클레임조회!$C$8="",$E361=클레임조회!$C$8),OR(클레임조회!$C$9="",$F361=클레임조회!$C$9),OR(클레임조회!$C$10="",ISNUMBER(SEARCH(클레임조회!$C$10,$C361&amp;" "&amp;$F361&amp;" "&amp;$G361&amp;" "&amp;$H361)))),COUNT(O$1:O360)+1,"")</f>
        <v/>
      </c>
      <c r="P361" s="0" t="str">
        <f aca="false">IF(AND(TRIM(C361)&lt;&gt;"",COUNTIF(C$2:C361,C361)=1),MAX(P$1:P360)+1,"")</f>
        <v/>
      </c>
      <c r="Q361" s="0" t="str">
        <f aca="false">IF(AND(TRIM(F361)&lt;&gt;"",COUNTIF(F$2:F361,F361)=1),MAX(Q$1:Q360)+1,"")</f>
        <v/>
      </c>
    </row>
    <row r="362" customFormat="false" ht="15" hidden="false" customHeight="false" outlineLevel="0" collapsed="false">
      <c r="A362" s="9"/>
      <c r="B362" s="10"/>
      <c r="C362" s="11"/>
      <c r="D362" s="11"/>
      <c r="E362" s="11"/>
      <c r="F362" s="11"/>
      <c r="G362" s="12"/>
      <c r="H362" s="12"/>
      <c r="I362" s="10"/>
      <c r="J362" s="12"/>
      <c r="K362" s="13" t="str">
        <f aca="false">IF(ISNUMBER(B362),YEAR(B362),"")</f>
        <v/>
      </c>
      <c r="L362" s="13" t="str">
        <f aca="false">IF(ISNUMBER(B362),MONTH(B362),"")</f>
        <v/>
      </c>
      <c r="M362" s="13" t="str">
        <f aca="false">IF(AND(ISNUMBER(B362),ISNUMBER(I362)),B362-I362+1,"")</f>
        <v/>
      </c>
      <c r="N362" s="14" t="str">
        <f aca="false">IF(B362="","",IF(M362="","시작일 미입력",IF(M362&lt;1,"시작일 이전(확인)",IF(M362=1,"1일째",IF(M362=2,"2일째",IF(M362=3,"3일째",IF(M362&lt;=7,"일주일 이내",IF(M362&lt;=14,"이주일 이내","15일 이후"))))))))</f>
        <v/>
      </c>
      <c r="O362" s="0" t="str">
        <f aca="false">IF(AND(COUNTA($A362:$J362)&gt;0,OR(클레임조회!$C$4="",AND(ISNUMBER($B362),$B362&gt;=클레임조회!$C$4)),OR(클레임조회!$C$5="",AND(ISNUMBER($B362),$B362&lt;=클레임조회!$C$5)),OR(클레임조회!$C$6="",$C362=클레임조회!$C$6),OR(클레임조회!$C$7="",$D362=클레임조회!$C$7),OR(클레임조회!$C$8="",$E362=클레임조회!$C$8),OR(클레임조회!$C$9="",$F362=클레임조회!$C$9),OR(클레임조회!$C$10="",ISNUMBER(SEARCH(클레임조회!$C$10,$C362&amp;" "&amp;$F362&amp;" "&amp;$G362&amp;" "&amp;$H362)))),COUNT(O$1:O361)+1,"")</f>
        <v/>
      </c>
      <c r="P362" s="0" t="str">
        <f aca="false">IF(AND(TRIM(C362)&lt;&gt;"",COUNTIF(C$2:C362,C362)=1),MAX(P$1:P361)+1,"")</f>
        <v/>
      </c>
      <c r="Q362" s="0" t="str">
        <f aca="false">IF(AND(TRIM(F362)&lt;&gt;"",COUNTIF(F$2:F362,F362)=1),MAX(Q$1:Q361)+1,"")</f>
        <v/>
      </c>
    </row>
    <row r="363" customFormat="false" ht="15" hidden="false" customHeight="false" outlineLevel="0" collapsed="false">
      <c r="A363" s="9"/>
      <c r="B363" s="10"/>
      <c r="C363" s="11"/>
      <c r="D363" s="11"/>
      <c r="E363" s="11"/>
      <c r="F363" s="11"/>
      <c r="G363" s="12"/>
      <c r="H363" s="12"/>
      <c r="I363" s="10"/>
      <c r="J363" s="12"/>
      <c r="K363" s="13" t="str">
        <f aca="false">IF(ISNUMBER(B363),YEAR(B363),"")</f>
        <v/>
      </c>
      <c r="L363" s="13" t="str">
        <f aca="false">IF(ISNUMBER(B363),MONTH(B363),"")</f>
        <v/>
      </c>
      <c r="M363" s="13" t="str">
        <f aca="false">IF(AND(ISNUMBER(B363),ISNUMBER(I363)),B363-I363+1,"")</f>
        <v/>
      </c>
      <c r="N363" s="14" t="str">
        <f aca="false">IF(B363="","",IF(M363="","시작일 미입력",IF(M363&lt;1,"시작일 이전(확인)",IF(M363=1,"1일째",IF(M363=2,"2일째",IF(M363=3,"3일째",IF(M363&lt;=7,"일주일 이내",IF(M363&lt;=14,"이주일 이내","15일 이후"))))))))</f>
        <v/>
      </c>
      <c r="O363" s="0" t="str">
        <f aca="false">IF(AND(COUNTA($A363:$J363)&gt;0,OR(클레임조회!$C$4="",AND(ISNUMBER($B363),$B363&gt;=클레임조회!$C$4)),OR(클레임조회!$C$5="",AND(ISNUMBER($B363),$B363&lt;=클레임조회!$C$5)),OR(클레임조회!$C$6="",$C363=클레임조회!$C$6),OR(클레임조회!$C$7="",$D363=클레임조회!$C$7),OR(클레임조회!$C$8="",$E363=클레임조회!$C$8),OR(클레임조회!$C$9="",$F363=클레임조회!$C$9),OR(클레임조회!$C$10="",ISNUMBER(SEARCH(클레임조회!$C$10,$C363&amp;" "&amp;$F363&amp;" "&amp;$G363&amp;" "&amp;$H363)))),COUNT(O$1:O362)+1,"")</f>
        <v/>
      </c>
      <c r="P363" s="0" t="str">
        <f aca="false">IF(AND(TRIM(C363)&lt;&gt;"",COUNTIF(C$2:C363,C363)=1),MAX(P$1:P362)+1,"")</f>
        <v/>
      </c>
      <c r="Q363" s="0" t="str">
        <f aca="false">IF(AND(TRIM(F363)&lt;&gt;"",COUNTIF(F$2:F363,F363)=1),MAX(Q$1:Q362)+1,"")</f>
        <v/>
      </c>
    </row>
    <row r="364" customFormat="false" ht="15" hidden="false" customHeight="false" outlineLevel="0" collapsed="false">
      <c r="A364" s="9"/>
      <c r="B364" s="10"/>
      <c r="C364" s="11"/>
      <c r="D364" s="11"/>
      <c r="E364" s="11"/>
      <c r="F364" s="11"/>
      <c r="G364" s="12"/>
      <c r="H364" s="12"/>
      <c r="I364" s="10"/>
      <c r="J364" s="12"/>
      <c r="K364" s="13" t="str">
        <f aca="false">IF(ISNUMBER(B364),YEAR(B364),"")</f>
        <v/>
      </c>
      <c r="L364" s="13" t="str">
        <f aca="false">IF(ISNUMBER(B364),MONTH(B364),"")</f>
        <v/>
      </c>
      <c r="M364" s="13" t="str">
        <f aca="false">IF(AND(ISNUMBER(B364),ISNUMBER(I364)),B364-I364+1,"")</f>
        <v/>
      </c>
      <c r="N364" s="14" t="str">
        <f aca="false">IF(B364="","",IF(M364="","시작일 미입력",IF(M364&lt;1,"시작일 이전(확인)",IF(M364=1,"1일째",IF(M364=2,"2일째",IF(M364=3,"3일째",IF(M364&lt;=7,"일주일 이내",IF(M364&lt;=14,"이주일 이내","15일 이후"))))))))</f>
        <v/>
      </c>
      <c r="O364" s="0" t="str">
        <f aca="false">IF(AND(COUNTA($A364:$J364)&gt;0,OR(클레임조회!$C$4="",AND(ISNUMBER($B364),$B364&gt;=클레임조회!$C$4)),OR(클레임조회!$C$5="",AND(ISNUMBER($B364),$B364&lt;=클레임조회!$C$5)),OR(클레임조회!$C$6="",$C364=클레임조회!$C$6),OR(클레임조회!$C$7="",$D364=클레임조회!$C$7),OR(클레임조회!$C$8="",$E364=클레임조회!$C$8),OR(클레임조회!$C$9="",$F364=클레임조회!$C$9),OR(클레임조회!$C$10="",ISNUMBER(SEARCH(클레임조회!$C$10,$C364&amp;" "&amp;$F364&amp;" "&amp;$G364&amp;" "&amp;$H364)))),COUNT(O$1:O363)+1,"")</f>
        <v/>
      </c>
      <c r="P364" s="0" t="str">
        <f aca="false">IF(AND(TRIM(C364)&lt;&gt;"",COUNTIF(C$2:C364,C364)=1),MAX(P$1:P363)+1,"")</f>
        <v/>
      </c>
      <c r="Q364" s="0" t="str">
        <f aca="false">IF(AND(TRIM(F364)&lt;&gt;"",COUNTIF(F$2:F364,F364)=1),MAX(Q$1:Q363)+1,"")</f>
        <v/>
      </c>
    </row>
    <row r="365" customFormat="false" ht="15" hidden="false" customHeight="false" outlineLevel="0" collapsed="false">
      <c r="A365" s="9"/>
      <c r="B365" s="10"/>
      <c r="C365" s="11"/>
      <c r="D365" s="11"/>
      <c r="E365" s="11"/>
      <c r="F365" s="11"/>
      <c r="G365" s="12"/>
      <c r="H365" s="12"/>
      <c r="I365" s="10"/>
      <c r="J365" s="12"/>
      <c r="K365" s="13" t="str">
        <f aca="false">IF(ISNUMBER(B365),YEAR(B365),"")</f>
        <v/>
      </c>
      <c r="L365" s="13" t="str">
        <f aca="false">IF(ISNUMBER(B365),MONTH(B365),"")</f>
        <v/>
      </c>
      <c r="M365" s="13" t="str">
        <f aca="false">IF(AND(ISNUMBER(B365),ISNUMBER(I365)),B365-I365+1,"")</f>
        <v/>
      </c>
      <c r="N365" s="14" t="str">
        <f aca="false">IF(B365="","",IF(M365="","시작일 미입력",IF(M365&lt;1,"시작일 이전(확인)",IF(M365=1,"1일째",IF(M365=2,"2일째",IF(M365=3,"3일째",IF(M365&lt;=7,"일주일 이내",IF(M365&lt;=14,"이주일 이내","15일 이후"))))))))</f>
        <v/>
      </c>
      <c r="O365" s="0" t="str">
        <f aca="false">IF(AND(COUNTA($A365:$J365)&gt;0,OR(클레임조회!$C$4="",AND(ISNUMBER($B365),$B365&gt;=클레임조회!$C$4)),OR(클레임조회!$C$5="",AND(ISNUMBER($B365),$B365&lt;=클레임조회!$C$5)),OR(클레임조회!$C$6="",$C365=클레임조회!$C$6),OR(클레임조회!$C$7="",$D365=클레임조회!$C$7),OR(클레임조회!$C$8="",$E365=클레임조회!$C$8),OR(클레임조회!$C$9="",$F365=클레임조회!$C$9),OR(클레임조회!$C$10="",ISNUMBER(SEARCH(클레임조회!$C$10,$C365&amp;" "&amp;$F365&amp;" "&amp;$G365&amp;" "&amp;$H365)))),COUNT(O$1:O364)+1,"")</f>
        <v/>
      </c>
      <c r="P365" s="0" t="str">
        <f aca="false">IF(AND(TRIM(C365)&lt;&gt;"",COUNTIF(C$2:C365,C365)=1),MAX(P$1:P364)+1,"")</f>
        <v/>
      </c>
      <c r="Q365" s="0" t="str">
        <f aca="false">IF(AND(TRIM(F365)&lt;&gt;"",COUNTIF(F$2:F365,F365)=1),MAX(Q$1:Q364)+1,"")</f>
        <v/>
      </c>
    </row>
    <row r="366" customFormat="false" ht="15" hidden="false" customHeight="false" outlineLevel="0" collapsed="false">
      <c r="A366" s="9"/>
      <c r="B366" s="10"/>
      <c r="C366" s="11"/>
      <c r="D366" s="11"/>
      <c r="E366" s="11"/>
      <c r="F366" s="11"/>
      <c r="G366" s="12"/>
      <c r="H366" s="12"/>
      <c r="I366" s="10"/>
      <c r="J366" s="12"/>
      <c r="K366" s="13" t="str">
        <f aca="false">IF(ISNUMBER(B366),YEAR(B366),"")</f>
        <v/>
      </c>
      <c r="L366" s="13" t="str">
        <f aca="false">IF(ISNUMBER(B366),MONTH(B366),"")</f>
        <v/>
      </c>
      <c r="M366" s="13" t="str">
        <f aca="false">IF(AND(ISNUMBER(B366),ISNUMBER(I366)),B366-I366+1,"")</f>
        <v/>
      </c>
      <c r="N366" s="14" t="str">
        <f aca="false">IF(B366="","",IF(M366="","시작일 미입력",IF(M366&lt;1,"시작일 이전(확인)",IF(M366=1,"1일째",IF(M366=2,"2일째",IF(M366=3,"3일째",IF(M366&lt;=7,"일주일 이내",IF(M366&lt;=14,"이주일 이내","15일 이후"))))))))</f>
        <v/>
      </c>
      <c r="O366" s="0" t="str">
        <f aca="false">IF(AND(COUNTA($A366:$J366)&gt;0,OR(클레임조회!$C$4="",AND(ISNUMBER($B366),$B366&gt;=클레임조회!$C$4)),OR(클레임조회!$C$5="",AND(ISNUMBER($B366),$B366&lt;=클레임조회!$C$5)),OR(클레임조회!$C$6="",$C366=클레임조회!$C$6),OR(클레임조회!$C$7="",$D366=클레임조회!$C$7),OR(클레임조회!$C$8="",$E366=클레임조회!$C$8),OR(클레임조회!$C$9="",$F366=클레임조회!$C$9),OR(클레임조회!$C$10="",ISNUMBER(SEARCH(클레임조회!$C$10,$C366&amp;" "&amp;$F366&amp;" "&amp;$G366&amp;" "&amp;$H366)))),COUNT(O$1:O365)+1,"")</f>
        <v/>
      </c>
      <c r="P366" s="0" t="str">
        <f aca="false">IF(AND(TRIM(C366)&lt;&gt;"",COUNTIF(C$2:C366,C366)=1),MAX(P$1:P365)+1,"")</f>
        <v/>
      </c>
      <c r="Q366" s="0" t="str">
        <f aca="false">IF(AND(TRIM(F366)&lt;&gt;"",COUNTIF(F$2:F366,F366)=1),MAX(Q$1:Q365)+1,"")</f>
        <v/>
      </c>
    </row>
    <row r="367" customFormat="false" ht="15" hidden="false" customHeight="false" outlineLevel="0" collapsed="false">
      <c r="A367" s="9"/>
      <c r="B367" s="10"/>
      <c r="C367" s="11"/>
      <c r="D367" s="11"/>
      <c r="E367" s="11"/>
      <c r="F367" s="11"/>
      <c r="G367" s="12"/>
      <c r="H367" s="12"/>
      <c r="I367" s="10"/>
      <c r="J367" s="12"/>
      <c r="K367" s="13" t="str">
        <f aca="false">IF(ISNUMBER(B367),YEAR(B367),"")</f>
        <v/>
      </c>
      <c r="L367" s="13" t="str">
        <f aca="false">IF(ISNUMBER(B367),MONTH(B367),"")</f>
        <v/>
      </c>
      <c r="M367" s="13" t="str">
        <f aca="false">IF(AND(ISNUMBER(B367),ISNUMBER(I367)),B367-I367+1,"")</f>
        <v/>
      </c>
      <c r="N367" s="14" t="str">
        <f aca="false">IF(B367="","",IF(M367="","시작일 미입력",IF(M367&lt;1,"시작일 이전(확인)",IF(M367=1,"1일째",IF(M367=2,"2일째",IF(M367=3,"3일째",IF(M367&lt;=7,"일주일 이내",IF(M367&lt;=14,"이주일 이내","15일 이후"))))))))</f>
        <v/>
      </c>
      <c r="O367" s="0" t="str">
        <f aca="false">IF(AND(COUNTA($A367:$J367)&gt;0,OR(클레임조회!$C$4="",AND(ISNUMBER($B367),$B367&gt;=클레임조회!$C$4)),OR(클레임조회!$C$5="",AND(ISNUMBER($B367),$B367&lt;=클레임조회!$C$5)),OR(클레임조회!$C$6="",$C367=클레임조회!$C$6),OR(클레임조회!$C$7="",$D367=클레임조회!$C$7),OR(클레임조회!$C$8="",$E367=클레임조회!$C$8),OR(클레임조회!$C$9="",$F367=클레임조회!$C$9),OR(클레임조회!$C$10="",ISNUMBER(SEARCH(클레임조회!$C$10,$C367&amp;" "&amp;$F367&amp;" "&amp;$G367&amp;" "&amp;$H367)))),COUNT(O$1:O366)+1,"")</f>
        <v/>
      </c>
      <c r="P367" s="0" t="str">
        <f aca="false">IF(AND(TRIM(C367)&lt;&gt;"",COUNTIF(C$2:C367,C367)=1),MAX(P$1:P366)+1,"")</f>
        <v/>
      </c>
      <c r="Q367" s="0" t="str">
        <f aca="false">IF(AND(TRIM(F367)&lt;&gt;"",COUNTIF(F$2:F367,F367)=1),MAX(Q$1:Q366)+1,"")</f>
        <v/>
      </c>
    </row>
    <row r="368" customFormat="false" ht="15" hidden="false" customHeight="false" outlineLevel="0" collapsed="false">
      <c r="A368" s="9"/>
      <c r="B368" s="10"/>
      <c r="C368" s="11"/>
      <c r="D368" s="11"/>
      <c r="E368" s="11"/>
      <c r="F368" s="11"/>
      <c r="G368" s="12"/>
      <c r="H368" s="12"/>
      <c r="I368" s="10"/>
      <c r="J368" s="12"/>
      <c r="K368" s="13" t="str">
        <f aca="false">IF(ISNUMBER(B368),YEAR(B368),"")</f>
        <v/>
      </c>
      <c r="L368" s="13" t="str">
        <f aca="false">IF(ISNUMBER(B368),MONTH(B368),"")</f>
        <v/>
      </c>
      <c r="M368" s="13" t="str">
        <f aca="false">IF(AND(ISNUMBER(B368),ISNUMBER(I368)),B368-I368+1,"")</f>
        <v/>
      </c>
      <c r="N368" s="14" t="str">
        <f aca="false">IF(B368="","",IF(M368="","시작일 미입력",IF(M368&lt;1,"시작일 이전(확인)",IF(M368=1,"1일째",IF(M368=2,"2일째",IF(M368=3,"3일째",IF(M368&lt;=7,"일주일 이내",IF(M368&lt;=14,"이주일 이내","15일 이후"))))))))</f>
        <v/>
      </c>
      <c r="O368" s="0" t="str">
        <f aca="false">IF(AND(COUNTA($A368:$J368)&gt;0,OR(클레임조회!$C$4="",AND(ISNUMBER($B368),$B368&gt;=클레임조회!$C$4)),OR(클레임조회!$C$5="",AND(ISNUMBER($B368),$B368&lt;=클레임조회!$C$5)),OR(클레임조회!$C$6="",$C368=클레임조회!$C$6),OR(클레임조회!$C$7="",$D368=클레임조회!$C$7),OR(클레임조회!$C$8="",$E368=클레임조회!$C$8),OR(클레임조회!$C$9="",$F368=클레임조회!$C$9),OR(클레임조회!$C$10="",ISNUMBER(SEARCH(클레임조회!$C$10,$C368&amp;" "&amp;$F368&amp;" "&amp;$G368&amp;" "&amp;$H368)))),COUNT(O$1:O367)+1,"")</f>
        <v/>
      </c>
      <c r="P368" s="0" t="str">
        <f aca="false">IF(AND(TRIM(C368)&lt;&gt;"",COUNTIF(C$2:C368,C368)=1),MAX(P$1:P367)+1,"")</f>
        <v/>
      </c>
      <c r="Q368" s="0" t="str">
        <f aca="false">IF(AND(TRIM(F368)&lt;&gt;"",COUNTIF(F$2:F368,F368)=1),MAX(Q$1:Q367)+1,"")</f>
        <v/>
      </c>
    </row>
    <row r="369" customFormat="false" ht="15" hidden="false" customHeight="false" outlineLevel="0" collapsed="false">
      <c r="A369" s="9"/>
      <c r="B369" s="10"/>
      <c r="C369" s="11"/>
      <c r="D369" s="11"/>
      <c r="E369" s="11"/>
      <c r="F369" s="11"/>
      <c r="G369" s="12"/>
      <c r="H369" s="12"/>
      <c r="I369" s="10"/>
      <c r="J369" s="12"/>
      <c r="K369" s="13" t="str">
        <f aca="false">IF(ISNUMBER(B369),YEAR(B369),"")</f>
        <v/>
      </c>
      <c r="L369" s="13" t="str">
        <f aca="false">IF(ISNUMBER(B369),MONTH(B369),"")</f>
        <v/>
      </c>
      <c r="M369" s="13" t="str">
        <f aca="false">IF(AND(ISNUMBER(B369),ISNUMBER(I369)),B369-I369+1,"")</f>
        <v/>
      </c>
      <c r="N369" s="14" t="str">
        <f aca="false">IF(B369="","",IF(M369="","시작일 미입력",IF(M369&lt;1,"시작일 이전(확인)",IF(M369=1,"1일째",IF(M369=2,"2일째",IF(M369=3,"3일째",IF(M369&lt;=7,"일주일 이내",IF(M369&lt;=14,"이주일 이내","15일 이후"))))))))</f>
        <v/>
      </c>
      <c r="O369" s="0" t="str">
        <f aca="false">IF(AND(COUNTA($A369:$J369)&gt;0,OR(클레임조회!$C$4="",AND(ISNUMBER($B369),$B369&gt;=클레임조회!$C$4)),OR(클레임조회!$C$5="",AND(ISNUMBER($B369),$B369&lt;=클레임조회!$C$5)),OR(클레임조회!$C$6="",$C369=클레임조회!$C$6),OR(클레임조회!$C$7="",$D369=클레임조회!$C$7),OR(클레임조회!$C$8="",$E369=클레임조회!$C$8),OR(클레임조회!$C$9="",$F369=클레임조회!$C$9),OR(클레임조회!$C$10="",ISNUMBER(SEARCH(클레임조회!$C$10,$C369&amp;" "&amp;$F369&amp;" "&amp;$G369&amp;" "&amp;$H369)))),COUNT(O$1:O368)+1,"")</f>
        <v/>
      </c>
      <c r="P369" s="0" t="str">
        <f aca="false">IF(AND(TRIM(C369)&lt;&gt;"",COUNTIF(C$2:C369,C369)=1),MAX(P$1:P368)+1,"")</f>
        <v/>
      </c>
      <c r="Q369" s="0" t="str">
        <f aca="false">IF(AND(TRIM(F369)&lt;&gt;"",COUNTIF(F$2:F369,F369)=1),MAX(Q$1:Q368)+1,"")</f>
        <v/>
      </c>
    </row>
    <row r="370" customFormat="false" ht="15" hidden="false" customHeight="false" outlineLevel="0" collapsed="false">
      <c r="A370" s="9"/>
      <c r="B370" s="10"/>
      <c r="C370" s="11"/>
      <c r="D370" s="11"/>
      <c r="E370" s="11"/>
      <c r="F370" s="11"/>
      <c r="G370" s="12"/>
      <c r="H370" s="12"/>
      <c r="I370" s="10"/>
      <c r="J370" s="12"/>
      <c r="K370" s="13" t="str">
        <f aca="false">IF(ISNUMBER(B370),YEAR(B370),"")</f>
        <v/>
      </c>
      <c r="L370" s="13" t="str">
        <f aca="false">IF(ISNUMBER(B370),MONTH(B370),"")</f>
        <v/>
      </c>
      <c r="M370" s="13" t="str">
        <f aca="false">IF(AND(ISNUMBER(B370),ISNUMBER(I370)),B370-I370+1,"")</f>
        <v/>
      </c>
      <c r="N370" s="14" t="str">
        <f aca="false">IF(B370="","",IF(M370="","시작일 미입력",IF(M370&lt;1,"시작일 이전(확인)",IF(M370=1,"1일째",IF(M370=2,"2일째",IF(M370=3,"3일째",IF(M370&lt;=7,"일주일 이내",IF(M370&lt;=14,"이주일 이내","15일 이후"))))))))</f>
        <v/>
      </c>
      <c r="O370" s="0" t="str">
        <f aca="false">IF(AND(COUNTA($A370:$J370)&gt;0,OR(클레임조회!$C$4="",AND(ISNUMBER($B370),$B370&gt;=클레임조회!$C$4)),OR(클레임조회!$C$5="",AND(ISNUMBER($B370),$B370&lt;=클레임조회!$C$5)),OR(클레임조회!$C$6="",$C370=클레임조회!$C$6),OR(클레임조회!$C$7="",$D370=클레임조회!$C$7),OR(클레임조회!$C$8="",$E370=클레임조회!$C$8),OR(클레임조회!$C$9="",$F370=클레임조회!$C$9),OR(클레임조회!$C$10="",ISNUMBER(SEARCH(클레임조회!$C$10,$C370&amp;" "&amp;$F370&amp;" "&amp;$G370&amp;" "&amp;$H370)))),COUNT(O$1:O369)+1,"")</f>
        <v/>
      </c>
      <c r="P370" s="0" t="str">
        <f aca="false">IF(AND(TRIM(C370)&lt;&gt;"",COUNTIF(C$2:C370,C370)=1),MAX(P$1:P369)+1,"")</f>
        <v/>
      </c>
      <c r="Q370" s="0" t="str">
        <f aca="false">IF(AND(TRIM(F370)&lt;&gt;"",COUNTIF(F$2:F370,F370)=1),MAX(Q$1:Q369)+1,"")</f>
        <v/>
      </c>
    </row>
    <row r="371" customFormat="false" ht="15" hidden="false" customHeight="false" outlineLevel="0" collapsed="false">
      <c r="A371" s="9"/>
      <c r="B371" s="10"/>
      <c r="C371" s="11"/>
      <c r="D371" s="11"/>
      <c r="E371" s="11"/>
      <c r="F371" s="11"/>
      <c r="G371" s="12"/>
      <c r="H371" s="12"/>
      <c r="I371" s="10"/>
      <c r="J371" s="12"/>
      <c r="K371" s="13" t="str">
        <f aca="false">IF(ISNUMBER(B371),YEAR(B371),"")</f>
        <v/>
      </c>
      <c r="L371" s="13" t="str">
        <f aca="false">IF(ISNUMBER(B371),MONTH(B371),"")</f>
        <v/>
      </c>
      <c r="M371" s="13" t="str">
        <f aca="false">IF(AND(ISNUMBER(B371),ISNUMBER(I371)),B371-I371+1,"")</f>
        <v/>
      </c>
      <c r="N371" s="14" t="str">
        <f aca="false">IF(B371="","",IF(M371="","시작일 미입력",IF(M371&lt;1,"시작일 이전(확인)",IF(M371=1,"1일째",IF(M371=2,"2일째",IF(M371=3,"3일째",IF(M371&lt;=7,"일주일 이내",IF(M371&lt;=14,"이주일 이내","15일 이후"))))))))</f>
        <v/>
      </c>
      <c r="O371" s="0" t="str">
        <f aca="false">IF(AND(COUNTA($A371:$J371)&gt;0,OR(클레임조회!$C$4="",AND(ISNUMBER($B371),$B371&gt;=클레임조회!$C$4)),OR(클레임조회!$C$5="",AND(ISNUMBER($B371),$B371&lt;=클레임조회!$C$5)),OR(클레임조회!$C$6="",$C371=클레임조회!$C$6),OR(클레임조회!$C$7="",$D371=클레임조회!$C$7),OR(클레임조회!$C$8="",$E371=클레임조회!$C$8),OR(클레임조회!$C$9="",$F371=클레임조회!$C$9),OR(클레임조회!$C$10="",ISNUMBER(SEARCH(클레임조회!$C$10,$C371&amp;" "&amp;$F371&amp;" "&amp;$G371&amp;" "&amp;$H371)))),COUNT(O$1:O370)+1,"")</f>
        <v/>
      </c>
      <c r="P371" s="0" t="str">
        <f aca="false">IF(AND(TRIM(C371)&lt;&gt;"",COUNTIF(C$2:C371,C371)=1),MAX(P$1:P370)+1,"")</f>
        <v/>
      </c>
      <c r="Q371" s="0" t="str">
        <f aca="false">IF(AND(TRIM(F371)&lt;&gt;"",COUNTIF(F$2:F371,F371)=1),MAX(Q$1:Q370)+1,"")</f>
        <v/>
      </c>
    </row>
    <row r="372" customFormat="false" ht="15" hidden="false" customHeight="false" outlineLevel="0" collapsed="false">
      <c r="A372" s="9"/>
      <c r="B372" s="10"/>
      <c r="C372" s="11"/>
      <c r="D372" s="11"/>
      <c r="E372" s="11"/>
      <c r="F372" s="11"/>
      <c r="G372" s="12"/>
      <c r="H372" s="12"/>
      <c r="I372" s="10"/>
      <c r="J372" s="12"/>
      <c r="K372" s="13" t="str">
        <f aca="false">IF(ISNUMBER(B372),YEAR(B372),"")</f>
        <v/>
      </c>
      <c r="L372" s="13" t="str">
        <f aca="false">IF(ISNUMBER(B372),MONTH(B372),"")</f>
        <v/>
      </c>
      <c r="M372" s="13" t="str">
        <f aca="false">IF(AND(ISNUMBER(B372),ISNUMBER(I372)),B372-I372+1,"")</f>
        <v/>
      </c>
      <c r="N372" s="14" t="str">
        <f aca="false">IF(B372="","",IF(M372="","시작일 미입력",IF(M372&lt;1,"시작일 이전(확인)",IF(M372=1,"1일째",IF(M372=2,"2일째",IF(M372=3,"3일째",IF(M372&lt;=7,"일주일 이내",IF(M372&lt;=14,"이주일 이내","15일 이후"))))))))</f>
        <v/>
      </c>
      <c r="O372" s="0" t="str">
        <f aca="false">IF(AND(COUNTA($A372:$J372)&gt;0,OR(클레임조회!$C$4="",AND(ISNUMBER($B372),$B372&gt;=클레임조회!$C$4)),OR(클레임조회!$C$5="",AND(ISNUMBER($B372),$B372&lt;=클레임조회!$C$5)),OR(클레임조회!$C$6="",$C372=클레임조회!$C$6),OR(클레임조회!$C$7="",$D372=클레임조회!$C$7),OR(클레임조회!$C$8="",$E372=클레임조회!$C$8),OR(클레임조회!$C$9="",$F372=클레임조회!$C$9),OR(클레임조회!$C$10="",ISNUMBER(SEARCH(클레임조회!$C$10,$C372&amp;" "&amp;$F372&amp;" "&amp;$G372&amp;" "&amp;$H372)))),COUNT(O$1:O371)+1,"")</f>
        <v/>
      </c>
      <c r="P372" s="0" t="str">
        <f aca="false">IF(AND(TRIM(C372)&lt;&gt;"",COUNTIF(C$2:C372,C372)=1),MAX(P$1:P371)+1,"")</f>
        <v/>
      </c>
      <c r="Q372" s="0" t="str">
        <f aca="false">IF(AND(TRIM(F372)&lt;&gt;"",COUNTIF(F$2:F372,F372)=1),MAX(Q$1:Q371)+1,"")</f>
        <v/>
      </c>
    </row>
    <row r="373" customFormat="false" ht="15" hidden="false" customHeight="false" outlineLevel="0" collapsed="false">
      <c r="A373" s="9"/>
      <c r="B373" s="10"/>
      <c r="C373" s="11"/>
      <c r="D373" s="11"/>
      <c r="E373" s="11"/>
      <c r="F373" s="11"/>
      <c r="G373" s="12"/>
      <c r="H373" s="12"/>
      <c r="I373" s="10"/>
      <c r="J373" s="12"/>
      <c r="K373" s="13" t="str">
        <f aca="false">IF(ISNUMBER(B373),YEAR(B373),"")</f>
        <v/>
      </c>
      <c r="L373" s="13" t="str">
        <f aca="false">IF(ISNUMBER(B373),MONTH(B373),"")</f>
        <v/>
      </c>
      <c r="M373" s="13" t="str">
        <f aca="false">IF(AND(ISNUMBER(B373),ISNUMBER(I373)),B373-I373+1,"")</f>
        <v/>
      </c>
      <c r="N373" s="14" t="str">
        <f aca="false">IF(B373="","",IF(M373="","시작일 미입력",IF(M373&lt;1,"시작일 이전(확인)",IF(M373=1,"1일째",IF(M373=2,"2일째",IF(M373=3,"3일째",IF(M373&lt;=7,"일주일 이내",IF(M373&lt;=14,"이주일 이내","15일 이후"))))))))</f>
        <v/>
      </c>
      <c r="O373" s="0" t="str">
        <f aca="false">IF(AND(COUNTA($A373:$J373)&gt;0,OR(클레임조회!$C$4="",AND(ISNUMBER($B373),$B373&gt;=클레임조회!$C$4)),OR(클레임조회!$C$5="",AND(ISNUMBER($B373),$B373&lt;=클레임조회!$C$5)),OR(클레임조회!$C$6="",$C373=클레임조회!$C$6),OR(클레임조회!$C$7="",$D373=클레임조회!$C$7),OR(클레임조회!$C$8="",$E373=클레임조회!$C$8),OR(클레임조회!$C$9="",$F373=클레임조회!$C$9),OR(클레임조회!$C$10="",ISNUMBER(SEARCH(클레임조회!$C$10,$C373&amp;" "&amp;$F373&amp;" "&amp;$G373&amp;" "&amp;$H373)))),COUNT(O$1:O372)+1,"")</f>
        <v/>
      </c>
      <c r="P373" s="0" t="str">
        <f aca="false">IF(AND(TRIM(C373)&lt;&gt;"",COUNTIF(C$2:C373,C373)=1),MAX(P$1:P372)+1,"")</f>
        <v/>
      </c>
      <c r="Q373" s="0" t="str">
        <f aca="false">IF(AND(TRIM(F373)&lt;&gt;"",COUNTIF(F$2:F373,F373)=1),MAX(Q$1:Q372)+1,"")</f>
        <v/>
      </c>
    </row>
    <row r="374" customFormat="false" ht="15" hidden="false" customHeight="false" outlineLevel="0" collapsed="false">
      <c r="A374" s="9"/>
      <c r="B374" s="10"/>
      <c r="C374" s="11"/>
      <c r="D374" s="11"/>
      <c r="E374" s="11"/>
      <c r="F374" s="11"/>
      <c r="G374" s="12"/>
      <c r="H374" s="12"/>
      <c r="I374" s="10"/>
      <c r="J374" s="12"/>
      <c r="K374" s="13" t="str">
        <f aca="false">IF(ISNUMBER(B374),YEAR(B374),"")</f>
        <v/>
      </c>
      <c r="L374" s="13" t="str">
        <f aca="false">IF(ISNUMBER(B374),MONTH(B374),"")</f>
        <v/>
      </c>
      <c r="M374" s="13" t="str">
        <f aca="false">IF(AND(ISNUMBER(B374),ISNUMBER(I374)),B374-I374+1,"")</f>
        <v/>
      </c>
      <c r="N374" s="14" t="str">
        <f aca="false">IF(B374="","",IF(M374="","시작일 미입력",IF(M374&lt;1,"시작일 이전(확인)",IF(M374=1,"1일째",IF(M374=2,"2일째",IF(M374=3,"3일째",IF(M374&lt;=7,"일주일 이내",IF(M374&lt;=14,"이주일 이내","15일 이후"))))))))</f>
        <v/>
      </c>
      <c r="O374" s="0" t="str">
        <f aca="false">IF(AND(COUNTA($A374:$J374)&gt;0,OR(클레임조회!$C$4="",AND(ISNUMBER($B374),$B374&gt;=클레임조회!$C$4)),OR(클레임조회!$C$5="",AND(ISNUMBER($B374),$B374&lt;=클레임조회!$C$5)),OR(클레임조회!$C$6="",$C374=클레임조회!$C$6),OR(클레임조회!$C$7="",$D374=클레임조회!$C$7),OR(클레임조회!$C$8="",$E374=클레임조회!$C$8),OR(클레임조회!$C$9="",$F374=클레임조회!$C$9),OR(클레임조회!$C$10="",ISNUMBER(SEARCH(클레임조회!$C$10,$C374&amp;" "&amp;$F374&amp;" "&amp;$G374&amp;" "&amp;$H374)))),COUNT(O$1:O373)+1,"")</f>
        <v/>
      </c>
      <c r="P374" s="0" t="str">
        <f aca="false">IF(AND(TRIM(C374)&lt;&gt;"",COUNTIF(C$2:C374,C374)=1),MAX(P$1:P373)+1,"")</f>
        <v/>
      </c>
      <c r="Q374" s="0" t="str">
        <f aca="false">IF(AND(TRIM(F374)&lt;&gt;"",COUNTIF(F$2:F374,F374)=1),MAX(Q$1:Q373)+1,"")</f>
        <v/>
      </c>
    </row>
    <row r="375" customFormat="false" ht="15" hidden="false" customHeight="false" outlineLevel="0" collapsed="false">
      <c r="A375" s="9"/>
      <c r="B375" s="10"/>
      <c r="C375" s="11"/>
      <c r="D375" s="11"/>
      <c r="E375" s="11"/>
      <c r="F375" s="11"/>
      <c r="G375" s="12"/>
      <c r="H375" s="12"/>
      <c r="I375" s="10"/>
      <c r="J375" s="12"/>
      <c r="K375" s="13" t="str">
        <f aca="false">IF(ISNUMBER(B375),YEAR(B375),"")</f>
        <v/>
      </c>
      <c r="L375" s="13" t="str">
        <f aca="false">IF(ISNUMBER(B375),MONTH(B375),"")</f>
        <v/>
      </c>
      <c r="M375" s="13" t="str">
        <f aca="false">IF(AND(ISNUMBER(B375),ISNUMBER(I375)),B375-I375+1,"")</f>
        <v/>
      </c>
      <c r="N375" s="14" t="str">
        <f aca="false">IF(B375="","",IF(M375="","시작일 미입력",IF(M375&lt;1,"시작일 이전(확인)",IF(M375=1,"1일째",IF(M375=2,"2일째",IF(M375=3,"3일째",IF(M375&lt;=7,"일주일 이내",IF(M375&lt;=14,"이주일 이내","15일 이후"))))))))</f>
        <v/>
      </c>
      <c r="O375" s="0" t="str">
        <f aca="false">IF(AND(COUNTA($A375:$J375)&gt;0,OR(클레임조회!$C$4="",AND(ISNUMBER($B375),$B375&gt;=클레임조회!$C$4)),OR(클레임조회!$C$5="",AND(ISNUMBER($B375),$B375&lt;=클레임조회!$C$5)),OR(클레임조회!$C$6="",$C375=클레임조회!$C$6),OR(클레임조회!$C$7="",$D375=클레임조회!$C$7),OR(클레임조회!$C$8="",$E375=클레임조회!$C$8),OR(클레임조회!$C$9="",$F375=클레임조회!$C$9),OR(클레임조회!$C$10="",ISNUMBER(SEARCH(클레임조회!$C$10,$C375&amp;" "&amp;$F375&amp;" "&amp;$G375&amp;" "&amp;$H375)))),COUNT(O$1:O374)+1,"")</f>
        <v/>
      </c>
      <c r="P375" s="0" t="str">
        <f aca="false">IF(AND(TRIM(C375)&lt;&gt;"",COUNTIF(C$2:C375,C375)=1),MAX(P$1:P374)+1,"")</f>
        <v/>
      </c>
      <c r="Q375" s="0" t="str">
        <f aca="false">IF(AND(TRIM(F375)&lt;&gt;"",COUNTIF(F$2:F375,F375)=1),MAX(Q$1:Q374)+1,"")</f>
        <v/>
      </c>
    </row>
    <row r="376" customFormat="false" ht="15" hidden="false" customHeight="false" outlineLevel="0" collapsed="false">
      <c r="A376" s="9"/>
      <c r="B376" s="10"/>
      <c r="C376" s="11"/>
      <c r="D376" s="11"/>
      <c r="E376" s="11"/>
      <c r="F376" s="11"/>
      <c r="G376" s="12"/>
      <c r="H376" s="12"/>
      <c r="I376" s="10"/>
      <c r="J376" s="12"/>
      <c r="K376" s="13" t="str">
        <f aca="false">IF(ISNUMBER(B376),YEAR(B376),"")</f>
        <v/>
      </c>
      <c r="L376" s="13" t="str">
        <f aca="false">IF(ISNUMBER(B376),MONTH(B376),"")</f>
        <v/>
      </c>
      <c r="M376" s="13" t="str">
        <f aca="false">IF(AND(ISNUMBER(B376),ISNUMBER(I376)),B376-I376+1,"")</f>
        <v/>
      </c>
      <c r="N376" s="14" t="str">
        <f aca="false">IF(B376="","",IF(M376="","시작일 미입력",IF(M376&lt;1,"시작일 이전(확인)",IF(M376=1,"1일째",IF(M376=2,"2일째",IF(M376=3,"3일째",IF(M376&lt;=7,"일주일 이내",IF(M376&lt;=14,"이주일 이내","15일 이후"))))))))</f>
        <v/>
      </c>
      <c r="O376" s="0" t="str">
        <f aca="false">IF(AND(COUNTA($A376:$J376)&gt;0,OR(클레임조회!$C$4="",AND(ISNUMBER($B376),$B376&gt;=클레임조회!$C$4)),OR(클레임조회!$C$5="",AND(ISNUMBER($B376),$B376&lt;=클레임조회!$C$5)),OR(클레임조회!$C$6="",$C376=클레임조회!$C$6),OR(클레임조회!$C$7="",$D376=클레임조회!$C$7),OR(클레임조회!$C$8="",$E376=클레임조회!$C$8),OR(클레임조회!$C$9="",$F376=클레임조회!$C$9),OR(클레임조회!$C$10="",ISNUMBER(SEARCH(클레임조회!$C$10,$C376&amp;" "&amp;$F376&amp;" "&amp;$G376&amp;" "&amp;$H376)))),COUNT(O$1:O375)+1,"")</f>
        <v/>
      </c>
      <c r="P376" s="0" t="str">
        <f aca="false">IF(AND(TRIM(C376)&lt;&gt;"",COUNTIF(C$2:C376,C376)=1),MAX(P$1:P375)+1,"")</f>
        <v/>
      </c>
      <c r="Q376" s="0" t="str">
        <f aca="false">IF(AND(TRIM(F376)&lt;&gt;"",COUNTIF(F$2:F376,F376)=1),MAX(Q$1:Q375)+1,"")</f>
        <v/>
      </c>
    </row>
    <row r="377" customFormat="false" ht="15" hidden="false" customHeight="false" outlineLevel="0" collapsed="false">
      <c r="A377" s="9"/>
      <c r="B377" s="10"/>
      <c r="C377" s="11"/>
      <c r="D377" s="11"/>
      <c r="E377" s="11"/>
      <c r="F377" s="11"/>
      <c r="G377" s="12"/>
      <c r="H377" s="12"/>
      <c r="I377" s="10"/>
      <c r="J377" s="12"/>
      <c r="K377" s="13" t="str">
        <f aca="false">IF(ISNUMBER(B377),YEAR(B377),"")</f>
        <v/>
      </c>
      <c r="L377" s="13" t="str">
        <f aca="false">IF(ISNUMBER(B377),MONTH(B377),"")</f>
        <v/>
      </c>
      <c r="M377" s="13" t="str">
        <f aca="false">IF(AND(ISNUMBER(B377),ISNUMBER(I377)),B377-I377+1,"")</f>
        <v/>
      </c>
      <c r="N377" s="14" t="str">
        <f aca="false">IF(B377="","",IF(M377="","시작일 미입력",IF(M377&lt;1,"시작일 이전(확인)",IF(M377=1,"1일째",IF(M377=2,"2일째",IF(M377=3,"3일째",IF(M377&lt;=7,"일주일 이내",IF(M377&lt;=14,"이주일 이내","15일 이후"))))))))</f>
        <v/>
      </c>
      <c r="O377" s="0" t="str">
        <f aca="false">IF(AND(COUNTA($A377:$J377)&gt;0,OR(클레임조회!$C$4="",AND(ISNUMBER($B377),$B377&gt;=클레임조회!$C$4)),OR(클레임조회!$C$5="",AND(ISNUMBER($B377),$B377&lt;=클레임조회!$C$5)),OR(클레임조회!$C$6="",$C377=클레임조회!$C$6),OR(클레임조회!$C$7="",$D377=클레임조회!$C$7),OR(클레임조회!$C$8="",$E377=클레임조회!$C$8),OR(클레임조회!$C$9="",$F377=클레임조회!$C$9),OR(클레임조회!$C$10="",ISNUMBER(SEARCH(클레임조회!$C$10,$C377&amp;" "&amp;$F377&amp;" "&amp;$G377&amp;" "&amp;$H377)))),COUNT(O$1:O376)+1,"")</f>
        <v/>
      </c>
      <c r="P377" s="0" t="str">
        <f aca="false">IF(AND(TRIM(C377)&lt;&gt;"",COUNTIF(C$2:C377,C377)=1),MAX(P$1:P376)+1,"")</f>
        <v/>
      </c>
      <c r="Q377" s="0" t="str">
        <f aca="false">IF(AND(TRIM(F377)&lt;&gt;"",COUNTIF(F$2:F377,F377)=1),MAX(Q$1:Q376)+1,"")</f>
        <v/>
      </c>
    </row>
    <row r="378" customFormat="false" ht="15" hidden="false" customHeight="false" outlineLevel="0" collapsed="false">
      <c r="A378" s="9"/>
      <c r="B378" s="10"/>
      <c r="C378" s="11"/>
      <c r="D378" s="11"/>
      <c r="E378" s="11"/>
      <c r="F378" s="11"/>
      <c r="G378" s="12"/>
      <c r="H378" s="12"/>
      <c r="I378" s="10"/>
      <c r="J378" s="12"/>
      <c r="K378" s="13" t="str">
        <f aca="false">IF(ISNUMBER(B378),YEAR(B378),"")</f>
        <v/>
      </c>
      <c r="L378" s="13" t="str">
        <f aca="false">IF(ISNUMBER(B378),MONTH(B378),"")</f>
        <v/>
      </c>
      <c r="M378" s="13" t="str">
        <f aca="false">IF(AND(ISNUMBER(B378),ISNUMBER(I378)),B378-I378+1,"")</f>
        <v/>
      </c>
      <c r="N378" s="14" t="str">
        <f aca="false">IF(B378="","",IF(M378="","시작일 미입력",IF(M378&lt;1,"시작일 이전(확인)",IF(M378=1,"1일째",IF(M378=2,"2일째",IF(M378=3,"3일째",IF(M378&lt;=7,"일주일 이내",IF(M378&lt;=14,"이주일 이내","15일 이후"))))))))</f>
        <v/>
      </c>
      <c r="O378" s="0" t="str">
        <f aca="false">IF(AND(COUNTA($A378:$J378)&gt;0,OR(클레임조회!$C$4="",AND(ISNUMBER($B378),$B378&gt;=클레임조회!$C$4)),OR(클레임조회!$C$5="",AND(ISNUMBER($B378),$B378&lt;=클레임조회!$C$5)),OR(클레임조회!$C$6="",$C378=클레임조회!$C$6),OR(클레임조회!$C$7="",$D378=클레임조회!$C$7),OR(클레임조회!$C$8="",$E378=클레임조회!$C$8),OR(클레임조회!$C$9="",$F378=클레임조회!$C$9),OR(클레임조회!$C$10="",ISNUMBER(SEARCH(클레임조회!$C$10,$C378&amp;" "&amp;$F378&amp;" "&amp;$G378&amp;" "&amp;$H378)))),COUNT(O$1:O377)+1,"")</f>
        <v/>
      </c>
      <c r="P378" s="0" t="str">
        <f aca="false">IF(AND(TRIM(C378)&lt;&gt;"",COUNTIF(C$2:C378,C378)=1),MAX(P$1:P377)+1,"")</f>
        <v/>
      </c>
      <c r="Q378" s="0" t="str">
        <f aca="false">IF(AND(TRIM(F378)&lt;&gt;"",COUNTIF(F$2:F378,F378)=1),MAX(Q$1:Q377)+1,"")</f>
        <v/>
      </c>
    </row>
    <row r="379" customFormat="false" ht="15" hidden="false" customHeight="false" outlineLevel="0" collapsed="false">
      <c r="A379" s="9"/>
      <c r="B379" s="10"/>
      <c r="C379" s="11"/>
      <c r="D379" s="11"/>
      <c r="E379" s="11"/>
      <c r="F379" s="11"/>
      <c r="G379" s="12"/>
      <c r="H379" s="12"/>
      <c r="I379" s="10"/>
      <c r="J379" s="12"/>
      <c r="K379" s="13" t="str">
        <f aca="false">IF(ISNUMBER(B379),YEAR(B379),"")</f>
        <v/>
      </c>
      <c r="L379" s="13" t="str">
        <f aca="false">IF(ISNUMBER(B379),MONTH(B379),"")</f>
        <v/>
      </c>
      <c r="M379" s="13" t="str">
        <f aca="false">IF(AND(ISNUMBER(B379),ISNUMBER(I379)),B379-I379+1,"")</f>
        <v/>
      </c>
      <c r="N379" s="14" t="str">
        <f aca="false">IF(B379="","",IF(M379="","시작일 미입력",IF(M379&lt;1,"시작일 이전(확인)",IF(M379=1,"1일째",IF(M379=2,"2일째",IF(M379=3,"3일째",IF(M379&lt;=7,"일주일 이내",IF(M379&lt;=14,"이주일 이내","15일 이후"))))))))</f>
        <v/>
      </c>
      <c r="O379" s="0" t="str">
        <f aca="false">IF(AND(COUNTA($A379:$J379)&gt;0,OR(클레임조회!$C$4="",AND(ISNUMBER($B379),$B379&gt;=클레임조회!$C$4)),OR(클레임조회!$C$5="",AND(ISNUMBER($B379),$B379&lt;=클레임조회!$C$5)),OR(클레임조회!$C$6="",$C379=클레임조회!$C$6),OR(클레임조회!$C$7="",$D379=클레임조회!$C$7),OR(클레임조회!$C$8="",$E379=클레임조회!$C$8),OR(클레임조회!$C$9="",$F379=클레임조회!$C$9),OR(클레임조회!$C$10="",ISNUMBER(SEARCH(클레임조회!$C$10,$C379&amp;" "&amp;$F379&amp;" "&amp;$G379&amp;" "&amp;$H379)))),COUNT(O$1:O378)+1,"")</f>
        <v/>
      </c>
      <c r="P379" s="0" t="str">
        <f aca="false">IF(AND(TRIM(C379)&lt;&gt;"",COUNTIF(C$2:C379,C379)=1),MAX(P$1:P378)+1,"")</f>
        <v/>
      </c>
      <c r="Q379" s="0" t="str">
        <f aca="false">IF(AND(TRIM(F379)&lt;&gt;"",COUNTIF(F$2:F379,F379)=1),MAX(Q$1:Q378)+1,"")</f>
        <v/>
      </c>
    </row>
    <row r="380" customFormat="false" ht="15" hidden="false" customHeight="false" outlineLevel="0" collapsed="false">
      <c r="A380" s="9"/>
      <c r="B380" s="10"/>
      <c r="C380" s="11"/>
      <c r="D380" s="11"/>
      <c r="E380" s="11"/>
      <c r="F380" s="11"/>
      <c r="G380" s="12"/>
      <c r="H380" s="12"/>
      <c r="I380" s="10"/>
      <c r="J380" s="12"/>
      <c r="K380" s="13" t="str">
        <f aca="false">IF(ISNUMBER(B380),YEAR(B380),"")</f>
        <v/>
      </c>
      <c r="L380" s="13" t="str">
        <f aca="false">IF(ISNUMBER(B380),MONTH(B380),"")</f>
        <v/>
      </c>
      <c r="M380" s="13" t="str">
        <f aca="false">IF(AND(ISNUMBER(B380),ISNUMBER(I380)),B380-I380+1,"")</f>
        <v/>
      </c>
      <c r="N380" s="14" t="str">
        <f aca="false">IF(B380="","",IF(M380="","시작일 미입력",IF(M380&lt;1,"시작일 이전(확인)",IF(M380=1,"1일째",IF(M380=2,"2일째",IF(M380=3,"3일째",IF(M380&lt;=7,"일주일 이내",IF(M380&lt;=14,"이주일 이내","15일 이후"))))))))</f>
        <v/>
      </c>
      <c r="O380" s="0" t="str">
        <f aca="false">IF(AND(COUNTA($A380:$J380)&gt;0,OR(클레임조회!$C$4="",AND(ISNUMBER($B380),$B380&gt;=클레임조회!$C$4)),OR(클레임조회!$C$5="",AND(ISNUMBER($B380),$B380&lt;=클레임조회!$C$5)),OR(클레임조회!$C$6="",$C380=클레임조회!$C$6),OR(클레임조회!$C$7="",$D380=클레임조회!$C$7),OR(클레임조회!$C$8="",$E380=클레임조회!$C$8),OR(클레임조회!$C$9="",$F380=클레임조회!$C$9),OR(클레임조회!$C$10="",ISNUMBER(SEARCH(클레임조회!$C$10,$C380&amp;" "&amp;$F380&amp;" "&amp;$G380&amp;" "&amp;$H380)))),COUNT(O$1:O379)+1,"")</f>
        <v/>
      </c>
      <c r="P380" s="0" t="str">
        <f aca="false">IF(AND(TRIM(C380)&lt;&gt;"",COUNTIF(C$2:C380,C380)=1),MAX(P$1:P379)+1,"")</f>
        <v/>
      </c>
      <c r="Q380" s="0" t="str">
        <f aca="false">IF(AND(TRIM(F380)&lt;&gt;"",COUNTIF(F$2:F380,F380)=1),MAX(Q$1:Q379)+1,"")</f>
        <v/>
      </c>
    </row>
    <row r="381" customFormat="false" ht="15" hidden="false" customHeight="false" outlineLevel="0" collapsed="false">
      <c r="A381" s="9"/>
      <c r="B381" s="10"/>
      <c r="C381" s="11"/>
      <c r="D381" s="11"/>
      <c r="E381" s="11"/>
      <c r="F381" s="11"/>
      <c r="G381" s="12"/>
      <c r="H381" s="12"/>
      <c r="I381" s="10"/>
      <c r="J381" s="12"/>
      <c r="K381" s="13" t="str">
        <f aca="false">IF(ISNUMBER(B381),YEAR(B381),"")</f>
        <v/>
      </c>
      <c r="L381" s="13" t="str">
        <f aca="false">IF(ISNUMBER(B381),MONTH(B381),"")</f>
        <v/>
      </c>
      <c r="M381" s="13" t="str">
        <f aca="false">IF(AND(ISNUMBER(B381),ISNUMBER(I381)),B381-I381+1,"")</f>
        <v/>
      </c>
      <c r="N381" s="14" t="str">
        <f aca="false">IF(B381="","",IF(M381="","시작일 미입력",IF(M381&lt;1,"시작일 이전(확인)",IF(M381=1,"1일째",IF(M381=2,"2일째",IF(M381=3,"3일째",IF(M381&lt;=7,"일주일 이내",IF(M381&lt;=14,"이주일 이내","15일 이후"))))))))</f>
        <v/>
      </c>
      <c r="O381" s="0" t="str">
        <f aca="false">IF(AND(COUNTA($A381:$J381)&gt;0,OR(클레임조회!$C$4="",AND(ISNUMBER($B381),$B381&gt;=클레임조회!$C$4)),OR(클레임조회!$C$5="",AND(ISNUMBER($B381),$B381&lt;=클레임조회!$C$5)),OR(클레임조회!$C$6="",$C381=클레임조회!$C$6),OR(클레임조회!$C$7="",$D381=클레임조회!$C$7),OR(클레임조회!$C$8="",$E381=클레임조회!$C$8),OR(클레임조회!$C$9="",$F381=클레임조회!$C$9),OR(클레임조회!$C$10="",ISNUMBER(SEARCH(클레임조회!$C$10,$C381&amp;" "&amp;$F381&amp;" "&amp;$G381&amp;" "&amp;$H381)))),COUNT(O$1:O380)+1,"")</f>
        <v/>
      </c>
      <c r="P381" s="0" t="str">
        <f aca="false">IF(AND(TRIM(C381)&lt;&gt;"",COUNTIF(C$2:C381,C381)=1),MAX(P$1:P380)+1,"")</f>
        <v/>
      </c>
      <c r="Q381" s="0" t="str">
        <f aca="false">IF(AND(TRIM(F381)&lt;&gt;"",COUNTIF(F$2:F381,F381)=1),MAX(Q$1:Q380)+1,"")</f>
        <v/>
      </c>
    </row>
    <row r="382" customFormat="false" ht="15" hidden="false" customHeight="false" outlineLevel="0" collapsed="false">
      <c r="A382" s="9"/>
      <c r="B382" s="10"/>
      <c r="C382" s="11"/>
      <c r="D382" s="11"/>
      <c r="E382" s="11"/>
      <c r="F382" s="11"/>
      <c r="G382" s="12"/>
      <c r="H382" s="12"/>
      <c r="I382" s="10"/>
      <c r="J382" s="12"/>
      <c r="K382" s="13" t="str">
        <f aca="false">IF(ISNUMBER(B382),YEAR(B382),"")</f>
        <v/>
      </c>
      <c r="L382" s="13" t="str">
        <f aca="false">IF(ISNUMBER(B382),MONTH(B382),"")</f>
        <v/>
      </c>
      <c r="M382" s="13" t="str">
        <f aca="false">IF(AND(ISNUMBER(B382),ISNUMBER(I382)),B382-I382+1,"")</f>
        <v/>
      </c>
      <c r="N382" s="14" t="str">
        <f aca="false">IF(B382="","",IF(M382="","시작일 미입력",IF(M382&lt;1,"시작일 이전(확인)",IF(M382=1,"1일째",IF(M382=2,"2일째",IF(M382=3,"3일째",IF(M382&lt;=7,"일주일 이내",IF(M382&lt;=14,"이주일 이내","15일 이후"))))))))</f>
        <v/>
      </c>
      <c r="O382" s="0" t="str">
        <f aca="false">IF(AND(COUNTA($A382:$J382)&gt;0,OR(클레임조회!$C$4="",AND(ISNUMBER($B382),$B382&gt;=클레임조회!$C$4)),OR(클레임조회!$C$5="",AND(ISNUMBER($B382),$B382&lt;=클레임조회!$C$5)),OR(클레임조회!$C$6="",$C382=클레임조회!$C$6),OR(클레임조회!$C$7="",$D382=클레임조회!$C$7),OR(클레임조회!$C$8="",$E382=클레임조회!$C$8),OR(클레임조회!$C$9="",$F382=클레임조회!$C$9),OR(클레임조회!$C$10="",ISNUMBER(SEARCH(클레임조회!$C$10,$C382&amp;" "&amp;$F382&amp;" "&amp;$G382&amp;" "&amp;$H382)))),COUNT(O$1:O381)+1,"")</f>
        <v/>
      </c>
      <c r="P382" s="0" t="str">
        <f aca="false">IF(AND(TRIM(C382)&lt;&gt;"",COUNTIF(C$2:C382,C382)=1),MAX(P$1:P381)+1,"")</f>
        <v/>
      </c>
      <c r="Q382" s="0" t="str">
        <f aca="false">IF(AND(TRIM(F382)&lt;&gt;"",COUNTIF(F$2:F382,F382)=1),MAX(Q$1:Q381)+1,"")</f>
        <v/>
      </c>
    </row>
    <row r="383" customFormat="false" ht="15" hidden="false" customHeight="false" outlineLevel="0" collapsed="false">
      <c r="A383" s="9"/>
      <c r="B383" s="10"/>
      <c r="C383" s="11"/>
      <c r="D383" s="11"/>
      <c r="E383" s="11"/>
      <c r="F383" s="11"/>
      <c r="G383" s="12"/>
      <c r="H383" s="12"/>
      <c r="I383" s="10"/>
      <c r="J383" s="12"/>
      <c r="K383" s="13" t="str">
        <f aca="false">IF(ISNUMBER(B383),YEAR(B383),"")</f>
        <v/>
      </c>
      <c r="L383" s="13" t="str">
        <f aca="false">IF(ISNUMBER(B383),MONTH(B383),"")</f>
        <v/>
      </c>
      <c r="M383" s="13" t="str">
        <f aca="false">IF(AND(ISNUMBER(B383),ISNUMBER(I383)),B383-I383+1,"")</f>
        <v/>
      </c>
      <c r="N383" s="14" t="str">
        <f aca="false">IF(B383="","",IF(M383="","시작일 미입력",IF(M383&lt;1,"시작일 이전(확인)",IF(M383=1,"1일째",IF(M383=2,"2일째",IF(M383=3,"3일째",IF(M383&lt;=7,"일주일 이내",IF(M383&lt;=14,"이주일 이내","15일 이후"))))))))</f>
        <v/>
      </c>
      <c r="O383" s="0" t="str">
        <f aca="false">IF(AND(COUNTA($A383:$J383)&gt;0,OR(클레임조회!$C$4="",AND(ISNUMBER($B383),$B383&gt;=클레임조회!$C$4)),OR(클레임조회!$C$5="",AND(ISNUMBER($B383),$B383&lt;=클레임조회!$C$5)),OR(클레임조회!$C$6="",$C383=클레임조회!$C$6),OR(클레임조회!$C$7="",$D383=클레임조회!$C$7),OR(클레임조회!$C$8="",$E383=클레임조회!$C$8),OR(클레임조회!$C$9="",$F383=클레임조회!$C$9),OR(클레임조회!$C$10="",ISNUMBER(SEARCH(클레임조회!$C$10,$C383&amp;" "&amp;$F383&amp;" "&amp;$G383&amp;" "&amp;$H383)))),COUNT(O$1:O382)+1,"")</f>
        <v/>
      </c>
      <c r="P383" s="0" t="str">
        <f aca="false">IF(AND(TRIM(C383)&lt;&gt;"",COUNTIF(C$2:C383,C383)=1),MAX(P$1:P382)+1,"")</f>
        <v/>
      </c>
      <c r="Q383" s="0" t="str">
        <f aca="false">IF(AND(TRIM(F383)&lt;&gt;"",COUNTIF(F$2:F383,F383)=1),MAX(Q$1:Q382)+1,"")</f>
        <v/>
      </c>
    </row>
    <row r="384" customFormat="false" ht="15" hidden="false" customHeight="false" outlineLevel="0" collapsed="false">
      <c r="A384" s="9"/>
      <c r="B384" s="10"/>
      <c r="C384" s="11"/>
      <c r="D384" s="11"/>
      <c r="E384" s="11"/>
      <c r="F384" s="11"/>
      <c r="G384" s="12"/>
      <c r="H384" s="12"/>
      <c r="I384" s="10"/>
      <c r="J384" s="12"/>
      <c r="K384" s="13" t="str">
        <f aca="false">IF(ISNUMBER(B384),YEAR(B384),"")</f>
        <v/>
      </c>
      <c r="L384" s="13" t="str">
        <f aca="false">IF(ISNUMBER(B384),MONTH(B384),"")</f>
        <v/>
      </c>
      <c r="M384" s="13" t="str">
        <f aca="false">IF(AND(ISNUMBER(B384),ISNUMBER(I384)),B384-I384+1,"")</f>
        <v/>
      </c>
      <c r="N384" s="14" t="str">
        <f aca="false">IF(B384="","",IF(M384="","시작일 미입력",IF(M384&lt;1,"시작일 이전(확인)",IF(M384=1,"1일째",IF(M384=2,"2일째",IF(M384=3,"3일째",IF(M384&lt;=7,"일주일 이내",IF(M384&lt;=14,"이주일 이내","15일 이후"))))))))</f>
        <v/>
      </c>
      <c r="O384" s="0" t="str">
        <f aca="false">IF(AND(COUNTA($A384:$J384)&gt;0,OR(클레임조회!$C$4="",AND(ISNUMBER($B384),$B384&gt;=클레임조회!$C$4)),OR(클레임조회!$C$5="",AND(ISNUMBER($B384),$B384&lt;=클레임조회!$C$5)),OR(클레임조회!$C$6="",$C384=클레임조회!$C$6),OR(클레임조회!$C$7="",$D384=클레임조회!$C$7),OR(클레임조회!$C$8="",$E384=클레임조회!$C$8),OR(클레임조회!$C$9="",$F384=클레임조회!$C$9),OR(클레임조회!$C$10="",ISNUMBER(SEARCH(클레임조회!$C$10,$C384&amp;" "&amp;$F384&amp;" "&amp;$G384&amp;" "&amp;$H384)))),COUNT(O$1:O383)+1,"")</f>
        <v/>
      </c>
      <c r="P384" s="0" t="str">
        <f aca="false">IF(AND(TRIM(C384)&lt;&gt;"",COUNTIF(C$2:C384,C384)=1),MAX(P$1:P383)+1,"")</f>
        <v/>
      </c>
      <c r="Q384" s="0" t="str">
        <f aca="false">IF(AND(TRIM(F384)&lt;&gt;"",COUNTIF(F$2:F384,F384)=1),MAX(Q$1:Q383)+1,"")</f>
        <v/>
      </c>
    </row>
    <row r="385" customFormat="false" ht="15" hidden="false" customHeight="false" outlineLevel="0" collapsed="false">
      <c r="A385" s="9"/>
      <c r="B385" s="10"/>
      <c r="C385" s="11"/>
      <c r="D385" s="11"/>
      <c r="E385" s="11"/>
      <c r="F385" s="11"/>
      <c r="G385" s="12"/>
      <c r="H385" s="12"/>
      <c r="I385" s="10"/>
      <c r="J385" s="12"/>
      <c r="K385" s="13" t="str">
        <f aca="false">IF(ISNUMBER(B385),YEAR(B385),"")</f>
        <v/>
      </c>
      <c r="L385" s="13" t="str">
        <f aca="false">IF(ISNUMBER(B385),MONTH(B385),"")</f>
        <v/>
      </c>
      <c r="M385" s="13" t="str">
        <f aca="false">IF(AND(ISNUMBER(B385),ISNUMBER(I385)),B385-I385+1,"")</f>
        <v/>
      </c>
      <c r="N385" s="14" t="str">
        <f aca="false">IF(B385="","",IF(M385="","시작일 미입력",IF(M385&lt;1,"시작일 이전(확인)",IF(M385=1,"1일째",IF(M385=2,"2일째",IF(M385=3,"3일째",IF(M385&lt;=7,"일주일 이내",IF(M385&lt;=14,"이주일 이내","15일 이후"))))))))</f>
        <v/>
      </c>
      <c r="O385" s="0" t="str">
        <f aca="false">IF(AND(COUNTA($A385:$J385)&gt;0,OR(클레임조회!$C$4="",AND(ISNUMBER($B385),$B385&gt;=클레임조회!$C$4)),OR(클레임조회!$C$5="",AND(ISNUMBER($B385),$B385&lt;=클레임조회!$C$5)),OR(클레임조회!$C$6="",$C385=클레임조회!$C$6),OR(클레임조회!$C$7="",$D385=클레임조회!$C$7),OR(클레임조회!$C$8="",$E385=클레임조회!$C$8),OR(클레임조회!$C$9="",$F385=클레임조회!$C$9),OR(클레임조회!$C$10="",ISNUMBER(SEARCH(클레임조회!$C$10,$C385&amp;" "&amp;$F385&amp;" "&amp;$G385&amp;" "&amp;$H385)))),COUNT(O$1:O384)+1,"")</f>
        <v/>
      </c>
      <c r="P385" s="0" t="str">
        <f aca="false">IF(AND(TRIM(C385)&lt;&gt;"",COUNTIF(C$2:C385,C385)=1),MAX(P$1:P384)+1,"")</f>
        <v/>
      </c>
      <c r="Q385" s="0" t="str">
        <f aca="false">IF(AND(TRIM(F385)&lt;&gt;"",COUNTIF(F$2:F385,F385)=1),MAX(Q$1:Q384)+1,"")</f>
        <v/>
      </c>
    </row>
    <row r="386" customFormat="false" ht="15" hidden="false" customHeight="false" outlineLevel="0" collapsed="false">
      <c r="A386" s="9"/>
      <c r="B386" s="10"/>
      <c r="C386" s="11"/>
      <c r="D386" s="11"/>
      <c r="E386" s="11"/>
      <c r="F386" s="11"/>
      <c r="G386" s="12"/>
      <c r="H386" s="12"/>
      <c r="I386" s="10"/>
      <c r="J386" s="12"/>
      <c r="K386" s="13" t="str">
        <f aca="false">IF(ISNUMBER(B386),YEAR(B386),"")</f>
        <v/>
      </c>
      <c r="L386" s="13" t="str">
        <f aca="false">IF(ISNUMBER(B386),MONTH(B386),"")</f>
        <v/>
      </c>
      <c r="M386" s="13" t="str">
        <f aca="false">IF(AND(ISNUMBER(B386),ISNUMBER(I386)),B386-I386+1,"")</f>
        <v/>
      </c>
      <c r="N386" s="14" t="str">
        <f aca="false">IF(B386="","",IF(M386="","시작일 미입력",IF(M386&lt;1,"시작일 이전(확인)",IF(M386=1,"1일째",IF(M386=2,"2일째",IF(M386=3,"3일째",IF(M386&lt;=7,"일주일 이내",IF(M386&lt;=14,"이주일 이내","15일 이후"))))))))</f>
        <v/>
      </c>
      <c r="O386" s="0" t="str">
        <f aca="false">IF(AND(COUNTA($A386:$J386)&gt;0,OR(클레임조회!$C$4="",AND(ISNUMBER($B386),$B386&gt;=클레임조회!$C$4)),OR(클레임조회!$C$5="",AND(ISNUMBER($B386),$B386&lt;=클레임조회!$C$5)),OR(클레임조회!$C$6="",$C386=클레임조회!$C$6),OR(클레임조회!$C$7="",$D386=클레임조회!$C$7),OR(클레임조회!$C$8="",$E386=클레임조회!$C$8),OR(클레임조회!$C$9="",$F386=클레임조회!$C$9),OR(클레임조회!$C$10="",ISNUMBER(SEARCH(클레임조회!$C$10,$C386&amp;" "&amp;$F386&amp;" "&amp;$G386&amp;" "&amp;$H386)))),COUNT(O$1:O385)+1,"")</f>
        <v/>
      </c>
      <c r="P386" s="0" t="str">
        <f aca="false">IF(AND(TRIM(C386)&lt;&gt;"",COUNTIF(C$2:C386,C386)=1),MAX(P$1:P385)+1,"")</f>
        <v/>
      </c>
      <c r="Q386" s="0" t="str">
        <f aca="false">IF(AND(TRIM(F386)&lt;&gt;"",COUNTIF(F$2:F386,F386)=1),MAX(Q$1:Q385)+1,"")</f>
        <v/>
      </c>
    </row>
    <row r="387" customFormat="false" ht="15" hidden="false" customHeight="false" outlineLevel="0" collapsed="false">
      <c r="A387" s="9"/>
      <c r="B387" s="10"/>
      <c r="C387" s="11"/>
      <c r="D387" s="11"/>
      <c r="E387" s="11"/>
      <c r="F387" s="11"/>
      <c r="G387" s="12"/>
      <c r="H387" s="12"/>
      <c r="I387" s="10"/>
      <c r="J387" s="12"/>
      <c r="K387" s="13" t="str">
        <f aca="false">IF(ISNUMBER(B387),YEAR(B387),"")</f>
        <v/>
      </c>
      <c r="L387" s="13" t="str">
        <f aca="false">IF(ISNUMBER(B387),MONTH(B387),"")</f>
        <v/>
      </c>
      <c r="M387" s="13" t="str">
        <f aca="false">IF(AND(ISNUMBER(B387),ISNUMBER(I387)),B387-I387+1,"")</f>
        <v/>
      </c>
      <c r="N387" s="14" t="str">
        <f aca="false">IF(B387="","",IF(M387="","시작일 미입력",IF(M387&lt;1,"시작일 이전(확인)",IF(M387=1,"1일째",IF(M387=2,"2일째",IF(M387=3,"3일째",IF(M387&lt;=7,"일주일 이내",IF(M387&lt;=14,"이주일 이내","15일 이후"))))))))</f>
        <v/>
      </c>
      <c r="O387" s="0" t="str">
        <f aca="false">IF(AND(COUNTA($A387:$J387)&gt;0,OR(클레임조회!$C$4="",AND(ISNUMBER($B387),$B387&gt;=클레임조회!$C$4)),OR(클레임조회!$C$5="",AND(ISNUMBER($B387),$B387&lt;=클레임조회!$C$5)),OR(클레임조회!$C$6="",$C387=클레임조회!$C$6),OR(클레임조회!$C$7="",$D387=클레임조회!$C$7),OR(클레임조회!$C$8="",$E387=클레임조회!$C$8),OR(클레임조회!$C$9="",$F387=클레임조회!$C$9),OR(클레임조회!$C$10="",ISNUMBER(SEARCH(클레임조회!$C$10,$C387&amp;" "&amp;$F387&amp;" "&amp;$G387&amp;" "&amp;$H387)))),COUNT(O$1:O386)+1,"")</f>
        <v/>
      </c>
      <c r="P387" s="0" t="str">
        <f aca="false">IF(AND(TRIM(C387)&lt;&gt;"",COUNTIF(C$2:C387,C387)=1),MAX(P$1:P386)+1,"")</f>
        <v/>
      </c>
      <c r="Q387" s="0" t="str">
        <f aca="false">IF(AND(TRIM(F387)&lt;&gt;"",COUNTIF(F$2:F387,F387)=1),MAX(Q$1:Q386)+1,"")</f>
        <v/>
      </c>
    </row>
    <row r="388" customFormat="false" ht="15" hidden="false" customHeight="false" outlineLevel="0" collapsed="false">
      <c r="A388" s="9"/>
      <c r="B388" s="10"/>
      <c r="C388" s="11"/>
      <c r="D388" s="11"/>
      <c r="E388" s="11"/>
      <c r="F388" s="11"/>
      <c r="G388" s="12"/>
      <c r="H388" s="12"/>
      <c r="I388" s="10"/>
      <c r="J388" s="12"/>
      <c r="K388" s="13" t="str">
        <f aca="false">IF(ISNUMBER(B388),YEAR(B388),"")</f>
        <v/>
      </c>
      <c r="L388" s="13" t="str">
        <f aca="false">IF(ISNUMBER(B388),MONTH(B388),"")</f>
        <v/>
      </c>
      <c r="M388" s="13" t="str">
        <f aca="false">IF(AND(ISNUMBER(B388),ISNUMBER(I388)),B388-I388+1,"")</f>
        <v/>
      </c>
      <c r="N388" s="14" t="str">
        <f aca="false">IF(B388="","",IF(M388="","시작일 미입력",IF(M388&lt;1,"시작일 이전(확인)",IF(M388=1,"1일째",IF(M388=2,"2일째",IF(M388=3,"3일째",IF(M388&lt;=7,"일주일 이내",IF(M388&lt;=14,"이주일 이내","15일 이후"))))))))</f>
        <v/>
      </c>
      <c r="O388" s="0" t="str">
        <f aca="false">IF(AND(COUNTA($A388:$J388)&gt;0,OR(클레임조회!$C$4="",AND(ISNUMBER($B388),$B388&gt;=클레임조회!$C$4)),OR(클레임조회!$C$5="",AND(ISNUMBER($B388),$B388&lt;=클레임조회!$C$5)),OR(클레임조회!$C$6="",$C388=클레임조회!$C$6),OR(클레임조회!$C$7="",$D388=클레임조회!$C$7),OR(클레임조회!$C$8="",$E388=클레임조회!$C$8),OR(클레임조회!$C$9="",$F388=클레임조회!$C$9),OR(클레임조회!$C$10="",ISNUMBER(SEARCH(클레임조회!$C$10,$C388&amp;" "&amp;$F388&amp;" "&amp;$G388&amp;" "&amp;$H388)))),COUNT(O$1:O387)+1,"")</f>
        <v/>
      </c>
      <c r="P388" s="0" t="str">
        <f aca="false">IF(AND(TRIM(C388)&lt;&gt;"",COUNTIF(C$2:C388,C388)=1),MAX(P$1:P387)+1,"")</f>
        <v/>
      </c>
      <c r="Q388" s="0" t="str">
        <f aca="false">IF(AND(TRIM(F388)&lt;&gt;"",COUNTIF(F$2:F388,F388)=1),MAX(Q$1:Q387)+1,"")</f>
        <v/>
      </c>
    </row>
    <row r="389" customFormat="false" ht="15" hidden="false" customHeight="false" outlineLevel="0" collapsed="false">
      <c r="A389" s="9"/>
      <c r="B389" s="10"/>
      <c r="C389" s="11"/>
      <c r="D389" s="11"/>
      <c r="E389" s="11"/>
      <c r="F389" s="11"/>
      <c r="G389" s="12"/>
      <c r="H389" s="12"/>
      <c r="I389" s="10"/>
      <c r="J389" s="12"/>
      <c r="K389" s="13" t="str">
        <f aca="false">IF(ISNUMBER(B389),YEAR(B389),"")</f>
        <v/>
      </c>
      <c r="L389" s="13" t="str">
        <f aca="false">IF(ISNUMBER(B389),MONTH(B389),"")</f>
        <v/>
      </c>
      <c r="M389" s="13" t="str">
        <f aca="false">IF(AND(ISNUMBER(B389),ISNUMBER(I389)),B389-I389+1,"")</f>
        <v/>
      </c>
      <c r="N389" s="14" t="str">
        <f aca="false">IF(B389="","",IF(M389="","시작일 미입력",IF(M389&lt;1,"시작일 이전(확인)",IF(M389=1,"1일째",IF(M389=2,"2일째",IF(M389=3,"3일째",IF(M389&lt;=7,"일주일 이내",IF(M389&lt;=14,"이주일 이내","15일 이후"))))))))</f>
        <v/>
      </c>
      <c r="O389" s="0" t="str">
        <f aca="false">IF(AND(COUNTA($A389:$J389)&gt;0,OR(클레임조회!$C$4="",AND(ISNUMBER($B389),$B389&gt;=클레임조회!$C$4)),OR(클레임조회!$C$5="",AND(ISNUMBER($B389),$B389&lt;=클레임조회!$C$5)),OR(클레임조회!$C$6="",$C389=클레임조회!$C$6),OR(클레임조회!$C$7="",$D389=클레임조회!$C$7),OR(클레임조회!$C$8="",$E389=클레임조회!$C$8),OR(클레임조회!$C$9="",$F389=클레임조회!$C$9),OR(클레임조회!$C$10="",ISNUMBER(SEARCH(클레임조회!$C$10,$C389&amp;" "&amp;$F389&amp;" "&amp;$G389&amp;" "&amp;$H389)))),COUNT(O$1:O388)+1,"")</f>
        <v/>
      </c>
      <c r="P389" s="0" t="str">
        <f aca="false">IF(AND(TRIM(C389)&lt;&gt;"",COUNTIF(C$2:C389,C389)=1),MAX(P$1:P388)+1,"")</f>
        <v/>
      </c>
      <c r="Q389" s="0" t="str">
        <f aca="false">IF(AND(TRIM(F389)&lt;&gt;"",COUNTIF(F$2:F389,F389)=1),MAX(Q$1:Q388)+1,"")</f>
        <v/>
      </c>
    </row>
    <row r="390" customFormat="false" ht="15" hidden="false" customHeight="false" outlineLevel="0" collapsed="false">
      <c r="A390" s="9"/>
      <c r="B390" s="10"/>
      <c r="C390" s="11"/>
      <c r="D390" s="11"/>
      <c r="E390" s="11"/>
      <c r="F390" s="11"/>
      <c r="G390" s="12"/>
      <c r="H390" s="12"/>
      <c r="I390" s="10"/>
      <c r="J390" s="12"/>
      <c r="K390" s="13" t="str">
        <f aca="false">IF(ISNUMBER(B390),YEAR(B390),"")</f>
        <v/>
      </c>
      <c r="L390" s="13" t="str">
        <f aca="false">IF(ISNUMBER(B390),MONTH(B390),"")</f>
        <v/>
      </c>
      <c r="M390" s="13" t="str">
        <f aca="false">IF(AND(ISNUMBER(B390),ISNUMBER(I390)),B390-I390+1,"")</f>
        <v/>
      </c>
      <c r="N390" s="14" t="str">
        <f aca="false">IF(B390="","",IF(M390="","시작일 미입력",IF(M390&lt;1,"시작일 이전(확인)",IF(M390=1,"1일째",IF(M390=2,"2일째",IF(M390=3,"3일째",IF(M390&lt;=7,"일주일 이내",IF(M390&lt;=14,"이주일 이내","15일 이후"))))))))</f>
        <v/>
      </c>
      <c r="O390" s="0" t="str">
        <f aca="false">IF(AND(COUNTA($A390:$J390)&gt;0,OR(클레임조회!$C$4="",AND(ISNUMBER($B390),$B390&gt;=클레임조회!$C$4)),OR(클레임조회!$C$5="",AND(ISNUMBER($B390),$B390&lt;=클레임조회!$C$5)),OR(클레임조회!$C$6="",$C390=클레임조회!$C$6),OR(클레임조회!$C$7="",$D390=클레임조회!$C$7),OR(클레임조회!$C$8="",$E390=클레임조회!$C$8),OR(클레임조회!$C$9="",$F390=클레임조회!$C$9),OR(클레임조회!$C$10="",ISNUMBER(SEARCH(클레임조회!$C$10,$C390&amp;" "&amp;$F390&amp;" "&amp;$G390&amp;" "&amp;$H390)))),COUNT(O$1:O389)+1,"")</f>
        <v/>
      </c>
      <c r="P390" s="0" t="str">
        <f aca="false">IF(AND(TRIM(C390)&lt;&gt;"",COUNTIF(C$2:C390,C390)=1),MAX(P$1:P389)+1,"")</f>
        <v/>
      </c>
      <c r="Q390" s="0" t="str">
        <f aca="false">IF(AND(TRIM(F390)&lt;&gt;"",COUNTIF(F$2:F390,F390)=1),MAX(Q$1:Q389)+1,"")</f>
        <v/>
      </c>
    </row>
    <row r="391" customFormat="false" ht="15" hidden="false" customHeight="false" outlineLevel="0" collapsed="false">
      <c r="A391" s="9"/>
      <c r="B391" s="10"/>
      <c r="C391" s="11"/>
      <c r="D391" s="11"/>
      <c r="E391" s="11"/>
      <c r="F391" s="11"/>
      <c r="G391" s="12"/>
      <c r="H391" s="12"/>
      <c r="I391" s="10"/>
      <c r="J391" s="12"/>
      <c r="K391" s="13" t="str">
        <f aca="false">IF(ISNUMBER(B391),YEAR(B391),"")</f>
        <v/>
      </c>
      <c r="L391" s="13" t="str">
        <f aca="false">IF(ISNUMBER(B391),MONTH(B391),"")</f>
        <v/>
      </c>
      <c r="M391" s="13" t="str">
        <f aca="false">IF(AND(ISNUMBER(B391),ISNUMBER(I391)),B391-I391+1,"")</f>
        <v/>
      </c>
      <c r="N391" s="14" t="str">
        <f aca="false">IF(B391="","",IF(M391="","시작일 미입력",IF(M391&lt;1,"시작일 이전(확인)",IF(M391=1,"1일째",IF(M391=2,"2일째",IF(M391=3,"3일째",IF(M391&lt;=7,"일주일 이내",IF(M391&lt;=14,"이주일 이내","15일 이후"))))))))</f>
        <v/>
      </c>
      <c r="O391" s="0" t="str">
        <f aca="false">IF(AND(COUNTA($A391:$J391)&gt;0,OR(클레임조회!$C$4="",AND(ISNUMBER($B391),$B391&gt;=클레임조회!$C$4)),OR(클레임조회!$C$5="",AND(ISNUMBER($B391),$B391&lt;=클레임조회!$C$5)),OR(클레임조회!$C$6="",$C391=클레임조회!$C$6),OR(클레임조회!$C$7="",$D391=클레임조회!$C$7),OR(클레임조회!$C$8="",$E391=클레임조회!$C$8),OR(클레임조회!$C$9="",$F391=클레임조회!$C$9),OR(클레임조회!$C$10="",ISNUMBER(SEARCH(클레임조회!$C$10,$C391&amp;" "&amp;$F391&amp;" "&amp;$G391&amp;" "&amp;$H391)))),COUNT(O$1:O390)+1,"")</f>
        <v/>
      </c>
      <c r="P391" s="0" t="str">
        <f aca="false">IF(AND(TRIM(C391)&lt;&gt;"",COUNTIF(C$2:C391,C391)=1),MAX(P$1:P390)+1,"")</f>
        <v/>
      </c>
      <c r="Q391" s="0" t="str">
        <f aca="false">IF(AND(TRIM(F391)&lt;&gt;"",COUNTIF(F$2:F391,F391)=1),MAX(Q$1:Q390)+1,"")</f>
        <v/>
      </c>
    </row>
    <row r="392" customFormat="false" ht="15" hidden="false" customHeight="false" outlineLevel="0" collapsed="false">
      <c r="A392" s="9"/>
      <c r="B392" s="10"/>
      <c r="C392" s="11"/>
      <c r="D392" s="11"/>
      <c r="E392" s="11"/>
      <c r="F392" s="11"/>
      <c r="G392" s="12"/>
      <c r="H392" s="12"/>
      <c r="I392" s="10"/>
      <c r="J392" s="12"/>
      <c r="K392" s="13" t="str">
        <f aca="false">IF(ISNUMBER(B392),YEAR(B392),"")</f>
        <v/>
      </c>
      <c r="L392" s="13" t="str">
        <f aca="false">IF(ISNUMBER(B392),MONTH(B392),"")</f>
        <v/>
      </c>
      <c r="M392" s="13" t="str">
        <f aca="false">IF(AND(ISNUMBER(B392),ISNUMBER(I392)),B392-I392+1,"")</f>
        <v/>
      </c>
      <c r="N392" s="14" t="str">
        <f aca="false">IF(B392="","",IF(M392="","시작일 미입력",IF(M392&lt;1,"시작일 이전(확인)",IF(M392=1,"1일째",IF(M392=2,"2일째",IF(M392=3,"3일째",IF(M392&lt;=7,"일주일 이내",IF(M392&lt;=14,"이주일 이내","15일 이후"))))))))</f>
        <v/>
      </c>
      <c r="O392" s="0" t="str">
        <f aca="false">IF(AND(COUNTA($A392:$J392)&gt;0,OR(클레임조회!$C$4="",AND(ISNUMBER($B392),$B392&gt;=클레임조회!$C$4)),OR(클레임조회!$C$5="",AND(ISNUMBER($B392),$B392&lt;=클레임조회!$C$5)),OR(클레임조회!$C$6="",$C392=클레임조회!$C$6),OR(클레임조회!$C$7="",$D392=클레임조회!$C$7),OR(클레임조회!$C$8="",$E392=클레임조회!$C$8),OR(클레임조회!$C$9="",$F392=클레임조회!$C$9),OR(클레임조회!$C$10="",ISNUMBER(SEARCH(클레임조회!$C$10,$C392&amp;" "&amp;$F392&amp;" "&amp;$G392&amp;" "&amp;$H392)))),COUNT(O$1:O391)+1,"")</f>
        <v/>
      </c>
      <c r="P392" s="0" t="str">
        <f aca="false">IF(AND(TRIM(C392)&lt;&gt;"",COUNTIF(C$2:C392,C392)=1),MAX(P$1:P391)+1,"")</f>
        <v/>
      </c>
      <c r="Q392" s="0" t="str">
        <f aca="false">IF(AND(TRIM(F392)&lt;&gt;"",COUNTIF(F$2:F392,F392)=1),MAX(Q$1:Q391)+1,"")</f>
        <v/>
      </c>
    </row>
    <row r="393" customFormat="false" ht="15" hidden="false" customHeight="false" outlineLevel="0" collapsed="false">
      <c r="A393" s="9"/>
      <c r="B393" s="10"/>
      <c r="C393" s="11"/>
      <c r="D393" s="11"/>
      <c r="E393" s="11"/>
      <c r="F393" s="11"/>
      <c r="G393" s="12"/>
      <c r="H393" s="12"/>
      <c r="I393" s="10"/>
      <c r="J393" s="12"/>
      <c r="K393" s="13" t="str">
        <f aca="false">IF(ISNUMBER(B393),YEAR(B393),"")</f>
        <v/>
      </c>
      <c r="L393" s="13" t="str">
        <f aca="false">IF(ISNUMBER(B393),MONTH(B393),"")</f>
        <v/>
      </c>
      <c r="M393" s="13" t="str">
        <f aca="false">IF(AND(ISNUMBER(B393),ISNUMBER(I393)),B393-I393+1,"")</f>
        <v/>
      </c>
      <c r="N393" s="14" t="str">
        <f aca="false">IF(B393="","",IF(M393="","시작일 미입력",IF(M393&lt;1,"시작일 이전(확인)",IF(M393=1,"1일째",IF(M393=2,"2일째",IF(M393=3,"3일째",IF(M393&lt;=7,"일주일 이내",IF(M393&lt;=14,"이주일 이내","15일 이후"))))))))</f>
        <v/>
      </c>
      <c r="O393" s="0" t="str">
        <f aca="false">IF(AND(COUNTA($A393:$J393)&gt;0,OR(클레임조회!$C$4="",AND(ISNUMBER($B393),$B393&gt;=클레임조회!$C$4)),OR(클레임조회!$C$5="",AND(ISNUMBER($B393),$B393&lt;=클레임조회!$C$5)),OR(클레임조회!$C$6="",$C393=클레임조회!$C$6),OR(클레임조회!$C$7="",$D393=클레임조회!$C$7),OR(클레임조회!$C$8="",$E393=클레임조회!$C$8),OR(클레임조회!$C$9="",$F393=클레임조회!$C$9),OR(클레임조회!$C$10="",ISNUMBER(SEARCH(클레임조회!$C$10,$C393&amp;" "&amp;$F393&amp;" "&amp;$G393&amp;" "&amp;$H393)))),COUNT(O$1:O392)+1,"")</f>
        <v/>
      </c>
      <c r="P393" s="0" t="str">
        <f aca="false">IF(AND(TRIM(C393)&lt;&gt;"",COUNTIF(C$2:C393,C393)=1),MAX(P$1:P392)+1,"")</f>
        <v/>
      </c>
      <c r="Q393" s="0" t="str">
        <f aca="false">IF(AND(TRIM(F393)&lt;&gt;"",COUNTIF(F$2:F393,F393)=1),MAX(Q$1:Q392)+1,"")</f>
        <v/>
      </c>
    </row>
    <row r="394" customFormat="false" ht="15" hidden="false" customHeight="false" outlineLevel="0" collapsed="false">
      <c r="A394" s="9"/>
      <c r="B394" s="10"/>
      <c r="C394" s="11"/>
      <c r="D394" s="11"/>
      <c r="E394" s="11"/>
      <c r="F394" s="11"/>
      <c r="G394" s="12"/>
      <c r="H394" s="12"/>
      <c r="I394" s="10"/>
      <c r="J394" s="12"/>
      <c r="K394" s="13" t="str">
        <f aca="false">IF(ISNUMBER(B394),YEAR(B394),"")</f>
        <v/>
      </c>
      <c r="L394" s="13" t="str">
        <f aca="false">IF(ISNUMBER(B394),MONTH(B394),"")</f>
        <v/>
      </c>
      <c r="M394" s="13" t="str">
        <f aca="false">IF(AND(ISNUMBER(B394),ISNUMBER(I394)),B394-I394+1,"")</f>
        <v/>
      </c>
      <c r="N394" s="14" t="str">
        <f aca="false">IF(B394="","",IF(M394="","시작일 미입력",IF(M394&lt;1,"시작일 이전(확인)",IF(M394=1,"1일째",IF(M394=2,"2일째",IF(M394=3,"3일째",IF(M394&lt;=7,"일주일 이내",IF(M394&lt;=14,"이주일 이내","15일 이후"))))))))</f>
        <v/>
      </c>
      <c r="O394" s="0" t="str">
        <f aca="false">IF(AND(COUNTA($A394:$J394)&gt;0,OR(클레임조회!$C$4="",AND(ISNUMBER($B394),$B394&gt;=클레임조회!$C$4)),OR(클레임조회!$C$5="",AND(ISNUMBER($B394),$B394&lt;=클레임조회!$C$5)),OR(클레임조회!$C$6="",$C394=클레임조회!$C$6),OR(클레임조회!$C$7="",$D394=클레임조회!$C$7),OR(클레임조회!$C$8="",$E394=클레임조회!$C$8),OR(클레임조회!$C$9="",$F394=클레임조회!$C$9),OR(클레임조회!$C$10="",ISNUMBER(SEARCH(클레임조회!$C$10,$C394&amp;" "&amp;$F394&amp;" "&amp;$G394&amp;" "&amp;$H394)))),COUNT(O$1:O393)+1,"")</f>
        <v/>
      </c>
      <c r="P394" s="0" t="str">
        <f aca="false">IF(AND(TRIM(C394)&lt;&gt;"",COUNTIF(C$2:C394,C394)=1),MAX(P$1:P393)+1,"")</f>
        <v/>
      </c>
      <c r="Q394" s="0" t="str">
        <f aca="false">IF(AND(TRIM(F394)&lt;&gt;"",COUNTIF(F$2:F394,F394)=1),MAX(Q$1:Q393)+1,"")</f>
        <v/>
      </c>
    </row>
    <row r="395" customFormat="false" ht="15" hidden="false" customHeight="false" outlineLevel="0" collapsed="false">
      <c r="A395" s="9"/>
      <c r="B395" s="10"/>
      <c r="C395" s="11"/>
      <c r="D395" s="11"/>
      <c r="E395" s="11"/>
      <c r="F395" s="11"/>
      <c r="G395" s="12"/>
      <c r="H395" s="12"/>
      <c r="I395" s="10"/>
      <c r="J395" s="12"/>
      <c r="K395" s="13" t="str">
        <f aca="false">IF(ISNUMBER(B395),YEAR(B395),"")</f>
        <v/>
      </c>
      <c r="L395" s="13" t="str">
        <f aca="false">IF(ISNUMBER(B395),MONTH(B395),"")</f>
        <v/>
      </c>
      <c r="M395" s="13" t="str">
        <f aca="false">IF(AND(ISNUMBER(B395),ISNUMBER(I395)),B395-I395+1,"")</f>
        <v/>
      </c>
      <c r="N395" s="14" t="str">
        <f aca="false">IF(B395="","",IF(M395="","시작일 미입력",IF(M395&lt;1,"시작일 이전(확인)",IF(M395=1,"1일째",IF(M395=2,"2일째",IF(M395=3,"3일째",IF(M395&lt;=7,"일주일 이내",IF(M395&lt;=14,"이주일 이내","15일 이후"))))))))</f>
        <v/>
      </c>
      <c r="O395" s="0" t="str">
        <f aca="false">IF(AND(COUNTA($A395:$J395)&gt;0,OR(클레임조회!$C$4="",AND(ISNUMBER($B395),$B395&gt;=클레임조회!$C$4)),OR(클레임조회!$C$5="",AND(ISNUMBER($B395),$B395&lt;=클레임조회!$C$5)),OR(클레임조회!$C$6="",$C395=클레임조회!$C$6),OR(클레임조회!$C$7="",$D395=클레임조회!$C$7),OR(클레임조회!$C$8="",$E395=클레임조회!$C$8),OR(클레임조회!$C$9="",$F395=클레임조회!$C$9),OR(클레임조회!$C$10="",ISNUMBER(SEARCH(클레임조회!$C$10,$C395&amp;" "&amp;$F395&amp;" "&amp;$G395&amp;" "&amp;$H395)))),COUNT(O$1:O394)+1,"")</f>
        <v/>
      </c>
      <c r="P395" s="0" t="str">
        <f aca="false">IF(AND(TRIM(C395)&lt;&gt;"",COUNTIF(C$2:C395,C395)=1),MAX(P$1:P394)+1,"")</f>
        <v/>
      </c>
      <c r="Q395" s="0" t="str">
        <f aca="false">IF(AND(TRIM(F395)&lt;&gt;"",COUNTIF(F$2:F395,F395)=1),MAX(Q$1:Q394)+1,"")</f>
        <v/>
      </c>
    </row>
    <row r="396" customFormat="false" ht="15" hidden="false" customHeight="false" outlineLevel="0" collapsed="false">
      <c r="A396" s="9"/>
      <c r="B396" s="10"/>
      <c r="C396" s="11"/>
      <c r="D396" s="11"/>
      <c r="E396" s="11"/>
      <c r="F396" s="11"/>
      <c r="G396" s="12"/>
      <c r="H396" s="12"/>
      <c r="I396" s="10"/>
      <c r="J396" s="12"/>
      <c r="K396" s="13" t="str">
        <f aca="false">IF(ISNUMBER(B396),YEAR(B396),"")</f>
        <v/>
      </c>
      <c r="L396" s="13" t="str">
        <f aca="false">IF(ISNUMBER(B396),MONTH(B396),"")</f>
        <v/>
      </c>
      <c r="M396" s="13" t="str">
        <f aca="false">IF(AND(ISNUMBER(B396),ISNUMBER(I396)),B396-I396+1,"")</f>
        <v/>
      </c>
      <c r="N396" s="14" t="str">
        <f aca="false">IF(B396="","",IF(M396="","시작일 미입력",IF(M396&lt;1,"시작일 이전(확인)",IF(M396=1,"1일째",IF(M396=2,"2일째",IF(M396=3,"3일째",IF(M396&lt;=7,"일주일 이내",IF(M396&lt;=14,"이주일 이내","15일 이후"))))))))</f>
        <v/>
      </c>
      <c r="O396" s="0" t="str">
        <f aca="false">IF(AND(COUNTA($A396:$J396)&gt;0,OR(클레임조회!$C$4="",AND(ISNUMBER($B396),$B396&gt;=클레임조회!$C$4)),OR(클레임조회!$C$5="",AND(ISNUMBER($B396),$B396&lt;=클레임조회!$C$5)),OR(클레임조회!$C$6="",$C396=클레임조회!$C$6),OR(클레임조회!$C$7="",$D396=클레임조회!$C$7),OR(클레임조회!$C$8="",$E396=클레임조회!$C$8),OR(클레임조회!$C$9="",$F396=클레임조회!$C$9),OR(클레임조회!$C$10="",ISNUMBER(SEARCH(클레임조회!$C$10,$C396&amp;" "&amp;$F396&amp;" "&amp;$G396&amp;" "&amp;$H396)))),COUNT(O$1:O395)+1,"")</f>
        <v/>
      </c>
      <c r="P396" s="0" t="str">
        <f aca="false">IF(AND(TRIM(C396)&lt;&gt;"",COUNTIF(C$2:C396,C396)=1),MAX(P$1:P395)+1,"")</f>
        <v/>
      </c>
      <c r="Q396" s="0" t="str">
        <f aca="false">IF(AND(TRIM(F396)&lt;&gt;"",COUNTIF(F$2:F396,F396)=1),MAX(Q$1:Q395)+1,"")</f>
        <v/>
      </c>
    </row>
    <row r="397" customFormat="false" ht="15" hidden="false" customHeight="false" outlineLevel="0" collapsed="false">
      <c r="A397" s="9"/>
      <c r="B397" s="10"/>
      <c r="C397" s="11"/>
      <c r="D397" s="11"/>
      <c r="E397" s="11"/>
      <c r="F397" s="11"/>
      <c r="G397" s="12"/>
      <c r="H397" s="12"/>
      <c r="I397" s="10"/>
      <c r="J397" s="12"/>
      <c r="K397" s="13" t="str">
        <f aca="false">IF(ISNUMBER(B397),YEAR(B397),"")</f>
        <v/>
      </c>
      <c r="L397" s="13" t="str">
        <f aca="false">IF(ISNUMBER(B397),MONTH(B397),"")</f>
        <v/>
      </c>
      <c r="M397" s="13" t="str">
        <f aca="false">IF(AND(ISNUMBER(B397),ISNUMBER(I397)),B397-I397+1,"")</f>
        <v/>
      </c>
      <c r="N397" s="14" t="str">
        <f aca="false">IF(B397="","",IF(M397="","시작일 미입력",IF(M397&lt;1,"시작일 이전(확인)",IF(M397=1,"1일째",IF(M397=2,"2일째",IF(M397=3,"3일째",IF(M397&lt;=7,"일주일 이내",IF(M397&lt;=14,"이주일 이내","15일 이후"))))))))</f>
        <v/>
      </c>
      <c r="O397" s="0" t="str">
        <f aca="false">IF(AND(COUNTA($A397:$J397)&gt;0,OR(클레임조회!$C$4="",AND(ISNUMBER($B397),$B397&gt;=클레임조회!$C$4)),OR(클레임조회!$C$5="",AND(ISNUMBER($B397),$B397&lt;=클레임조회!$C$5)),OR(클레임조회!$C$6="",$C397=클레임조회!$C$6),OR(클레임조회!$C$7="",$D397=클레임조회!$C$7),OR(클레임조회!$C$8="",$E397=클레임조회!$C$8),OR(클레임조회!$C$9="",$F397=클레임조회!$C$9),OR(클레임조회!$C$10="",ISNUMBER(SEARCH(클레임조회!$C$10,$C397&amp;" "&amp;$F397&amp;" "&amp;$G397&amp;" "&amp;$H397)))),COUNT(O$1:O396)+1,"")</f>
        <v/>
      </c>
      <c r="P397" s="0" t="str">
        <f aca="false">IF(AND(TRIM(C397)&lt;&gt;"",COUNTIF(C$2:C397,C397)=1),MAX(P$1:P396)+1,"")</f>
        <v/>
      </c>
      <c r="Q397" s="0" t="str">
        <f aca="false">IF(AND(TRIM(F397)&lt;&gt;"",COUNTIF(F$2:F397,F397)=1),MAX(Q$1:Q396)+1,"")</f>
        <v/>
      </c>
    </row>
    <row r="398" customFormat="false" ht="15" hidden="false" customHeight="false" outlineLevel="0" collapsed="false">
      <c r="A398" s="9"/>
      <c r="B398" s="10"/>
      <c r="C398" s="11"/>
      <c r="D398" s="11"/>
      <c r="E398" s="11"/>
      <c r="F398" s="11"/>
      <c r="G398" s="12"/>
      <c r="H398" s="12"/>
      <c r="I398" s="10"/>
      <c r="J398" s="12"/>
      <c r="K398" s="13" t="str">
        <f aca="false">IF(ISNUMBER(B398),YEAR(B398),"")</f>
        <v/>
      </c>
      <c r="L398" s="13" t="str">
        <f aca="false">IF(ISNUMBER(B398),MONTH(B398),"")</f>
        <v/>
      </c>
      <c r="M398" s="13" t="str">
        <f aca="false">IF(AND(ISNUMBER(B398),ISNUMBER(I398)),B398-I398+1,"")</f>
        <v/>
      </c>
      <c r="N398" s="14" t="str">
        <f aca="false">IF(B398="","",IF(M398="","시작일 미입력",IF(M398&lt;1,"시작일 이전(확인)",IF(M398=1,"1일째",IF(M398=2,"2일째",IF(M398=3,"3일째",IF(M398&lt;=7,"일주일 이내",IF(M398&lt;=14,"이주일 이내","15일 이후"))))))))</f>
        <v/>
      </c>
      <c r="O398" s="0" t="str">
        <f aca="false">IF(AND(COUNTA($A398:$J398)&gt;0,OR(클레임조회!$C$4="",AND(ISNUMBER($B398),$B398&gt;=클레임조회!$C$4)),OR(클레임조회!$C$5="",AND(ISNUMBER($B398),$B398&lt;=클레임조회!$C$5)),OR(클레임조회!$C$6="",$C398=클레임조회!$C$6),OR(클레임조회!$C$7="",$D398=클레임조회!$C$7),OR(클레임조회!$C$8="",$E398=클레임조회!$C$8),OR(클레임조회!$C$9="",$F398=클레임조회!$C$9),OR(클레임조회!$C$10="",ISNUMBER(SEARCH(클레임조회!$C$10,$C398&amp;" "&amp;$F398&amp;" "&amp;$G398&amp;" "&amp;$H398)))),COUNT(O$1:O397)+1,"")</f>
        <v/>
      </c>
      <c r="P398" s="0" t="str">
        <f aca="false">IF(AND(TRIM(C398)&lt;&gt;"",COUNTIF(C$2:C398,C398)=1),MAX(P$1:P397)+1,"")</f>
        <v/>
      </c>
      <c r="Q398" s="0" t="str">
        <f aca="false">IF(AND(TRIM(F398)&lt;&gt;"",COUNTIF(F$2:F398,F398)=1),MAX(Q$1:Q397)+1,"")</f>
        <v/>
      </c>
    </row>
    <row r="399" customFormat="false" ht="15" hidden="false" customHeight="false" outlineLevel="0" collapsed="false">
      <c r="A399" s="9"/>
      <c r="B399" s="10"/>
      <c r="C399" s="11"/>
      <c r="D399" s="11"/>
      <c r="E399" s="11"/>
      <c r="F399" s="11"/>
      <c r="G399" s="12"/>
      <c r="H399" s="12"/>
      <c r="I399" s="10"/>
      <c r="J399" s="12"/>
      <c r="K399" s="13" t="str">
        <f aca="false">IF(ISNUMBER(B399),YEAR(B399),"")</f>
        <v/>
      </c>
      <c r="L399" s="13" t="str">
        <f aca="false">IF(ISNUMBER(B399),MONTH(B399),"")</f>
        <v/>
      </c>
      <c r="M399" s="13" t="str">
        <f aca="false">IF(AND(ISNUMBER(B399),ISNUMBER(I399)),B399-I399+1,"")</f>
        <v/>
      </c>
      <c r="N399" s="14" t="str">
        <f aca="false">IF(B399="","",IF(M399="","시작일 미입력",IF(M399&lt;1,"시작일 이전(확인)",IF(M399=1,"1일째",IF(M399=2,"2일째",IF(M399=3,"3일째",IF(M399&lt;=7,"일주일 이내",IF(M399&lt;=14,"이주일 이내","15일 이후"))))))))</f>
        <v/>
      </c>
      <c r="O399" s="0" t="str">
        <f aca="false">IF(AND(COUNTA($A399:$J399)&gt;0,OR(클레임조회!$C$4="",AND(ISNUMBER($B399),$B399&gt;=클레임조회!$C$4)),OR(클레임조회!$C$5="",AND(ISNUMBER($B399),$B399&lt;=클레임조회!$C$5)),OR(클레임조회!$C$6="",$C399=클레임조회!$C$6),OR(클레임조회!$C$7="",$D399=클레임조회!$C$7),OR(클레임조회!$C$8="",$E399=클레임조회!$C$8),OR(클레임조회!$C$9="",$F399=클레임조회!$C$9),OR(클레임조회!$C$10="",ISNUMBER(SEARCH(클레임조회!$C$10,$C399&amp;" "&amp;$F399&amp;" "&amp;$G399&amp;" "&amp;$H399)))),COUNT(O$1:O398)+1,"")</f>
        <v/>
      </c>
      <c r="P399" s="0" t="str">
        <f aca="false">IF(AND(TRIM(C399)&lt;&gt;"",COUNTIF(C$2:C399,C399)=1),MAX(P$1:P398)+1,"")</f>
        <v/>
      </c>
      <c r="Q399" s="0" t="str">
        <f aca="false">IF(AND(TRIM(F399)&lt;&gt;"",COUNTIF(F$2:F399,F399)=1),MAX(Q$1:Q398)+1,"")</f>
        <v/>
      </c>
    </row>
    <row r="400" customFormat="false" ht="15" hidden="false" customHeight="false" outlineLevel="0" collapsed="false">
      <c r="A400" s="9"/>
      <c r="B400" s="10"/>
      <c r="C400" s="11"/>
      <c r="D400" s="11"/>
      <c r="E400" s="11"/>
      <c r="F400" s="11"/>
      <c r="G400" s="12"/>
      <c r="H400" s="12"/>
      <c r="I400" s="10"/>
      <c r="J400" s="12"/>
      <c r="K400" s="13" t="str">
        <f aca="false">IF(ISNUMBER(B400),YEAR(B400),"")</f>
        <v/>
      </c>
      <c r="L400" s="13" t="str">
        <f aca="false">IF(ISNUMBER(B400),MONTH(B400),"")</f>
        <v/>
      </c>
      <c r="M400" s="13" t="str">
        <f aca="false">IF(AND(ISNUMBER(B400),ISNUMBER(I400)),B400-I400+1,"")</f>
        <v/>
      </c>
      <c r="N400" s="14" t="str">
        <f aca="false">IF(B400="","",IF(M400="","시작일 미입력",IF(M400&lt;1,"시작일 이전(확인)",IF(M400=1,"1일째",IF(M400=2,"2일째",IF(M400=3,"3일째",IF(M400&lt;=7,"일주일 이내",IF(M400&lt;=14,"이주일 이내","15일 이후"))))))))</f>
        <v/>
      </c>
      <c r="O400" s="0" t="str">
        <f aca="false">IF(AND(COUNTA($A400:$J400)&gt;0,OR(클레임조회!$C$4="",AND(ISNUMBER($B400),$B400&gt;=클레임조회!$C$4)),OR(클레임조회!$C$5="",AND(ISNUMBER($B400),$B400&lt;=클레임조회!$C$5)),OR(클레임조회!$C$6="",$C400=클레임조회!$C$6),OR(클레임조회!$C$7="",$D400=클레임조회!$C$7),OR(클레임조회!$C$8="",$E400=클레임조회!$C$8),OR(클레임조회!$C$9="",$F400=클레임조회!$C$9),OR(클레임조회!$C$10="",ISNUMBER(SEARCH(클레임조회!$C$10,$C400&amp;" "&amp;$F400&amp;" "&amp;$G400&amp;" "&amp;$H400)))),COUNT(O$1:O399)+1,"")</f>
        <v/>
      </c>
      <c r="P400" s="0" t="str">
        <f aca="false">IF(AND(TRIM(C400)&lt;&gt;"",COUNTIF(C$2:C400,C400)=1),MAX(P$1:P399)+1,"")</f>
        <v/>
      </c>
      <c r="Q400" s="0" t="str">
        <f aca="false">IF(AND(TRIM(F400)&lt;&gt;"",COUNTIF(F$2:F400,F400)=1),MAX(Q$1:Q399)+1,"")</f>
        <v/>
      </c>
    </row>
    <row r="401" customFormat="false" ht="15" hidden="false" customHeight="false" outlineLevel="0" collapsed="false">
      <c r="A401" s="9"/>
      <c r="B401" s="10"/>
      <c r="C401" s="11"/>
      <c r="D401" s="11"/>
      <c r="E401" s="11"/>
      <c r="F401" s="11"/>
      <c r="G401" s="12"/>
      <c r="H401" s="12"/>
      <c r="I401" s="10"/>
      <c r="J401" s="12"/>
      <c r="K401" s="13" t="str">
        <f aca="false">IF(ISNUMBER(B401),YEAR(B401),"")</f>
        <v/>
      </c>
      <c r="L401" s="13" t="str">
        <f aca="false">IF(ISNUMBER(B401),MONTH(B401),"")</f>
        <v/>
      </c>
      <c r="M401" s="13" t="str">
        <f aca="false">IF(AND(ISNUMBER(B401),ISNUMBER(I401)),B401-I401+1,"")</f>
        <v/>
      </c>
      <c r="N401" s="14" t="str">
        <f aca="false">IF(B401="","",IF(M401="","시작일 미입력",IF(M401&lt;1,"시작일 이전(확인)",IF(M401=1,"1일째",IF(M401=2,"2일째",IF(M401=3,"3일째",IF(M401&lt;=7,"일주일 이내",IF(M401&lt;=14,"이주일 이내","15일 이후"))))))))</f>
        <v/>
      </c>
      <c r="O401" s="0" t="str">
        <f aca="false">IF(AND(COUNTA($A401:$J401)&gt;0,OR(클레임조회!$C$4="",AND(ISNUMBER($B401),$B401&gt;=클레임조회!$C$4)),OR(클레임조회!$C$5="",AND(ISNUMBER($B401),$B401&lt;=클레임조회!$C$5)),OR(클레임조회!$C$6="",$C401=클레임조회!$C$6),OR(클레임조회!$C$7="",$D401=클레임조회!$C$7),OR(클레임조회!$C$8="",$E401=클레임조회!$C$8),OR(클레임조회!$C$9="",$F401=클레임조회!$C$9),OR(클레임조회!$C$10="",ISNUMBER(SEARCH(클레임조회!$C$10,$C401&amp;" "&amp;$F401&amp;" "&amp;$G401&amp;" "&amp;$H401)))),COUNT(O$1:O400)+1,"")</f>
        <v/>
      </c>
      <c r="P401" s="0" t="str">
        <f aca="false">IF(AND(TRIM(C401)&lt;&gt;"",COUNTIF(C$2:C401,C401)=1),MAX(P$1:P400)+1,"")</f>
        <v/>
      </c>
      <c r="Q401" s="0" t="str">
        <f aca="false">IF(AND(TRIM(F401)&lt;&gt;"",COUNTIF(F$2:F401,F401)=1),MAX(Q$1:Q400)+1,"")</f>
        <v/>
      </c>
    </row>
    <row r="402" customFormat="false" ht="15" hidden="false" customHeight="false" outlineLevel="0" collapsed="false">
      <c r="A402" s="9"/>
      <c r="B402" s="10"/>
      <c r="C402" s="11"/>
      <c r="D402" s="11"/>
      <c r="E402" s="11"/>
      <c r="F402" s="11"/>
      <c r="G402" s="12"/>
      <c r="H402" s="12"/>
      <c r="I402" s="10"/>
      <c r="J402" s="12"/>
      <c r="K402" s="13" t="str">
        <f aca="false">IF(ISNUMBER(B402),YEAR(B402),"")</f>
        <v/>
      </c>
      <c r="L402" s="13" t="str">
        <f aca="false">IF(ISNUMBER(B402),MONTH(B402),"")</f>
        <v/>
      </c>
      <c r="M402" s="13" t="str">
        <f aca="false">IF(AND(ISNUMBER(B402),ISNUMBER(I402)),B402-I402+1,"")</f>
        <v/>
      </c>
      <c r="N402" s="14" t="str">
        <f aca="false">IF(B402="","",IF(M402="","시작일 미입력",IF(M402&lt;1,"시작일 이전(확인)",IF(M402=1,"1일째",IF(M402=2,"2일째",IF(M402=3,"3일째",IF(M402&lt;=7,"일주일 이내",IF(M402&lt;=14,"이주일 이내","15일 이후"))))))))</f>
        <v/>
      </c>
      <c r="O402" s="0" t="str">
        <f aca="false">IF(AND(COUNTA($A402:$J402)&gt;0,OR(클레임조회!$C$4="",AND(ISNUMBER($B402),$B402&gt;=클레임조회!$C$4)),OR(클레임조회!$C$5="",AND(ISNUMBER($B402),$B402&lt;=클레임조회!$C$5)),OR(클레임조회!$C$6="",$C402=클레임조회!$C$6),OR(클레임조회!$C$7="",$D402=클레임조회!$C$7),OR(클레임조회!$C$8="",$E402=클레임조회!$C$8),OR(클레임조회!$C$9="",$F402=클레임조회!$C$9),OR(클레임조회!$C$10="",ISNUMBER(SEARCH(클레임조회!$C$10,$C402&amp;" "&amp;$F402&amp;" "&amp;$G402&amp;" "&amp;$H402)))),COUNT(O$1:O401)+1,"")</f>
        <v/>
      </c>
      <c r="P402" s="0" t="str">
        <f aca="false">IF(AND(TRIM(C402)&lt;&gt;"",COUNTIF(C$2:C402,C402)=1),MAX(P$1:P401)+1,"")</f>
        <v/>
      </c>
      <c r="Q402" s="0" t="str">
        <f aca="false">IF(AND(TRIM(F402)&lt;&gt;"",COUNTIF(F$2:F402,F402)=1),MAX(Q$1:Q401)+1,"")</f>
        <v/>
      </c>
    </row>
    <row r="403" customFormat="false" ht="15" hidden="false" customHeight="false" outlineLevel="0" collapsed="false">
      <c r="A403" s="9"/>
      <c r="B403" s="10"/>
      <c r="C403" s="11"/>
      <c r="D403" s="11"/>
      <c r="E403" s="11"/>
      <c r="F403" s="11"/>
      <c r="G403" s="12"/>
      <c r="H403" s="12"/>
      <c r="I403" s="10"/>
      <c r="J403" s="12"/>
      <c r="K403" s="13" t="str">
        <f aca="false">IF(ISNUMBER(B403),YEAR(B403),"")</f>
        <v/>
      </c>
      <c r="L403" s="13" t="str">
        <f aca="false">IF(ISNUMBER(B403),MONTH(B403),"")</f>
        <v/>
      </c>
      <c r="M403" s="13" t="str">
        <f aca="false">IF(AND(ISNUMBER(B403),ISNUMBER(I403)),B403-I403+1,"")</f>
        <v/>
      </c>
      <c r="N403" s="14" t="str">
        <f aca="false">IF(B403="","",IF(M403="","시작일 미입력",IF(M403&lt;1,"시작일 이전(확인)",IF(M403=1,"1일째",IF(M403=2,"2일째",IF(M403=3,"3일째",IF(M403&lt;=7,"일주일 이내",IF(M403&lt;=14,"이주일 이내","15일 이후"))))))))</f>
        <v/>
      </c>
      <c r="O403" s="0" t="str">
        <f aca="false">IF(AND(COUNTA($A403:$J403)&gt;0,OR(클레임조회!$C$4="",AND(ISNUMBER($B403),$B403&gt;=클레임조회!$C$4)),OR(클레임조회!$C$5="",AND(ISNUMBER($B403),$B403&lt;=클레임조회!$C$5)),OR(클레임조회!$C$6="",$C403=클레임조회!$C$6),OR(클레임조회!$C$7="",$D403=클레임조회!$C$7),OR(클레임조회!$C$8="",$E403=클레임조회!$C$8),OR(클레임조회!$C$9="",$F403=클레임조회!$C$9),OR(클레임조회!$C$10="",ISNUMBER(SEARCH(클레임조회!$C$10,$C403&amp;" "&amp;$F403&amp;" "&amp;$G403&amp;" "&amp;$H403)))),COUNT(O$1:O402)+1,"")</f>
        <v/>
      </c>
      <c r="P403" s="0" t="str">
        <f aca="false">IF(AND(TRIM(C403)&lt;&gt;"",COUNTIF(C$2:C403,C403)=1),MAX(P$1:P402)+1,"")</f>
        <v/>
      </c>
      <c r="Q403" s="0" t="str">
        <f aca="false">IF(AND(TRIM(F403)&lt;&gt;"",COUNTIF(F$2:F403,F403)=1),MAX(Q$1:Q402)+1,"")</f>
        <v/>
      </c>
    </row>
    <row r="404" customFormat="false" ht="15" hidden="false" customHeight="false" outlineLevel="0" collapsed="false">
      <c r="A404" s="9"/>
      <c r="B404" s="10"/>
      <c r="C404" s="11"/>
      <c r="D404" s="11"/>
      <c r="E404" s="11"/>
      <c r="F404" s="11"/>
      <c r="G404" s="12"/>
      <c r="H404" s="12"/>
      <c r="I404" s="10"/>
      <c r="J404" s="12"/>
      <c r="K404" s="13" t="str">
        <f aca="false">IF(ISNUMBER(B404),YEAR(B404),"")</f>
        <v/>
      </c>
      <c r="L404" s="13" t="str">
        <f aca="false">IF(ISNUMBER(B404),MONTH(B404),"")</f>
        <v/>
      </c>
      <c r="M404" s="13" t="str">
        <f aca="false">IF(AND(ISNUMBER(B404),ISNUMBER(I404)),B404-I404+1,"")</f>
        <v/>
      </c>
      <c r="N404" s="14" t="str">
        <f aca="false">IF(B404="","",IF(M404="","시작일 미입력",IF(M404&lt;1,"시작일 이전(확인)",IF(M404=1,"1일째",IF(M404=2,"2일째",IF(M404=3,"3일째",IF(M404&lt;=7,"일주일 이내",IF(M404&lt;=14,"이주일 이내","15일 이후"))))))))</f>
        <v/>
      </c>
      <c r="O404" s="0" t="str">
        <f aca="false">IF(AND(COUNTA($A404:$J404)&gt;0,OR(클레임조회!$C$4="",AND(ISNUMBER($B404),$B404&gt;=클레임조회!$C$4)),OR(클레임조회!$C$5="",AND(ISNUMBER($B404),$B404&lt;=클레임조회!$C$5)),OR(클레임조회!$C$6="",$C404=클레임조회!$C$6),OR(클레임조회!$C$7="",$D404=클레임조회!$C$7),OR(클레임조회!$C$8="",$E404=클레임조회!$C$8),OR(클레임조회!$C$9="",$F404=클레임조회!$C$9),OR(클레임조회!$C$10="",ISNUMBER(SEARCH(클레임조회!$C$10,$C404&amp;" "&amp;$F404&amp;" "&amp;$G404&amp;" "&amp;$H404)))),COUNT(O$1:O403)+1,"")</f>
        <v/>
      </c>
      <c r="P404" s="0" t="str">
        <f aca="false">IF(AND(TRIM(C404)&lt;&gt;"",COUNTIF(C$2:C404,C404)=1),MAX(P$1:P403)+1,"")</f>
        <v/>
      </c>
      <c r="Q404" s="0" t="str">
        <f aca="false">IF(AND(TRIM(F404)&lt;&gt;"",COUNTIF(F$2:F404,F404)=1),MAX(Q$1:Q403)+1,"")</f>
        <v/>
      </c>
    </row>
    <row r="405" customFormat="false" ht="15" hidden="false" customHeight="false" outlineLevel="0" collapsed="false">
      <c r="A405" s="9"/>
      <c r="B405" s="10"/>
      <c r="C405" s="11"/>
      <c r="D405" s="11"/>
      <c r="E405" s="11"/>
      <c r="F405" s="11"/>
      <c r="G405" s="12"/>
      <c r="H405" s="12"/>
      <c r="I405" s="10"/>
      <c r="J405" s="12"/>
      <c r="K405" s="13" t="str">
        <f aca="false">IF(ISNUMBER(B405),YEAR(B405),"")</f>
        <v/>
      </c>
      <c r="L405" s="13" t="str">
        <f aca="false">IF(ISNUMBER(B405),MONTH(B405),"")</f>
        <v/>
      </c>
      <c r="M405" s="13" t="str">
        <f aca="false">IF(AND(ISNUMBER(B405),ISNUMBER(I405)),B405-I405+1,"")</f>
        <v/>
      </c>
      <c r="N405" s="14" t="str">
        <f aca="false">IF(B405="","",IF(M405="","시작일 미입력",IF(M405&lt;1,"시작일 이전(확인)",IF(M405=1,"1일째",IF(M405=2,"2일째",IF(M405=3,"3일째",IF(M405&lt;=7,"일주일 이내",IF(M405&lt;=14,"이주일 이내","15일 이후"))))))))</f>
        <v/>
      </c>
      <c r="O405" s="0" t="str">
        <f aca="false">IF(AND(COUNTA($A405:$J405)&gt;0,OR(클레임조회!$C$4="",AND(ISNUMBER($B405),$B405&gt;=클레임조회!$C$4)),OR(클레임조회!$C$5="",AND(ISNUMBER($B405),$B405&lt;=클레임조회!$C$5)),OR(클레임조회!$C$6="",$C405=클레임조회!$C$6),OR(클레임조회!$C$7="",$D405=클레임조회!$C$7),OR(클레임조회!$C$8="",$E405=클레임조회!$C$8),OR(클레임조회!$C$9="",$F405=클레임조회!$C$9),OR(클레임조회!$C$10="",ISNUMBER(SEARCH(클레임조회!$C$10,$C405&amp;" "&amp;$F405&amp;" "&amp;$G405&amp;" "&amp;$H405)))),COUNT(O$1:O404)+1,"")</f>
        <v/>
      </c>
      <c r="P405" s="0" t="str">
        <f aca="false">IF(AND(TRIM(C405)&lt;&gt;"",COUNTIF(C$2:C405,C405)=1),MAX(P$1:P404)+1,"")</f>
        <v/>
      </c>
      <c r="Q405" s="0" t="str">
        <f aca="false">IF(AND(TRIM(F405)&lt;&gt;"",COUNTIF(F$2:F405,F405)=1),MAX(Q$1:Q404)+1,"")</f>
        <v/>
      </c>
    </row>
    <row r="406" customFormat="false" ht="15" hidden="false" customHeight="false" outlineLevel="0" collapsed="false">
      <c r="A406" s="9"/>
      <c r="B406" s="10"/>
      <c r="C406" s="11"/>
      <c r="D406" s="11"/>
      <c r="E406" s="11"/>
      <c r="F406" s="11"/>
      <c r="G406" s="12"/>
      <c r="H406" s="12"/>
      <c r="I406" s="10"/>
      <c r="J406" s="12"/>
      <c r="K406" s="13" t="str">
        <f aca="false">IF(ISNUMBER(B406),YEAR(B406),"")</f>
        <v/>
      </c>
      <c r="L406" s="13" t="str">
        <f aca="false">IF(ISNUMBER(B406),MONTH(B406),"")</f>
        <v/>
      </c>
      <c r="M406" s="13" t="str">
        <f aca="false">IF(AND(ISNUMBER(B406),ISNUMBER(I406)),B406-I406+1,"")</f>
        <v/>
      </c>
      <c r="N406" s="14" t="str">
        <f aca="false">IF(B406="","",IF(M406="","시작일 미입력",IF(M406&lt;1,"시작일 이전(확인)",IF(M406=1,"1일째",IF(M406=2,"2일째",IF(M406=3,"3일째",IF(M406&lt;=7,"일주일 이내",IF(M406&lt;=14,"이주일 이내","15일 이후"))))))))</f>
        <v/>
      </c>
      <c r="O406" s="0" t="str">
        <f aca="false">IF(AND(COUNTA($A406:$J406)&gt;0,OR(클레임조회!$C$4="",AND(ISNUMBER($B406),$B406&gt;=클레임조회!$C$4)),OR(클레임조회!$C$5="",AND(ISNUMBER($B406),$B406&lt;=클레임조회!$C$5)),OR(클레임조회!$C$6="",$C406=클레임조회!$C$6),OR(클레임조회!$C$7="",$D406=클레임조회!$C$7),OR(클레임조회!$C$8="",$E406=클레임조회!$C$8),OR(클레임조회!$C$9="",$F406=클레임조회!$C$9),OR(클레임조회!$C$10="",ISNUMBER(SEARCH(클레임조회!$C$10,$C406&amp;" "&amp;$F406&amp;" "&amp;$G406&amp;" "&amp;$H406)))),COUNT(O$1:O405)+1,"")</f>
        <v/>
      </c>
      <c r="P406" s="0" t="str">
        <f aca="false">IF(AND(TRIM(C406)&lt;&gt;"",COUNTIF(C$2:C406,C406)=1),MAX(P$1:P405)+1,"")</f>
        <v/>
      </c>
      <c r="Q406" s="0" t="str">
        <f aca="false">IF(AND(TRIM(F406)&lt;&gt;"",COUNTIF(F$2:F406,F406)=1),MAX(Q$1:Q405)+1,"")</f>
        <v/>
      </c>
    </row>
    <row r="407" customFormat="false" ht="15" hidden="false" customHeight="false" outlineLevel="0" collapsed="false">
      <c r="A407" s="9"/>
      <c r="B407" s="10"/>
      <c r="C407" s="11"/>
      <c r="D407" s="11"/>
      <c r="E407" s="11"/>
      <c r="F407" s="11"/>
      <c r="G407" s="12"/>
      <c r="H407" s="12"/>
      <c r="I407" s="10"/>
      <c r="J407" s="12"/>
      <c r="K407" s="13" t="str">
        <f aca="false">IF(ISNUMBER(B407),YEAR(B407),"")</f>
        <v/>
      </c>
      <c r="L407" s="13" t="str">
        <f aca="false">IF(ISNUMBER(B407),MONTH(B407),"")</f>
        <v/>
      </c>
      <c r="M407" s="13" t="str">
        <f aca="false">IF(AND(ISNUMBER(B407),ISNUMBER(I407)),B407-I407+1,"")</f>
        <v/>
      </c>
      <c r="N407" s="14" t="str">
        <f aca="false">IF(B407="","",IF(M407="","시작일 미입력",IF(M407&lt;1,"시작일 이전(확인)",IF(M407=1,"1일째",IF(M407=2,"2일째",IF(M407=3,"3일째",IF(M407&lt;=7,"일주일 이내",IF(M407&lt;=14,"이주일 이내","15일 이후"))))))))</f>
        <v/>
      </c>
      <c r="O407" s="0" t="str">
        <f aca="false">IF(AND(COUNTA($A407:$J407)&gt;0,OR(클레임조회!$C$4="",AND(ISNUMBER($B407),$B407&gt;=클레임조회!$C$4)),OR(클레임조회!$C$5="",AND(ISNUMBER($B407),$B407&lt;=클레임조회!$C$5)),OR(클레임조회!$C$6="",$C407=클레임조회!$C$6),OR(클레임조회!$C$7="",$D407=클레임조회!$C$7),OR(클레임조회!$C$8="",$E407=클레임조회!$C$8),OR(클레임조회!$C$9="",$F407=클레임조회!$C$9),OR(클레임조회!$C$10="",ISNUMBER(SEARCH(클레임조회!$C$10,$C407&amp;" "&amp;$F407&amp;" "&amp;$G407&amp;" "&amp;$H407)))),COUNT(O$1:O406)+1,"")</f>
        <v/>
      </c>
      <c r="P407" s="0" t="str">
        <f aca="false">IF(AND(TRIM(C407)&lt;&gt;"",COUNTIF(C$2:C407,C407)=1),MAX(P$1:P406)+1,"")</f>
        <v/>
      </c>
      <c r="Q407" s="0" t="str">
        <f aca="false">IF(AND(TRIM(F407)&lt;&gt;"",COUNTIF(F$2:F407,F407)=1),MAX(Q$1:Q406)+1,"")</f>
        <v/>
      </c>
    </row>
    <row r="408" customFormat="false" ht="15" hidden="false" customHeight="false" outlineLevel="0" collapsed="false">
      <c r="A408" s="9"/>
      <c r="B408" s="10"/>
      <c r="C408" s="11"/>
      <c r="D408" s="11"/>
      <c r="E408" s="11"/>
      <c r="F408" s="11"/>
      <c r="G408" s="12"/>
      <c r="H408" s="12"/>
      <c r="I408" s="10"/>
      <c r="J408" s="12"/>
      <c r="K408" s="13" t="str">
        <f aca="false">IF(ISNUMBER(B408),YEAR(B408),"")</f>
        <v/>
      </c>
      <c r="L408" s="13" t="str">
        <f aca="false">IF(ISNUMBER(B408),MONTH(B408),"")</f>
        <v/>
      </c>
      <c r="M408" s="13" t="str">
        <f aca="false">IF(AND(ISNUMBER(B408),ISNUMBER(I408)),B408-I408+1,"")</f>
        <v/>
      </c>
      <c r="N408" s="14" t="str">
        <f aca="false">IF(B408="","",IF(M408="","시작일 미입력",IF(M408&lt;1,"시작일 이전(확인)",IF(M408=1,"1일째",IF(M408=2,"2일째",IF(M408=3,"3일째",IF(M408&lt;=7,"일주일 이내",IF(M408&lt;=14,"이주일 이내","15일 이후"))))))))</f>
        <v/>
      </c>
      <c r="O408" s="0" t="str">
        <f aca="false">IF(AND(COUNTA($A408:$J408)&gt;0,OR(클레임조회!$C$4="",AND(ISNUMBER($B408),$B408&gt;=클레임조회!$C$4)),OR(클레임조회!$C$5="",AND(ISNUMBER($B408),$B408&lt;=클레임조회!$C$5)),OR(클레임조회!$C$6="",$C408=클레임조회!$C$6),OR(클레임조회!$C$7="",$D408=클레임조회!$C$7),OR(클레임조회!$C$8="",$E408=클레임조회!$C$8),OR(클레임조회!$C$9="",$F408=클레임조회!$C$9),OR(클레임조회!$C$10="",ISNUMBER(SEARCH(클레임조회!$C$10,$C408&amp;" "&amp;$F408&amp;" "&amp;$G408&amp;" "&amp;$H408)))),COUNT(O$1:O407)+1,"")</f>
        <v/>
      </c>
      <c r="P408" s="0" t="str">
        <f aca="false">IF(AND(TRIM(C408)&lt;&gt;"",COUNTIF(C$2:C408,C408)=1),MAX(P$1:P407)+1,"")</f>
        <v/>
      </c>
      <c r="Q408" s="0" t="str">
        <f aca="false">IF(AND(TRIM(F408)&lt;&gt;"",COUNTIF(F$2:F408,F408)=1),MAX(Q$1:Q407)+1,"")</f>
        <v/>
      </c>
    </row>
    <row r="409" customFormat="false" ht="15" hidden="false" customHeight="false" outlineLevel="0" collapsed="false">
      <c r="A409" s="9"/>
      <c r="B409" s="10"/>
      <c r="C409" s="11"/>
      <c r="D409" s="11"/>
      <c r="E409" s="11"/>
      <c r="F409" s="11"/>
      <c r="G409" s="12"/>
      <c r="H409" s="12"/>
      <c r="I409" s="10"/>
      <c r="J409" s="12"/>
      <c r="K409" s="13" t="str">
        <f aca="false">IF(ISNUMBER(B409),YEAR(B409),"")</f>
        <v/>
      </c>
      <c r="L409" s="13" t="str">
        <f aca="false">IF(ISNUMBER(B409),MONTH(B409),"")</f>
        <v/>
      </c>
      <c r="M409" s="13" t="str">
        <f aca="false">IF(AND(ISNUMBER(B409),ISNUMBER(I409)),B409-I409+1,"")</f>
        <v/>
      </c>
      <c r="N409" s="14" t="str">
        <f aca="false">IF(B409="","",IF(M409="","시작일 미입력",IF(M409&lt;1,"시작일 이전(확인)",IF(M409=1,"1일째",IF(M409=2,"2일째",IF(M409=3,"3일째",IF(M409&lt;=7,"일주일 이내",IF(M409&lt;=14,"이주일 이내","15일 이후"))))))))</f>
        <v/>
      </c>
      <c r="O409" s="0" t="str">
        <f aca="false">IF(AND(COUNTA($A409:$J409)&gt;0,OR(클레임조회!$C$4="",AND(ISNUMBER($B409),$B409&gt;=클레임조회!$C$4)),OR(클레임조회!$C$5="",AND(ISNUMBER($B409),$B409&lt;=클레임조회!$C$5)),OR(클레임조회!$C$6="",$C409=클레임조회!$C$6),OR(클레임조회!$C$7="",$D409=클레임조회!$C$7),OR(클레임조회!$C$8="",$E409=클레임조회!$C$8),OR(클레임조회!$C$9="",$F409=클레임조회!$C$9),OR(클레임조회!$C$10="",ISNUMBER(SEARCH(클레임조회!$C$10,$C409&amp;" "&amp;$F409&amp;" "&amp;$G409&amp;" "&amp;$H409)))),COUNT(O$1:O408)+1,"")</f>
        <v/>
      </c>
      <c r="P409" s="0" t="str">
        <f aca="false">IF(AND(TRIM(C409)&lt;&gt;"",COUNTIF(C$2:C409,C409)=1),MAX(P$1:P408)+1,"")</f>
        <v/>
      </c>
      <c r="Q409" s="0" t="str">
        <f aca="false">IF(AND(TRIM(F409)&lt;&gt;"",COUNTIF(F$2:F409,F409)=1),MAX(Q$1:Q408)+1,"")</f>
        <v/>
      </c>
    </row>
    <row r="410" customFormat="false" ht="15" hidden="false" customHeight="false" outlineLevel="0" collapsed="false">
      <c r="A410" s="9"/>
      <c r="B410" s="10"/>
      <c r="C410" s="11"/>
      <c r="D410" s="11"/>
      <c r="E410" s="11"/>
      <c r="F410" s="11"/>
      <c r="G410" s="12"/>
      <c r="H410" s="12"/>
      <c r="I410" s="10"/>
      <c r="J410" s="12"/>
      <c r="K410" s="13" t="str">
        <f aca="false">IF(ISNUMBER(B410),YEAR(B410),"")</f>
        <v/>
      </c>
      <c r="L410" s="13" t="str">
        <f aca="false">IF(ISNUMBER(B410),MONTH(B410),"")</f>
        <v/>
      </c>
      <c r="M410" s="13" t="str">
        <f aca="false">IF(AND(ISNUMBER(B410),ISNUMBER(I410)),B410-I410+1,"")</f>
        <v/>
      </c>
      <c r="N410" s="14" t="str">
        <f aca="false">IF(B410="","",IF(M410="","시작일 미입력",IF(M410&lt;1,"시작일 이전(확인)",IF(M410=1,"1일째",IF(M410=2,"2일째",IF(M410=3,"3일째",IF(M410&lt;=7,"일주일 이내",IF(M410&lt;=14,"이주일 이내","15일 이후"))))))))</f>
        <v/>
      </c>
      <c r="O410" s="0" t="str">
        <f aca="false">IF(AND(COUNTA($A410:$J410)&gt;0,OR(클레임조회!$C$4="",AND(ISNUMBER($B410),$B410&gt;=클레임조회!$C$4)),OR(클레임조회!$C$5="",AND(ISNUMBER($B410),$B410&lt;=클레임조회!$C$5)),OR(클레임조회!$C$6="",$C410=클레임조회!$C$6),OR(클레임조회!$C$7="",$D410=클레임조회!$C$7),OR(클레임조회!$C$8="",$E410=클레임조회!$C$8),OR(클레임조회!$C$9="",$F410=클레임조회!$C$9),OR(클레임조회!$C$10="",ISNUMBER(SEARCH(클레임조회!$C$10,$C410&amp;" "&amp;$F410&amp;" "&amp;$G410&amp;" "&amp;$H410)))),COUNT(O$1:O409)+1,"")</f>
        <v/>
      </c>
      <c r="P410" s="0" t="str">
        <f aca="false">IF(AND(TRIM(C410)&lt;&gt;"",COUNTIF(C$2:C410,C410)=1),MAX(P$1:P409)+1,"")</f>
        <v/>
      </c>
      <c r="Q410" s="0" t="str">
        <f aca="false">IF(AND(TRIM(F410)&lt;&gt;"",COUNTIF(F$2:F410,F410)=1),MAX(Q$1:Q409)+1,"")</f>
        <v/>
      </c>
    </row>
    <row r="411" customFormat="false" ht="15" hidden="false" customHeight="false" outlineLevel="0" collapsed="false">
      <c r="A411" s="9"/>
      <c r="B411" s="10"/>
      <c r="C411" s="11"/>
      <c r="D411" s="11"/>
      <c r="E411" s="11"/>
      <c r="F411" s="11"/>
      <c r="G411" s="12"/>
      <c r="H411" s="12"/>
      <c r="I411" s="10"/>
      <c r="J411" s="12"/>
      <c r="K411" s="13" t="str">
        <f aca="false">IF(ISNUMBER(B411),YEAR(B411),"")</f>
        <v/>
      </c>
      <c r="L411" s="13" t="str">
        <f aca="false">IF(ISNUMBER(B411),MONTH(B411),"")</f>
        <v/>
      </c>
      <c r="M411" s="13" t="str">
        <f aca="false">IF(AND(ISNUMBER(B411),ISNUMBER(I411)),B411-I411+1,"")</f>
        <v/>
      </c>
      <c r="N411" s="14" t="str">
        <f aca="false">IF(B411="","",IF(M411="","시작일 미입력",IF(M411&lt;1,"시작일 이전(확인)",IF(M411=1,"1일째",IF(M411=2,"2일째",IF(M411=3,"3일째",IF(M411&lt;=7,"일주일 이내",IF(M411&lt;=14,"이주일 이내","15일 이후"))))))))</f>
        <v/>
      </c>
      <c r="O411" s="0" t="str">
        <f aca="false">IF(AND(COUNTA($A411:$J411)&gt;0,OR(클레임조회!$C$4="",AND(ISNUMBER($B411),$B411&gt;=클레임조회!$C$4)),OR(클레임조회!$C$5="",AND(ISNUMBER($B411),$B411&lt;=클레임조회!$C$5)),OR(클레임조회!$C$6="",$C411=클레임조회!$C$6),OR(클레임조회!$C$7="",$D411=클레임조회!$C$7),OR(클레임조회!$C$8="",$E411=클레임조회!$C$8),OR(클레임조회!$C$9="",$F411=클레임조회!$C$9),OR(클레임조회!$C$10="",ISNUMBER(SEARCH(클레임조회!$C$10,$C411&amp;" "&amp;$F411&amp;" "&amp;$G411&amp;" "&amp;$H411)))),COUNT(O$1:O410)+1,"")</f>
        <v/>
      </c>
      <c r="P411" s="0" t="str">
        <f aca="false">IF(AND(TRIM(C411)&lt;&gt;"",COUNTIF(C$2:C411,C411)=1),MAX(P$1:P410)+1,"")</f>
        <v/>
      </c>
      <c r="Q411" s="0" t="str">
        <f aca="false">IF(AND(TRIM(F411)&lt;&gt;"",COUNTIF(F$2:F411,F411)=1),MAX(Q$1:Q410)+1,"")</f>
        <v/>
      </c>
    </row>
    <row r="412" customFormat="false" ht="15" hidden="false" customHeight="false" outlineLevel="0" collapsed="false">
      <c r="A412" s="9"/>
      <c r="B412" s="10"/>
      <c r="C412" s="11"/>
      <c r="D412" s="11"/>
      <c r="E412" s="11"/>
      <c r="F412" s="11"/>
      <c r="G412" s="12"/>
      <c r="H412" s="12"/>
      <c r="I412" s="10"/>
      <c r="J412" s="12"/>
      <c r="K412" s="13" t="str">
        <f aca="false">IF(ISNUMBER(B412),YEAR(B412),"")</f>
        <v/>
      </c>
      <c r="L412" s="13" t="str">
        <f aca="false">IF(ISNUMBER(B412),MONTH(B412),"")</f>
        <v/>
      </c>
      <c r="M412" s="13" t="str">
        <f aca="false">IF(AND(ISNUMBER(B412),ISNUMBER(I412)),B412-I412+1,"")</f>
        <v/>
      </c>
      <c r="N412" s="14" t="str">
        <f aca="false">IF(B412="","",IF(M412="","시작일 미입력",IF(M412&lt;1,"시작일 이전(확인)",IF(M412=1,"1일째",IF(M412=2,"2일째",IF(M412=3,"3일째",IF(M412&lt;=7,"일주일 이내",IF(M412&lt;=14,"이주일 이내","15일 이후"))))))))</f>
        <v/>
      </c>
      <c r="O412" s="0" t="str">
        <f aca="false">IF(AND(COUNTA($A412:$J412)&gt;0,OR(클레임조회!$C$4="",AND(ISNUMBER($B412),$B412&gt;=클레임조회!$C$4)),OR(클레임조회!$C$5="",AND(ISNUMBER($B412),$B412&lt;=클레임조회!$C$5)),OR(클레임조회!$C$6="",$C412=클레임조회!$C$6),OR(클레임조회!$C$7="",$D412=클레임조회!$C$7),OR(클레임조회!$C$8="",$E412=클레임조회!$C$8),OR(클레임조회!$C$9="",$F412=클레임조회!$C$9),OR(클레임조회!$C$10="",ISNUMBER(SEARCH(클레임조회!$C$10,$C412&amp;" "&amp;$F412&amp;" "&amp;$G412&amp;" "&amp;$H412)))),COUNT(O$1:O411)+1,"")</f>
        <v/>
      </c>
      <c r="P412" s="0" t="str">
        <f aca="false">IF(AND(TRIM(C412)&lt;&gt;"",COUNTIF(C$2:C412,C412)=1),MAX(P$1:P411)+1,"")</f>
        <v/>
      </c>
      <c r="Q412" s="0" t="str">
        <f aca="false">IF(AND(TRIM(F412)&lt;&gt;"",COUNTIF(F$2:F412,F412)=1),MAX(Q$1:Q411)+1,"")</f>
        <v/>
      </c>
    </row>
    <row r="413" customFormat="false" ht="15" hidden="false" customHeight="false" outlineLevel="0" collapsed="false">
      <c r="A413" s="9"/>
      <c r="B413" s="10"/>
      <c r="C413" s="11"/>
      <c r="D413" s="11"/>
      <c r="E413" s="11"/>
      <c r="F413" s="11"/>
      <c r="G413" s="12"/>
      <c r="H413" s="12"/>
      <c r="I413" s="10"/>
      <c r="J413" s="12"/>
      <c r="K413" s="13" t="str">
        <f aca="false">IF(ISNUMBER(B413),YEAR(B413),"")</f>
        <v/>
      </c>
      <c r="L413" s="13" t="str">
        <f aca="false">IF(ISNUMBER(B413),MONTH(B413),"")</f>
        <v/>
      </c>
      <c r="M413" s="13" t="str">
        <f aca="false">IF(AND(ISNUMBER(B413),ISNUMBER(I413)),B413-I413+1,"")</f>
        <v/>
      </c>
      <c r="N413" s="14" t="str">
        <f aca="false">IF(B413="","",IF(M413="","시작일 미입력",IF(M413&lt;1,"시작일 이전(확인)",IF(M413=1,"1일째",IF(M413=2,"2일째",IF(M413=3,"3일째",IF(M413&lt;=7,"일주일 이내",IF(M413&lt;=14,"이주일 이내","15일 이후"))))))))</f>
        <v/>
      </c>
      <c r="O413" s="0" t="str">
        <f aca="false">IF(AND(COUNTA($A413:$J413)&gt;0,OR(클레임조회!$C$4="",AND(ISNUMBER($B413),$B413&gt;=클레임조회!$C$4)),OR(클레임조회!$C$5="",AND(ISNUMBER($B413),$B413&lt;=클레임조회!$C$5)),OR(클레임조회!$C$6="",$C413=클레임조회!$C$6),OR(클레임조회!$C$7="",$D413=클레임조회!$C$7),OR(클레임조회!$C$8="",$E413=클레임조회!$C$8),OR(클레임조회!$C$9="",$F413=클레임조회!$C$9),OR(클레임조회!$C$10="",ISNUMBER(SEARCH(클레임조회!$C$10,$C413&amp;" "&amp;$F413&amp;" "&amp;$G413&amp;" "&amp;$H413)))),COUNT(O$1:O412)+1,"")</f>
        <v/>
      </c>
      <c r="P413" s="0" t="str">
        <f aca="false">IF(AND(TRIM(C413)&lt;&gt;"",COUNTIF(C$2:C413,C413)=1),MAX(P$1:P412)+1,"")</f>
        <v/>
      </c>
      <c r="Q413" s="0" t="str">
        <f aca="false">IF(AND(TRIM(F413)&lt;&gt;"",COUNTIF(F$2:F413,F413)=1),MAX(Q$1:Q412)+1,"")</f>
        <v/>
      </c>
    </row>
    <row r="414" customFormat="false" ht="15" hidden="false" customHeight="false" outlineLevel="0" collapsed="false">
      <c r="A414" s="9"/>
      <c r="B414" s="10"/>
      <c r="C414" s="11"/>
      <c r="D414" s="11"/>
      <c r="E414" s="11"/>
      <c r="F414" s="11"/>
      <c r="G414" s="12"/>
      <c r="H414" s="12"/>
      <c r="I414" s="10"/>
      <c r="J414" s="12"/>
      <c r="K414" s="13" t="str">
        <f aca="false">IF(ISNUMBER(B414),YEAR(B414),"")</f>
        <v/>
      </c>
      <c r="L414" s="13" t="str">
        <f aca="false">IF(ISNUMBER(B414),MONTH(B414),"")</f>
        <v/>
      </c>
      <c r="M414" s="13" t="str">
        <f aca="false">IF(AND(ISNUMBER(B414),ISNUMBER(I414)),B414-I414+1,"")</f>
        <v/>
      </c>
      <c r="N414" s="14" t="str">
        <f aca="false">IF(B414="","",IF(M414="","시작일 미입력",IF(M414&lt;1,"시작일 이전(확인)",IF(M414=1,"1일째",IF(M414=2,"2일째",IF(M414=3,"3일째",IF(M414&lt;=7,"일주일 이내",IF(M414&lt;=14,"이주일 이내","15일 이후"))))))))</f>
        <v/>
      </c>
      <c r="O414" s="0" t="str">
        <f aca="false">IF(AND(COUNTA($A414:$J414)&gt;0,OR(클레임조회!$C$4="",AND(ISNUMBER($B414),$B414&gt;=클레임조회!$C$4)),OR(클레임조회!$C$5="",AND(ISNUMBER($B414),$B414&lt;=클레임조회!$C$5)),OR(클레임조회!$C$6="",$C414=클레임조회!$C$6),OR(클레임조회!$C$7="",$D414=클레임조회!$C$7),OR(클레임조회!$C$8="",$E414=클레임조회!$C$8),OR(클레임조회!$C$9="",$F414=클레임조회!$C$9),OR(클레임조회!$C$10="",ISNUMBER(SEARCH(클레임조회!$C$10,$C414&amp;" "&amp;$F414&amp;" "&amp;$G414&amp;" "&amp;$H414)))),COUNT(O$1:O413)+1,"")</f>
        <v/>
      </c>
      <c r="P414" s="0" t="str">
        <f aca="false">IF(AND(TRIM(C414)&lt;&gt;"",COUNTIF(C$2:C414,C414)=1),MAX(P$1:P413)+1,"")</f>
        <v/>
      </c>
      <c r="Q414" s="0" t="str">
        <f aca="false">IF(AND(TRIM(F414)&lt;&gt;"",COUNTIF(F$2:F414,F414)=1),MAX(Q$1:Q413)+1,"")</f>
        <v/>
      </c>
    </row>
    <row r="415" customFormat="false" ht="15" hidden="false" customHeight="false" outlineLevel="0" collapsed="false">
      <c r="A415" s="9"/>
      <c r="B415" s="10"/>
      <c r="C415" s="11"/>
      <c r="D415" s="11"/>
      <c r="E415" s="11"/>
      <c r="F415" s="11"/>
      <c r="G415" s="12"/>
      <c r="H415" s="12"/>
      <c r="I415" s="10"/>
      <c r="J415" s="12"/>
      <c r="K415" s="13" t="str">
        <f aca="false">IF(ISNUMBER(B415),YEAR(B415),"")</f>
        <v/>
      </c>
      <c r="L415" s="13" t="str">
        <f aca="false">IF(ISNUMBER(B415),MONTH(B415),"")</f>
        <v/>
      </c>
      <c r="M415" s="13" t="str">
        <f aca="false">IF(AND(ISNUMBER(B415),ISNUMBER(I415)),B415-I415+1,"")</f>
        <v/>
      </c>
      <c r="N415" s="14" t="str">
        <f aca="false">IF(B415="","",IF(M415="","시작일 미입력",IF(M415&lt;1,"시작일 이전(확인)",IF(M415=1,"1일째",IF(M415=2,"2일째",IF(M415=3,"3일째",IF(M415&lt;=7,"일주일 이내",IF(M415&lt;=14,"이주일 이내","15일 이후"))))))))</f>
        <v/>
      </c>
      <c r="O415" s="0" t="str">
        <f aca="false">IF(AND(COUNTA($A415:$J415)&gt;0,OR(클레임조회!$C$4="",AND(ISNUMBER($B415),$B415&gt;=클레임조회!$C$4)),OR(클레임조회!$C$5="",AND(ISNUMBER($B415),$B415&lt;=클레임조회!$C$5)),OR(클레임조회!$C$6="",$C415=클레임조회!$C$6),OR(클레임조회!$C$7="",$D415=클레임조회!$C$7),OR(클레임조회!$C$8="",$E415=클레임조회!$C$8),OR(클레임조회!$C$9="",$F415=클레임조회!$C$9),OR(클레임조회!$C$10="",ISNUMBER(SEARCH(클레임조회!$C$10,$C415&amp;" "&amp;$F415&amp;" "&amp;$G415&amp;" "&amp;$H415)))),COUNT(O$1:O414)+1,"")</f>
        <v/>
      </c>
      <c r="P415" s="0" t="str">
        <f aca="false">IF(AND(TRIM(C415)&lt;&gt;"",COUNTIF(C$2:C415,C415)=1),MAX(P$1:P414)+1,"")</f>
        <v/>
      </c>
      <c r="Q415" s="0" t="str">
        <f aca="false">IF(AND(TRIM(F415)&lt;&gt;"",COUNTIF(F$2:F415,F415)=1),MAX(Q$1:Q414)+1,"")</f>
        <v/>
      </c>
    </row>
    <row r="416" customFormat="false" ht="15" hidden="false" customHeight="false" outlineLevel="0" collapsed="false">
      <c r="A416" s="9"/>
      <c r="B416" s="10"/>
      <c r="C416" s="11"/>
      <c r="D416" s="11"/>
      <c r="E416" s="11"/>
      <c r="F416" s="11"/>
      <c r="G416" s="12"/>
      <c r="H416" s="12"/>
      <c r="I416" s="10"/>
      <c r="J416" s="12"/>
      <c r="K416" s="13" t="str">
        <f aca="false">IF(ISNUMBER(B416),YEAR(B416),"")</f>
        <v/>
      </c>
      <c r="L416" s="13" t="str">
        <f aca="false">IF(ISNUMBER(B416),MONTH(B416),"")</f>
        <v/>
      </c>
      <c r="M416" s="13" t="str">
        <f aca="false">IF(AND(ISNUMBER(B416),ISNUMBER(I416)),B416-I416+1,"")</f>
        <v/>
      </c>
      <c r="N416" s="14" t="str">
        <f aca="false">IF(B416="","",IF(M416="","시작일 미입력",IF(M416&lt;1,"시작일 이전(확인)",IF(M416=1,"1일째",IF(M416=2,"2일째",IF(M416=3,"3일째",IF(M416&lt;=7,"일주일 이내",IF(M416&lt;=14,"이주일 이내","15일 이후"))))))))</f>
        <v/>
      </c>
      <c r="O416" s="0" t="str">
        <f aca="false">IF(AND(COUNTA($A416:$J416)&gt;0,OR(클레임조회!$C$4="",AND(ISNUMBER($B416),$B416&gt;=클레임조회!$C$4)),OR(클레임조회!$C$5="",AND(ISNUMBER($B416),$B416&lt;=클레임조회!$C$5)),OR(클레임조회!$C$6="",$C416=클레임조회!$C$6),OR(클레임조회!$C$7="",$D416=클레임조회!$C$7),OR(클레임조회!$C$8="",$E416=클레임조회!$C$8),OR(클레임조회!$C$9="",$F416=클레임조회!$C$9),OR(클레임조회!$C$10="",ISNUMBER(SEARCH(클레임조회!$C$10,$C416&amp;" "&amp;$F416&amp;" "&amp;$G416&amp;" "&amp;$H416)))),COUNT(O$1:O415)+1,"")</f>
        <v/>
      </c>
      <c r="P416" s="0" t="str">
        <f aca="false">IF(AND(TRIM(C416)&lt;&gt;"",COUNTIF(C$2:C416,C416)=1),MAX(P$1:P415)+1,"")</f>
        <v/>
      </c>
      <c r="Q416" s="0" t="str">
        <f aca="false">IF(AND(TRIM(F416)&lt;&gt;"",COUNTIF(F$2:F416,F416)=1),MAX(Q$1:Q415)+1,"")</f>
        <v/>
      </c>
    </row>
    <row r="417" customFormat="false" ht="15" hidden="false" customHeight="false" outlineLevel="0" collapsed="false">
      <c r="A417" s="9"/>
      <c r="B417" s="10"/>
      <c r="C417" s="11"/>
      <c r="D417" s="11"/>
      <c r="E417" s="11"/>
      <c r="F417" s="11"/>
      <c r="G417" s="12"/>
      <c r="H417" s="12"/>
      <c r="I417" s="10"/>
      <c r="J417" s="12"/>
      <c r="K417" s="13" t="str">
        <f aca="false">IF(ISNUMBER(B417),YEAR(B417),"")</f>
        <v/>
      </c>
      <c r="L417" s="13" t="str">
        <f aca="false">IF(ISNUMBER(B417),MONTH(B417),"")</f>
        <v/>
      </c>
      <c r="M417" s="13" t="str">
        <f aca="false">IF(AND(ISNUMBER(B417),ISNUMBER(I417)),B417-I417+1,"")</f>
        <v/>
      </c>
      <c r="N417" s="14" t="str">
        <f aca="false">IF(B417="","",IF(M417="","시작일 미입력",IF(M417&lt;1,"시작일 이전(확인)",IF(M417=1,"1일째",IF(M417=2,"2일째",IF(M417=3,"3일째",IF(M417&lt;=7,"일주일 이내",IF(M417&lt;=14,"이주일 이내","15일 이후"))))))))</f>
        <v/>
      </c>
      <c r="O417" s="0" t="str">
        <f aca="false">IF(AND(COUNTA($A417:$J417)&gt;0,OR(클레임조회!$C$4="",AND(ISNUMBER($B417),$B417&gt;=클레임조회!$C$4)),OR(클레임조회!$C$5="",AND(ISNUMBER($B417),$B417&lt;=클레임조회!$C$5)),OR(클레임조회!$C$6="",$C417=클레임조회!$C$6),OR(클레임조회!$C$7="",$D417=클레임조회!$C$7),OR(클레임조회!$C$8="",$E417=클레임조회!$C$8),OR(클레임조회!$C$9="",$F417=클레임조회!$C$9),OR(클레임조회!$C$10="",ISNUMBER(SEARCH(클레임조회!$C$10,$C417&amp;" "&amp;$F417&amp;" "&amp;$G417&amp;" "&amp;$H417)))),COUNT(O$1:O416)+1,"")</f>
        <v/>
      </c>
      <c r="P417" s="0" t="str">
        <f aca="false">IF(AND(TRIM(C417)&lt;&gt;"",COUNTIF(C$2:C417,C417)=1),MAX(P$1:P416)+1,"")</f>
        <v/>
      </c>
      <c r="Q417" s="0" t="str">
        <f aca="false">IF(AND(TRIM(F417)&lt;&gt;"",COUNTIF(F$2:F417,F417)=1),MAX(Q$1:Q416)+1,"")</f>
        <v/>
      </c>
    </row>
    <row r="418" customFormat="false" ht="15" hidden="false" customHeight="false" outlineLevel="0" collapsed="false">
      <c r="A418" s="9"/>
      <c r="B418" s="10"/>
      <c r="C418" s="11"/>
      <c r="D418" s="11"/>
      <c r="E418" s="11"/>
      <c r="F418" s="11"/>
      <c r="G418" s="12"/>
      <c r="H418" s="12"/>
      <c r="I418" s="10"/>
      <c r="J418" s="12"/>
      <c r="K418" s="13" t="str">
        <f aca="false">IF(ISNUMBER(B418),YEAR(B418),"")</f>
        <v/>
      </c>
      <c r="L418" s="13" t="str">
        <f aca="false">IF(ISNUMBER(B418),MONTH(B418),"")</f>
        <v/>
      </c>
      <c r="M418" s="13" t="str">
        <f aca="false">IF(AND(ISNUMBER(B418),ISNUMBER(I418)),B418-I418+1,"")</f>
        <v/>
      </c>
      <c r="N418" s="14" t="str">
        <f aca="false">IF(B418="","",IF(M418="","시작일 미입력",IF(M418&lt;1,"시작일 이전(확인)",IF(M418=1,"1일째",IF(M418=2,"2일째",IF(M418=3,"3일째",IF(M418&lt;=7,"일주일 이내",IF(M418&lt;=14,"이주일 이내","15일 이후"))))))))</f>
        <v/>
      </c>
      <c r="O418" s="0" t="str">
        <f aca="false">IF(AND(COUNTA($A418:$J418)&gt;0,OR(클레임조회!$C$4="",AND(ISNUMBER($B418),$B418&gt;=클레임조회!$C$4)),OR(클레임조회!$C$5="",AND(ISNUMBER($B418),$B418&lt;=클레임조회!$C$5)),OR(클레임조회!$C$6="",$C418=클레임조회!$C$6),OR(클레임조회!$C$7="",$D418=클레임조회!$C$7),OR(클레임조회!$C$8="",$E418=클레임조회!$C$8),OR(클레임조회!$C$9="",$F418=클레임조회!$C$9),OR(클레임조회!$C$10="",ISNUMBER(SEARCH(클레임조회!$C$10,$C418&amp;" "&amp;$F418&amp;" "&amp;$G418&amp;" "&amp;$H418)))),COUNT(O$1:O417)+1,"")</f>
        <v/>
      </c>
      <c r="P418" s="0" t="str">
        <f aca="false">IF(AND(TRIM(C418)&lt;&gt;"",COUNTIF(C$2:C418,C418)=1),MAX(P$1:P417)+1,"")</f>
        <v/>
      </c>
      <c r="Q418" s="0" t="str">
        <f aca="false">IF(AND(TRIM(F418)&lt;&gt;"",COUNTIF(F$2:F418,F418)=1),MAX(Q$1:Q417)+1,"")</f>
        <v/>
      </c>
    </row>
    <row r="419" customFormat="false" ht="15" hidden="false" customHeight="false" outlineLevel="0" collapsed="false">
      <c r="A419" s="9"/>
      <c r="B419" s="10"/>
      <c r="C419" s="11"/>
      <c r="D419" s="11"/>
      <c r="E419" s="11"/>
      <c r="F419" s="11"/>
      <c r="G419" s="12"/>
      <c r="H419" s="12"/>
      <c r="I419" s="10"/>
      <c r="J419" s="12"/>
      <c r="K419" s="13" t="str">
        <f aca="false">IF(ISNUMBER(B419),YEAR(B419),"")</f>
        <v/>
      </c>
      <c r="L419" s="13" t="str">
        <f aca="false">IF(ISNUMBER(B419),MONTH(B419),"")</f>
        <v/>
      </c>
      <c r="M419" s="13" t="str">
        <f aca="false">IF(AND(ISNUMBER(B419),ISNUMBER(I419)),B419-I419+1,"")</f>
        <v/>
      </c>
      <c r="N419" s="14" t="str">
        <f aca="false">IF(B419="","",IF(M419="","시작일 미입력",IF(M419&lt;1,"시작일 이전(확인)",IF(M419=1,"1일째",IF(M419=2,"2일째",IF(M419=3,"3일째",IF(M419&lt;=7,"일주일 이내",IF(M419&lt;=14,"이주일 이내","15일 이후"))))))))</f>
        <v/>
      </c>
      <c r="O419" s="0" t="str">
        <f aca="false">IF(AND(COUNTA($A419:$J419)&gt;0,OR(클레임조회!$C$4="",AND(ISNUMBER($B419),$B419&gt;=클레임조회!$C$4)),OR(클레임조회!$C$5="",AND(ISNUMBER($B419),$B419&lt;=클레임조회!$C$5)),OR(클레임조회!$C$6="",$C419=클레임조회!$C$6),OR(클레임조회!$C$7="",$D419=클레임조회!$C$7),OR(클레임조회!$C$8="",$E419=클레임조회!$C$8),OR(클레임조회!$C$9="",$F419=클레임조회!$C$9),OR(클레임조회!$C$10="",ISNUMBER(SEARCH(클레임조회!$C$10,$C419&amp;" "&amp;$F419&amp;" "&amp;$G419&amp;" "&amp;$H419)))),COUNT(O$1:O418)+1,"")</f>
        <v/>
      </c>
      <c r="P419" s="0" t="str">
        <f aca="false">IF(AND(TRIM(C419)&lt;&gt;"",COUNTIF(C$2:C419,C419)=1),MAX(P$1:P418)+1,"")</f>
        <v/>
      </c>
      <c r="Q419" s="0" t="str">
        <f aca="false">IF(AND(TRIM(F419)&lt;&gt;"",COUNTIF(F$2:F419,F419)=1),MAX(Q$1:Q418)+1,"")</f>
        <v/>
      </c>
    </row>
    <row r="420" customFormat="false" ht="15" hidden="false" customHeight="false" outlineLevel="0" collapsed="false">
      <c r="A420" s="9"/>
      <c r="B420" s="10"/>
      <c r="C420" s="11"/>
      <c r="D420" s="11"/>
      <c r="E420" s="11"/>
      <c r="F420" s="11"/>
      <c r="G420" s="12"/>
      <c r="H420" s="12"/>
      <c r="I420" s="10"/>
      <c r="J420" s="12"/>
      <c r="K420" s="13" t="str">
        <f aca="false">IF(ISNUMBER(B420),YEAR(B420),"")</f>
        <v/>
      </c>
      <c r="L420" s="13" t="str">
        <f aca="false">IF(ISNUMBER(B420),MONTH(B420),"")</f>
        <v/>
      </c>
      <c r="M420" s="13" t="str">
        <f aca="false">IF(AND(ISNUMBER(B420),ISNUMBER(I420)),B420-I420+1,"")</f>
        <v/>
      </c>
      <c r="N420" s="14" t="str">
        <f aca="false">IF(B420="","",IF(M420="","시작일 미입력",IF(M420&lt;1,"시작일 이전(확인)",IF(M420=1,"1일째",IF(M420=2,"2일째",IF(M420=3,"3일째",IF(M420&lt;=7,"일주일 이내",IF(M420&lt;=14,"이주일 이내","15일 이후"))))))))</f>
        <v/>
      </c>
      <c r="O420" s="0" t="str">
        <f aca="false">IF(AND(COUNTA($A420:$J420)&gt;0,OR(클레임조회!$C$4="",AND(ISNUMBER($B420),$B420&gt;=클레임조회!$C$4)),OR(클레임조회!$C$5="",AND(ISNUMBER($B420),$B420&lt;=클레임조회!$C$5)),OR(클레임조회!$C$6="",$C420=클레임조회!$C$6),OR(클레임조회!$C$7="",$D420=클레임조회!$C$7),OR(클레임조회!$C$8="",$E420=클레임조회!$C$8),OR(클레임조회!$C$9="",$F420=클레임조회!$C$9),OR(클레임조회!$C$10="",ISNUMBER(SEARCH(클레임조회!$C$10,$C420&amp;" "&amp;$F420&amp;" "&amp;$G420&amp;" "&amp;$H420)))),COUNT(O$1:O419)+1,"")</f>
        <v/>
      </c>
      <c r="P420" s="0" t="str">
        <f aca="false">IF(AND(TRIM(C420)&lt;&gt;"",COUNTIF(C$2:C420,C420)=1),MAX(P$1:P419)+1,"")</f>
        <v/>
      </c>
      <c r="Q420" s="0" t="str">
        <f aca="false">IF(AND(TRIM(F420)&lt;&gt;"",COUNTIF(F$2:F420,F420)=1),MAX(Q$1:Q419)+1,"")</f>
        <v/>
      </c>
    </row>
    <row r="421" customFormat="false" ht="15" hidden="false" customHeight="false" outlineLevel="0" collapsed="false">
      <c r="A421" s="9"/>
      <c r="B421" s="10"/>
      <c r="C421" s="11"/>
      <c r="D421" s="11"/>
      <c r="E421" s="11"/>
      <c r="F421" s="11"/>
      <c r="G421" s="12"/>
      <c r="H421" s="12"/>
      <c r="I421" s="10"/>
      <c r="J421" s="12"/>
      <c r="K421" s="13" t="str">
        <f aca="false">IF(ISNUMBER(B421),YEAR(B421),"")</f>
        <v/>
      </c>
      <c r="L421" s="13" t="str">
        <f aca="false">IF(ISNUMBER(B421),MONTH(B421),"")</f>
        <v/>
      </c>
      <c r="M421" s="13" t="str">
        <f aca="false">IF(AND(ISNUMBER(B421),ISNUMBER(I421)),B421-I421+1,"")</f>
        <v/>
      </c>
      <c r="N421" s="14" t="str">
        <f aca="false">IF(B421="","",IF(M421="","시작일 미입력",IF(M421&lt;1,"시작일 이전(확인)",IF(M421=1,"1일째",IF(M421=2,"2일째",IF(M421=3,"3일째",IF(M421&lt;=7,"일주일 이내",IF(M421&lt;=14,"이주일 이내","15일 이후"))))))))</f>
        <v/>
      </c>
      <c r="O421" s="0" t="str">
        <f aca="false">IF(AND(COUNTA($A421:$J421)&gt;0,OR(클레임조회!$C$4="",AND(ISNUMBER($B421),$B421&gt;=클레임조회!$C$4)),OR(클레임조회!$C$5="",AND(ISNUMBER($B421),$B421&lt;=클레임조회!$C$5)),OR(클레임조회!$C$6="",$C421=클레임조회!$C$6),OR(클레임조회!$C$7="",$D421=클레임조회!$C$7),OR(클레임조회!$C$8="",$E421=클레임조회!$C$8),OR(클레임조회!$C$9="",$F421=클레임조회!$C$9),OR(클레임조회!$C$10="",ISNUMBER(SEARCH(클레임조회!$C$10,$C421&amp;" "&amp;$F421&amp;" "&amp;$G421&amp;" "&amp;$H421)))),COUNT(O$1:O420)+1,"")</f>
        <v/>
      </c>
      <c r="P421" s="0" t="str">
        <f aca="false">IF(AND(TRIM(C421)&lt;&gt;"",COUNTIF(C$2:C421,C421)=1),MAX(P$1:P420)+1,"")</f>
        <v/>
      </c>
      <c r="Q421" s="0" t="str">
        <f aca="false">IF(AND(TRIM(F421)&lt;&gt;"",COUNTIF(F$2:F421,F421)=1),MAX(Q$1:Q420)+1,"")</f>
        <v/>
      </c>
    </row>
    <row r="422" customFormat="false" ht="15" hidden="false" customHeight="false" outlineLevel="0" collapsed="false">
      <c r="A422" s="9"/>
      <c r="B422" s="10"/>
      <c r="C422" s="11"/>
      <c r="D422" s="11"/>
      <c r="E422" s="11"/>
      <c r="F422" s="11"/>
      <c r="G422" s="12"/>
      <c r="H422" s="12"/>
      <c r="I422" s="10"/>
      <c r="J422" s="12"/>
      <c r="K422" s="13" t="str">
        <f aca="false">IF(ISNUMBER(B422),YEAR(B422),"")</f>
        <v/>
      </c>
      <c r="L422" s="13" t="str">
        <f aca="false">IF(ISNUMBER(B422),MONTH(B422),"")</f>
        <v/>
      </c>
      <c r="M422" s="13" t="str">
        <f aca="false">IF(AND(ISNUMBER(B422),ISNUMBER(I422)),B422-I422+1,"")</f>
        <v/>
      </c>
      <c r="N422" s="14" t="str">
        <f aca="false">IF(B422="","",IF(M422="","시작일 미입력",IF(M422&lt;1,"시작일 이전(확인)",IF(M422=1,"1일째",IF(M422=2,"2일째",IF(M422=3,"3일째",IF(M422&lt;=7,"일주일 이내",IF(M422&lt;=14,"이주일 이내","15일 이후"))))))))</f>
        <v/>
      </c>
      <c r="O422" s="0" t="str">
        <f aca="false">IF(AND(COUNTA($A422:$J422)&gt;0,OR(클레임조회!$C$4="",AND(ISNUMBER($B422),$B422&gt;=클레임조회!$C$4)),OR(클레임조회!$C$5="",AND(ISNUMBER($B422),$B422&lt;=클레임조회!$C$5)),OR(클레임조회!$C$6="",$C422=클레임조회!$C$6),OR(클레임조회!$C$7="",$D422=클레임조회!$C$7),OR(클레임조회!$C$8="",$E422=클레임조회!$C$8),OR(클레임조회!$C$9="",$F422=클레임조회!$C$9),OR(클레임조회!$C$10="",ISNUMBER(SEARCH(클레임조회!$C$10,$C422&amp;" "&amp;$F422&amp;" "&amp;$G422&amp;" "&amp;$H422)))),COUNT(O$1:O421)+1,"")</f>
        <v/>
      </c>
      <c r="P422" s="0" t="str">
        <f aca="false">IF(AND(TRIM(C422)&lt;&gt;"",COUNTIF(C$2:C422,C422)=1),MAX(P$1:P421)+1,"")</f>
        <v/>
      </c>
      <c r="Q422" s="0" t="str">
        <f aca="false">IF(AND(TRIM(F422)&lt;&gt;"",COUNTIF(F$2:F422,F422)=1),MAX(Q$1:Q421)+1,"")</f>
        <v/>
      </c>
    </row>
    <row r="423" customFormat="false" ht="15" hidden="false" customHeight="false" outlineLevel="0" collapsed="false">
      <c r="A423" s="9"/>
      <c r="B423" s="10"/>
      <c r="C423" s="11"/>
      <c r="D423" s="11"/>
      <c r="E423" s="11"/>
      <c r="F423" s="11"/>
      <c r="G423" s="12"/>
      <c r="H423" s="12"/>
      <c r="I423" s="10"/>
      <c r="J423" s="12"/>
      <c r="K423" s="13" t="str">
        <f aca="false">IF(ISNUMBER(B423),YEAR(B423),"")</f>
        <v/>
      </c>
      <c r="L423" s="13" t="str">
        <f aca="false">IF(ISNUMBER(B423),MONTH(B423),"")</f>
        <v/>
      </c>
      <c r="M423" s="13" t="str">
        <f aca="false">IF(AND(ISNUMBER(B423),ISNUMBER(I423)),B423-I423+1,"")</f>
        <v/>
      </c>
      <c r="N423" s="14" t="str">
        <f aca="false">IF(B423="","",IF(M423="","시작일 미입력",IF(M423&lt;1,"시작일 이전(확인)",IF(M423=1,"1일째",IF(M423=2,"2일째",IF(M423=3,"3일째",IF(M423&lt;=7,"일주일 이내",IF(M423&lt;=14,"이주일 이내","15일 이후"))))))))</f>
        <v/>
      </c>
      <c r="O423" s="0" t="str">
        <f aca="false">IF(AND(COUNTA($A423:$J423)&gt;0,OR(클레임조회!$C$4="",AND(ISNUMBER($B423),$B423&gt;=클레임조회!$C$4)),OR(클레임조회!$C$5="",AND(ISNUMBER($B423),$B423&lt;=클레임조회!$C$5)),OR(클레임조회!$C$6="",$C423=클레임조회!$C$6),OR(클레임조회!$C$7="",$D423=클레임조회!$C$7),OR(클레임조회!$C$8="",$E423=클레임조회!$C$8),OR(클레임조회!$C$9="",$F423=클레임조회!$C$9),OR(클레임조회!$C$10="",ISNUMBER(SEARCH(클레임조회!$C$10,$C423&amp;" "&amp;$F423&amp;" "&amp;$G423&amp;" "&amp;$H423)))),COUNT(O$1:O422)+1,"")</f>
        <v/>
      </c>
      <c r="P423" s="0" t="str">
        <f aca="false">IF(AND(TRIM(C423)&lt;&gt;"",COUNTIF(C$2:C423,C423)=1),MAX(P$1:P422)+1,"")</f>
        <v/>
      </c>
      <c r="Q423" s="0" t="str">
        <f aca="false">IF(AND(TRIM(F423)&lt;&gt;"",COUNTIF(F$2:F423,F423)=1),MAX(Q$1:Q422)+1,"")</f>
        <v/>
      </c>
    </row>
    <row r="424" customFormat="false" ht="15" hidden="false" customHeight="false" outlineLevel="0" collapsed="false">
      <c r="A424" s="9"/>
      <c r="B424" s="10"/>
      <c r="C424" s="11"/>
      <c r="D424" s="11"/>
      <c r="E424" s="11"/>
      <c r="F424" s="11"/>
      <c r="G424" s="12"/>
      <c r="H424" s="12"/>
      <c r="I424" s="10"/>
      <c r="J424" s="12"/>
      <c r="K424" s="13" t="str">
        <f aca="false">IF(ISNUMBER(B424),YEAR(B424),"")</f>
        <v/>
      </c>
      <c r="L424" s="13" t="str">
        <f aca="false">IF(ISNUMBER(B424),MONTH(B424),"")</f>
        <v/>
      </c>
      <c r="M424" s="13" t="str">
        <f aca="false">IF(AND(ISNUMBER(B424),ISNUMBER(I424)),B424-I424+1,"")</f>
        <v/>
      </c>
      <c r="N424" s="14" t="str">
        <f aca="false">IF(B424="","",IF(M424="","시작일 미입력",IF(M424&lt;1,"시작일 이전(확인)",IF(M424=1,"1일째",IF(M424=2,"2일째",IF(M424=3,"3일째",IF(M424&lt;=7,"일주일 이내",IF(M424&lt;=14,"이주일 이내","15일 이후"))))))))</f>
        <v/>
      </c>
      <c r="O424" s="0" t="str">
        <f aca="false">IF(AND(COUNTA($A424:$J424)&gt;0,OR(클레임조회!$C$4="",AND(ISNUMBER($B424),$B424&gt;=클레임조회!$C$4)),OR(클레임조회!$C$5="",AND(ISNUMBER($B424),$B424&lt;=클레임조회!$C$5)),OR(클레임조회!$C$6="",$C424=클레임조회!$C$6),OR(클레임조회!$C$7="",$D424=클레임조회!$C$7),OR(클레임조회!$C$8="",$E424=클레임조회!$C$8),OR(클레임조회!$C$9="",$F424=클레임조회!$C$9),OR(클레임조회!$C$10="",ISNUMBER(SEARCH(클레임조회!$C$10,$C424&amp;" "&amp;$F424&amp;" "&amp;$G424&amp;" "&amp;$H424)))),COUNT(O$1:O423)+1,"")</f>
        <v/>
      </c>
      <c r="P424" s="0" t="str">
        <f aca="false">IF(AND(TRIM(C424)&lt;&gt;"",COUNTIF(C$2:C424,C424)=1),MAX(P$1:P423)+1,"")</f>
        <v/>
      </c>
      <c r="Q424" s="0" t="str">
        <f aca="false">IF(AND(TRIM(F424)&lt;&gt;"",COUNTIF(F$2:F424,F424)=1),MAX(Q$1:Q423)+1,"")</f>
        <v/>
      </c>
    </row>
    <row r="425" customFormat="false" ht="15" hidden="false" customHeight="false" outlineLevel="0" collapsed="false">
      <c r="A425" s="9"/>
      <c r="B425" s="10"/>
      <c r="C425" s="11"/>
      <c r="D425" s="11"/>
      <c r="E425" s="11"/>
      <c r="F425" s="11"/>
      <c r="G425" s="12"/>
      <c r="H425" s="12"/>
      <c r="I425" s="10"/>
      <c r="J425" s="12"/>
      <c r="K425" s="13" t="str">
        <f aca="false">IF(ISNUMBER(B425),YEAR(B425),"")</f>
        <v/>
      </c>
      <c r="L425" s="13" t="str">
        <f aca="false">IF(ISNUMBER(B425),MONTH(B425),"")</f>
        <v/>
      </c>
      <c r="M425" s="13" t="str">
        <f aca="false">IF(AND(ISNUMBER(B425),ISNUMBER(I425)),B425-I425+1,"")</f>
        <v/>
      </c>
      <c r="N425" s="14" t="str">
        <f aca="false">IF(B425="","",IF(M425="","시작일 미입력",IF(M425&lt;1,"시작일 이전(확인)",IF(M425=1,"1일째",IF(M425=2,"2일째",IF(M425=3,"3일째",IF(M425&lt;=7,"일주일 이내",IF(M425&lt;=14,"이주일 이내","15일 이후"))))))))</f>
        <v/>
      </c>
      <c r="O425" s="0" t="str">
        <f aca="false">IF(AND(COUNTA($A425:$J425)&gt;0,OR(클레임조회!$C$4="",AND(ISNUMBER($B425),$B425&gt;=클레임조회!$C$4)),OR(클레임조회!$C$5="",AND(ISNUMBER($B425),$B425&lt;=클레임조회!$C$5)),OR(클레임조회!$C$6="",$C425=클레임조회!$C$6),OR(클레임조회!$C$7="",$D425=클레임조회!$C$7),OR(클레임조회!$C$8="",$E425=클레임조회!$C$8),OR(클레임조회!$C$9="",$F425=클레임조회!$C$9),OR(클레임조회!$C$10="",ISNUMBER(SEARCH(클레임조회!$C$10,$C425&amp;" "&amp;$F425&amp;" "&amp;$G425&amp;" "&amp;$H425)))),COUNT(O$1:O424)+1,"")</f>
        <v/>
      </c>
      <c r="P425" s="0" t="str">
        <f aca="false">IF(AND(TRIM(C425)&lt;&gt;"",COUNTIF(C$2:C425,C425)=1),MAX(P$1:P424)+1,"")</f>
        <v/>
      </c>
      <c r="Q425" s="0" t="str">
        <f aca="false">IF(AND(TRIM(F425)&lt;&gt;"",COUNTIF(F$2:F425,F425)=1),MAX(Q$1:Q424)+1,"")</f>
        <v/>
      </c>
    </row>
    <row r="426" customFormat="false" ht="15" hidden="false" customHeight="false" outlineLevel="0" collapsed="false">
      <c r="A426" s="9"/>
      <c r="B426" s="10"/>
      <c r="C426" s="11"/>
      <c r="D426" s="11"/>
      <c r="E426" s="11"/>
      <c r="F426" s="11"/>
      <c r="G426" s="12"/>
      <c r="H426" s="12"/>
      <c r="I426" s="10"/>
      <c r="J426" s="12"/>
      <c r="K426" s="13" t="str">
        <f aca="false">IF(ISNUMBER(B426),YEAR(B426),"")</f>
        <v/>
      </c>
      <c r="L426" s="13" t="str">
        <f aca="false">IF(ISNUMBER(B426),MONTH(B426),"")</f>
        <v/>
      </c>
      <c r="M426" s="13" t="str">
        <f aca="false">IF(AND(ISNUMBER(B426),ISNUMBER(I426)),B426-I426+1,"")</f>
        <v/>
      </c>
      <c r="N426" s="14" t="str">
        <f aca="false">IF(B426="","",IF(M426="","시작일 미입력",IF(M426&lt;1,"시작일 이전(확인)",IF(M426=1,"1일째",IF(M426=2,"2일째",IF(M426=3,"3일째",IF(M426&lt;=7,"일주일 이내",IF(M426&lt;=14,"이주일 이내","15일 이후"))))))))</f>
        <v/>
      </c>
      <c r="O426" s="0" t="str">
        <f aca="false">IF(AND(COUNTA($A426:$J426)&gt;0,OR(클레임조회!$C$4="",AND(ISNUMBER($B426),$B426&gt;=클레임조회!$C$4)),OR(클레임조회!$C$5="",AND(ISNUMBER($B426),$B426&lt;=클레임조회!$C$5)),OR(클레임조회!$C$6="",$C426=클레임조회!$C$6),OR(클레임조회!$C$7="",$D426=클레임조회!$C$7),OR(클레임조회!$C$8="",$E426=클레임조회!$C$8),OR(클레임조회!$C$9="",$F426=클레임조회!$C$9),OR(클레임조회!$C$10="",ISNUMBER(SEARCH(클레임조회!$C$10,$C426&amp;" "&amp;$F426&amp;" "&amp;$G426&amp;" "&amp;$H426)))),COUNT(O$1:O425)+1,"")</f>
        <v/>
      </c>
      <c r="P426" s="0" t="str">
        <f aca="false">IF(AND(TRIM(C426)&lt;&gt;"",COUNTIF(C$2:C426,C426)=1),MAX(P$1:P425)+1,"")</f>
        <v/>
      </c>
      <c r="Q426" s="0" t="str">
        <f aca="false">IF(AND(TRIM(F426)&lt;&gt;"",COUNTIF(F$2:F426,F426)=1),MAX(Q$1:Q425)+1,"")</f>
        <v/>
      </c>
    </row>
    <row r="427" customFormat="false" ht="15" hidden="false" customHeight="false" outlineLevel="0" collapsed="false">
      <c r="A427" s="9"/>
      <c r="B427" s="10"/>
      <c r="C427" s="11"/>
      <c r="D427" s="11"/>
      <c r="E427" s="11"/>
      <c r="F427" s="11"/>
      <c r="G427" s="12"/>
      <c r="H427" s="12"/>
      <c r="I427" s="10"/>
      <c r="J427" s="12"/>
      <c r="K427" s="13" t="str">
        <f aca="false">IF(ISNUMBER(B427),YEAR(B427),"")</f>
        <v/>
      </c>
      <c r="L427" s="13" t="str">
        <f aca="false">IF(ISNUMBER(B427),MONTH(B427),"")</f>
        <v/>
      </c>
      <c r="M427" s="13" t="str">
        <f aca="false">IF(AND(ISNUMBER(B427),ISNUMBER(I427)),B427-I427+1,"")</f>
        <v/>
      </c>
      <c r="N427" s="14" t="str">
        <f aca="false">IF(B427="","",IF(M427="","시작일 미입력",IF(M427&lt;1,"시작일 이전(확인)",IF(M427=1,"1일째",IF(M427=2,"2일째",IF(M427=3,"3일째",IF(M427&lt;=7,"일주일 이내",IF(M427&lt;=14,"이주일 이내","15일 이후"))))))))</f>
        <v/>
      </c>
      <c r="O427" s="0" t="str">
        <f aca="false">IF(AND(COUNTA($A427:$J427)&gt;0,OR(클레임조회!$C$4="",AND(ISNUMBER($B427),$B427&gt;=클레임조회!$C$4)),OR(클레임조회!$C$5="",AND(ISNUMBER($B427),$B427&lt;=클레임조회!$C$5)),OR(클레임조회!$C$6="",$C427=클레임조회!$C$6),OR(클레임조회!$C$7="",$D427=클레임조회!$C$7),OR(클레임조회!$C$8="",$E427=클레임조회!$C$8),OR(클레임조회!$C$9="",$F427=클레임조회!$C$9),OR(클레임조회!$C$10="",ISNUMBER(SEARCH(클레임조회!$C$10,$C427&amp;" "&amp;$F427&amp;" "&amp;$G427&amp;" "&amp;$H427)))),COUNT(O$1:O426)+1,"")</f>
        <v/>
      </c>
      <c r="P427" s="0" t="str">
        <f aca="false">IF(AND(TRIM(C427)&lt;&gt;"",COUNTIF(C$2:C427,C427)=1),MAX(P$1:P426)+1,"")</f>
        <v/>
      </c>
      <c r="Q427" s="0" t="str">
        <f aca="false">IF(AND(TRIM(F427)&lt;&gt;"",COUNTIF(F$2:F427,F427)=1),MAX(Q$1:Q426)+1,"")</f>
        <v/>
      </c>
    </row>
    <row r="428" customFormat="false" ht="15" hidden="false" customHeight="false" outlineLevel="0" collapsed="false">
      <c r="A428" s="9"/>
      <c r="B428" s="10"/>
      <c r="C428" s="11"/>
      <c r="D428" s="11"/>
      <c r="E428" s="11"/>
      <c r="F428" s="11"/>
      <c r="G428" s="12"/>
      <c r="H428" s="12"/>
      <c r="I428" s="10"/>
      <c r="J428" s="12"/>
      <c r="K428" s="13" t="str">
        <f aca="false">IF(ISNUMBER(B428),YEAR(B428),"")</f>
        <v/>
      </c>
      <c r="L428" s="13" t="str">
        <f aca="false">IF(ISNUMBER(B428),MONTH(B428),"")</f>
        <v/>
      </c>
      <c r="M428" s="13" t="str">
        <f aca="false">IF(AND(ISNUMBER(B428),ISNUMBER(I428)),B428-I428+1,"")</f>
        <v/>
      </c>
      <c r="N428" s="14" t="str">
        <f aca="false">IF(B428="","",IF(M428="","시작일 미입력",IF(M428&lt;1,"시작일 이전(확인)",IF(M428=1,"1일째",IF(M428=2,"2일째",IF(M428=3,"3일째",IF(M428&lt;=7,"일주일 이내",IF(M428&lt;=14,"이주일 이내","15일 이후"))))))))</f>
        <v/>
      </c>
      <c r="O428" s="0" t="str">
        <f aca="false">IF(AND(COUNTA($A428:$J428)&gt;0,OR(클레임조회!$C$4="",AND(ISNUMBER($B428),$B428&gt;=클레임조회!$C$4)),OR(클레임조회!$C$5="",AND(ISNUMBER($B428),$B428&lt;=클레임조회!$C$5)),OR(클레임조회!$C$6="",$C428=클레임조회!$C$6),OR(클레임조회!$C$7="",$D428=클레임조회!$C$7),OR(클레임조회!$C$8="",$E428=클레임조회!$C$8),OR(클레임조회!$C$9="",$F428=클레임조회!$C$9),OR(클레임조회!$C$10="",ISNUMBER(SEARCH(클레임조회!$C$10,$C428&amp;" "&amp;$F428&amp;" "&amp;$G428&amp;" "&amp;$H428)))),COUNT(O$1:O427)+1,"")</f>
        <v/>
      </c>
      <c r="P428" s="0" t="str">
        <f aca="false">IF(AND(TRIM(C428)&lt;&gt;"",COUNTIF(C$2:C428,C428)=1),MAX(P$1:P427)+1,"")</f>
        <v/>
      </c>
      <c r="Q428" s="0" t="str">
        <f aca="false">IF(AND(TRIM(F428)&lt;&gt;"",COUNTIF(F$2:F428,F428)=1),MAX(Q$1:Q427)+1,"")</f>
        <v/>
      </c>
    </row>
    <row r="429" customFormat="false" ht="15" hidden="false" customHeight="false" outlineLevel="0" collapsed="false">
      <c r="A429" s="9"/>
      <c r="B429" s="10"/>
      <c r="C429" s="11"/>
      <c r="D429" s="11"/>
      <c r="E429" s="11"/>
      <c r="F429" s="11"/>
      <c r="G429" s="12"/>
      <c r="H429" s="12"/>
      <c r="I429" s="10"/>
      <c r="J429" s="12"/>
      <c r="K429" s="13" t="str">
        <f aca="false">IF(ISNUMBER(B429),YEAR(B429),"")</f>
        <v/>
      </c>
      <c r="L429" s="13" t="str">
        <f aca="false">IF(ISNUMBER(B429),MONTH(B429),"")</f>
        <v/>
      </c>
      <c r="M429" s="13" t="str">
        <f aca="false">IF(AND(ISNUMBER(B429),ISNUMBER(I429)),B429-I429+1,"")</f>
        <v/>
      </c>
      <c r="N429" s="14" t="str">
        <f aca="false">IF(B429="","",IF(M429="","시작일 미입력",IF(M429&lt;1,"시작일 이전(확인)",IF(M429=1,"1일째",IF(M429=2,"2일째",IF(M429=3,"3일째",IF(M429&lt;=7,"일주일 이내",IF(M429&lt;=14,"이주일 이내","15일 이후"))))))))</f>
        <v/>
      </c>
      <c r="O429" s="0" t="str">
        <f aca="false">IF(AND(COUNTA($A429:$J429)&gt;0,OR(클레임조회!$C$4="",AND(ISNUMBER($B429),$B429&gt;=클레임조회!$C$4)),OR(클레임조회!$C$5="",AND(ISNUMBER($B429),$B429&lt;=클레임조회!$C$5)),OR(클레임조회!$C$6="",$C429=클레임조회!$C$6),OR(클레임조회!$C$7="",$D429=클레임조회!$C$7),OR(클레임조회!$C$8="",$E429=클레임조회!$C$8),OR(클레임조회!$C$9="",$F429=클레임조회!$C$9),OR(클레임조회!$C$10="",ISNUMBER(SEARCH(클레임조회!$C$10,$C429&amp;" "&amp;$F429&amp;" "&amp;$G429&amp;" "&amp;$H429)))),COUNT(O$1:O428)+1,"")</f>
        <v/>
      </c>
      <c r="P429" s="0" t="str">
        <f aca="false">IF(AND(TRIM(C429)&lt;&gt;"",COUNTIF(C$2:C429,C429)=1),MAX(P$1:P428)+1,"")</f>
        <v/>
      </c>
      <c r="Q429" s="0" t="str">
        <f aca="false">IF(AND(TRIM(F429)&lt;&gt;"",COUNTIF(F$2:F429,F429)=1),MAX(Q$1:Q428)+1,"")</f>
        <v/>
      </c>
    </row>
    <row r="430" customFormat="false" ht="15" hidden="false" customHeight="false" outlineLevel="0" collapsed="false">
      <c r="A430" s="9"/>
      <c r="B430" s="10"/>
      <c r="C430" s="11"/>
      <c r="D430" s="11"/>
      <c r="E430" s="11"/>
      <c r="F430" s="11"/>
      <c r="G430" s="12"/>
      <c r="H430" s="12"/>
      <c r="I430" s="10"/>
      <c r="J430" s="12"/>
      <c r="K430" s="13" t="str">
        <f aca="false">IF(ISNUMBER(B430),YEAR(B430),"")</f>
        <v/>
      </c>
      <c r="L430" s="13" t="str">
        <f aca="false">IF(ISNUMBER(B430),MONTH(B430),"")</f>
        <v/>
      </c>
      <c r="M430" s="13" t="str">
        <f aca="false">IF(AND(ISNUMBER(B430),ISNUMBER(I430)),B430-I430+1,"")</f>
        <v/>
      </c>
      <c r="N430" s="14" t="str">
        <f aca="false">IF(B430="","",IF(M430="","시작일 미입력",IF(M430&lt;1,"시작일 이전(확인)",IF(M430=1,"1일째",IF(M430=2,"2일째",IF(M430=3,"3일째",IF(M430&lt;=7,"일주일 이내",IF(M430&lt;=14,"이주일 이내","15일 이후"))))))))</f>
        <v/>
      </c>
      <c r="O430" s="0" t="str">
        <f aca="false">IF(AND(COUNTA($A430:$J430)&gt;0,OR(클레임조회!$C$4="",AND(ISNUMBER($B430),$B430&gt;=클레임조회!$C$4)),OR(클레임조회!$C$5="",AND(ISNUMBER($B430),$B430&lt;=클레임조회!$C$5)),OR(클레임조회!$C$6="",$C430=클레임조회!$C$6),OR(클레임조회!$C$7="",$D430=클레임조회!$C$7),OR(클레임조회!$C$8="",$E430=클레임조회!$C$8),OR(클레임조회!$C$9="",$F430=클레임조회!$C$9),OR(클레임조회!$C$10="",ISNUMBER(SEARCH(클레임조회!$C$10,$C430&amp;" "&amp;$F430&amp;" "&amp;$G430&amp;" "&amp;$H430)))),COUNT(O$1:O429)+1,"")</f>
        <v/>
      </c>
      <c r="P430" s="0" t="str">
        <f aca="false">IF(AND(TRIM(C430)&lt;&gt;"",COUNTIF(C$2:C430,C430)=1),MAX(P$1:P429)+1,"")</f>
        <v/>
      </c>
      <c r="Q430" s="0" t="str">
        <f aca="false">IF(AND(TRIM(F430)&lt;&gt;"",COUNTIF(F$2:F430,F430)=1),MAX(Q$1:Q429)+1,"")</f>
        <v/>
      </c>
    </row>
    <row r="431" customFormat="false" ht="15" hidden="false" customHeight="false" outlineLevel="0" collapsed="false">
      <c r="A431" s="9"/>
      <c r="B431" s="10"/>
      <c r="C431" s="11"/>
      <c r="D431" s="11"/>
      <c r="E431" s="11"/>
      <c r="F431" s="11"/>
      <c r="G431" s="12"/>
      <c r="H431" s="12"/>
      <c r="I431" s="10"/>
      <c r="J431" s="12"/>
      <c r="K431" s="13" t="str">
        <f aca="false">IF(ISNUMBER(B431),YEAR(B431),"")</f>
        <v/>
      </c>
      <c r="L431" s="13" t="str">
        <f aca="false">IF(ISNUMBER(B431),MONTH(B431),"")</f>
        <v/>
      </c>
      <c r="M431" s="13" t="str">
        <f aca="false">IF(AND(ISNUMBER(B431),ISNUMBER(I431)),B431-I431+1,"")</f>
        <v/>
      </c>
      <c r="N431" s="14" t="str">
        <f aca="false">IF(B431="","",IF(M431="","시작일 미입력",IF(M431&lt;1,"시작일 이전(확인)",IF(M431=1,"1일째",IF(M431=2,"2일째",IF(M431=3,"3일째",IF(M431&lt;=7,"일주일 이내",IF(M431&lt;=14,"이주일 이내","15일 이후"))))))))</f>
        <v/>
      </c>
      <c r="O431" s="0" t="str">
        <f aca="false">IF(AND(COUNTA($A431:$J431)&gt;0,OR(클레임조회!$C$4="",AND(ISNUMBER($B431),$B431&gt;=클레임조회!$C$4)),OR(클레임조회!$C$5="",AND(ISNUMBER($B431),$B431&lt;=클레임조회!$C$5)),OR(클레임조회!$C$6="",$C431=클레임조회!$C$6),OR(클레임조회!$C$7="",$D431=클레임조회!$C$7),OR(클레임조회!$C$8="",$E431=클레임조회!$C$8),OR(클레임조회!$C$9="",$F431=클레임조회!$C$9),OR(클레임조회!$C$10="",ISNUMBER(SEARCH(클레임조회!$C$10,$C431&amp;" "&amp;$F431&amp;" "&amp;$G431&amp;" "&amp;$H431)))),COUNT(O$1:O430)+1,"")</f>
        <v/>
      </c>
      <c r="P431" s="0" t="str">
        <f aca="false">IF(AND(TRIM(C431)&lt;&gt;"",COUNTIF(C$2:C431,C431)=1),MAX(P$1:P430)+1,"")</f>
        <v/>
      </c>
      <c r="Q431" s="0" t="str">
        <f aca="false">IF(AND(TRIM(F431)&lt;&gt;"",COUNTIF(F$2:F431,F431)=1),MAX(Q$1:Q430)+1,"")</f>
        <v/>
      </c>
    </row>
    <row r="432" customFormat="false" ht="15" hidden="false" customHeight="false" outlineLevel="0" collapsed="false">
      <c r="A432" s="9"/>
      <c r="B432" s="10"/>
      <c r="C432" s="11"/>
      <c r="D432" s="11"/>
      <c r="E432" s="11"/>
      <c r="F432" s="11"/>
      <c r="G432" s="12"/>
      <c r="H432" s="12"/>
      <c r="I432" s="10"/>
      <c r="J432" s="12"/>
      <c r="K432" s="13" t="str">
        <f aca="false">IF(ISNUMBER(B432),YEAR(B432),"")</f>
        <v/>
      </c>
      <c r="L432" s="13" t="str">
        <f aca="false">IF(ISNUMBER(B432),MONTH(B432),"")</f>
        <v/>
      </c>
      <c r="M432" s="13" t="str">
        <f aca="false">IF(AND(ISNUMBER(B432),ISNUMBER(I432)),B432-I432+1,"")</f>
        <v/>
      </c>
      <c r="N432" s="14" t="str">
        <f aca="false">IF(B432="","",IF(M432="","시작일 미입력",IF(M432&lt;1,"시작일 이전(확인)",IF(M432=1,"1일째",IF(M432=2,"2일째",IF(M432=3,"3일째",IF(M432&lt;=7,"일주일 이내",IF(M432&lt;=14,"이주일 이내","15일 이후"))))))))</f>
        <v/>
      </c>
      <c r="O432" s="0" t="str">
        <f aca="false">IF(AND(COUNTA($A432:$J432)&gt;0,OR(클레임조회!$C$4="",AND(ISNUMBER($B432),$B432&gt;=클레임조회!$C$4)),OR(클레임조회!$C$5="",AND(ISNUMBER($B432),$B432&lt;=클레임조회!$C$5)),OR(클레임조회!$C$6="",$C432=클레임조회!$C$6),OR(클레임조회!$C$7="",$D432=클레임조회!$C$7),OR(클레임조회!$C$8="",$E432=클레임조회!$C$8),OR(클레임조회!$C$9="",$F432=클레임조회!$C$9),OR(클레임조회!$C$10="",ISNUMBER(SEARCH(클레임조회!$C$10,$C432&amp;" "&amp;$F432&amp;" "&amp;$G432&amp;" "&amp;$H432)))),COUNT(O$1:O431)+1,"")</f>
        <v/>
      </c>
      <c r="P432" s="0" t="str">
        <f aca="false">IF(AND(TRIM(C432)&lt;&gt;"",COUNTIF(C$2:C432,C432)=1),MAX(P$1:P431)+1,"")</f>
        <v/>
      </c>
      <c r="Q432" s="0" t="str">
        <f aca="false">IF(AND(TRIM(F432)&lt;&gt;"",COUNTIF(F$2:F432,F432)=1),MAX(Q$1:Q431)+1,"")</f>
        <v/>
      </c>
    </row>
    <row r="433" customFormat="false" ht="15" hidden="false" customHeight="false" outlineLevel="0" collapsed="false">
      <c r="A433" s="9"/>
      <c r="B433" s="10"/>
      <c r="C433" s="11"/>
      <c r="D433" s="11"/>
      <c r="E433" s="11"/>
      <c r="F433" s="11"/>
      <c r="G433" s="12"/>
      <c r="H433" s="12"/>
      <c r="I433" s="10"/>
      <c r="J433" s="12"/>
      <c r="K433" s="13" t="str">
        <f aca="false">IF(ISNUMBER(B433),YEAR(B433),"")</f>
        <v/>
      </c>
      <c r="L433" s="13" t="str">
        <f aca="false">IF(ISNUMBER(B433),MONTH(B433),"")</f>
        <v/>
      </c>
      <c r="M433" s="13" t="str">
        <f aca="false">IF(AND(ISNUMBER(B433),ISNUMBER(I433)),B433-I433+1,"")</f>
        <v/>
      </c>
      <c r="N433" s="14" t="str">
        <f aca="false">IF(B433="","",IF(M433="","시작일 미입력",IF(M433&lt;1,"시작일 이전(확인)",IF(M433=1,"1일째",IF(M433=2,"2일째",IF(M433=3,"3일째",IF(M433&lt;=7,"일주일 이내",IF(M433&lt;=14,"이주일 이내","15일 이후"))))))))</f>
        <v/>
      </c>
      <c r="O433" s="0" t="str">
        <f aca="false">IF(AND(COUNTA($A433:$J433)&gt;0,OR(클레임조회!$C$4="",AND(ISNUMBER($B433),$B433&gt;=클레임조회!$C$4)),OR(클레임조회!$C$5="",AND(ISNUMBER($B433),$B433&lt;=클레임조회!$C$5)),OR(클레임조회!$C$6="",$C433=클레임조회!$C$6),OR(클레임조회!$C$7="",$D433=클레임조회!$C$7),OR(클레임조회!$C$8="",$E433=클레임조회!$C$8),OR(클레임조회!$C$9="",$F433=클레임조회!$C$9),OR(클레임조회!$C$10="",ISNUMBER(SEARCH(클레임조회!$C$10,$C433&amp;" "&amp;$F433&amp;" "&amp;$G433&amp;" "&amp;$H433)))),COUNT(O$1:O432)+1,"")</f>
        <v/>
      </c>
      <c r="P433" s="0" t="str">
        <f aca="false">IF(AND(TRIM(C433)&lt;&gt;"",COUNTIF(C$2:C433,C433)=1),MAX(P$1:P432)+1,"")</f>
        <v/>
      </c>
      <c r="Q433" s="0" t="str">
        <f aca="false">IF(AND(TRIM(F433)&lt;&gt;"",COUNTIF(F$2:F433,F433)=1),MAX(Q$1:Q432)+1,"")</f>
        <v/>
      </c>
    </row>
    <row r="434" customFormat="false" ht="15" hidden="false" customHeight="false" outlineLevel="0" collapsed="false">
      <c r="A434" s="9"/>
      <c r="B434" s="10"/>
      <c r="C434" s="11"/>
      <c r="D434" s="11"/>
      <c r="E434" s="11"/>
      <c r="F434" s="11"/>
      <c r="G434" s="12"/>
      <c r="H434" s="12"/>
      <c r="I434" s="10"/>
      <c r="J434" s="12"/>
      <c r="K434" s="13" t="str">
        <f aca="false">IF(ISNUMBER(B434),YEAR(B434),"")</f>
        <v/>
      </c>
      <c r="L434" s="13" t="str">
        <f aca="false">IF(ISNUMBER(B434),MONTH(B434),"")</f>
        <v/>
      </c>
      <c r="M434" s="13" t="str">
        <f aca="false">IF(AND(ISNUMBER(B434),ISNUMBER(I434)),B434-I434+1,"")</f>
        <v/>
      </c>
      <c r="N434" s="14" t="str">
        <f aca="false">IF(B434="","",IF(M434="","시작일 미입력",IF(M434&lt;1,"시작일 이전(확인)",IF(M434=1,"1일째",IF(M434=2,"2일째",IF(M434=3,"3일째",IF(M434&lt;=7,"일주일 이내",IF(M434&lt;=14,"이주일 이내","15일 이후"))))))))</f>
        <v/>
      </c>
      <c r="O434" s="0" t="str">
        <f aca="false">IF(AND(COUNTA($A434:$J434)&gt;0,OR(클레임조회!$C$4="",AND(ISNUMBER($B434),$B434&gt;=클레임조회!$C$4)),OR(클레임조회!$C$5="",AND(ISNUMBER($B434),$B434&lt;=클레임조회!$C$5)),OR(클레임조회!$C$6="",$C434=클레임조회!$C$6),OR(클레임조회!$C$7="",$D434=클레임조회!$C$7),OR(클레임조회!$C$8="",$E434=클레임조회!$C$8),OR(클레임조회!$C$9="",$F434=클레임조회!$C$9),OR(클레임조회!$C$10="",ISNUMBER(SEARCH(클레임조회!$C$10,$C434&amp;" "&amp;$F434&amp;" "&amp;$G434&amp;" "&amp;$H434)))),COUNT(O$1:O433)+1,"")</f>
        <v/>
      </c>
      <c r="P434" s="0" t="str">
        <f aca="false">IF(AND(TRIM(C434)&lt;&gt;"",COUNTIF(C$2:C434,C434)=1),MAX(P$1:P433)+1,"")</f>
        <v/>
      </c>
      <c r="Q434" s="0" t="str">
        <f aca="false">IF(AND(TRIM(F434)&lt;&gt;"",COUNTIF(F$2:F434,F434)=1),MAX(Q$1:Q433)+1,"")</f>
        <v/>
      </c>
    </row>
    <row r="435" customFormat="false" ht="15" hidden="false" customHeight="false" outlineLevel="0" collapsed="false">
      <c r="A435" s="9"/>
      <c r="B435" s="10"/>
      <c r="C435" s="11"/>
      <c r="D435" s="11"/>
      <c r="E435" s="11"/>
      <c r="F435" s="11"/>
      <c r="G435" s="12"/>
      <c r="H435" s="12"/>
      <c r="I435" s="10"/>
      <c r="J435" s="12"/>
      <c r="K435" s="13" t="str">
        <f aca="false">IF(ISNUMBER(B435),YEAR(B435),"")</f>
        <v/>
      </c>
      <c r="L435" s="13" t="str">
        <f aca="false">IF(ISNUMBER(B435),MONTH(B435),"")</f>
        <v/>
      </c>
      <c r="M435" s="13" t="str">
        <f aca="false">IF(AND(ISNUMBER(B435),ISNUMBER(I435)),B435-I435+1,"")</f>
        <v/>
      </c>
      <c r="N435" s="14" t="str">
        <f aca="false">IF(B435="","",IF(M435="","시작일 미입력",IF(M435&lt;1,"시작일 이전(확인)",IF(M435=1,"1일째",IF(M435=2,"2일째",IF(M435=3,"3일째",IF(M435&lt;=7,"일주일 이내",IF(M435&lt;=14,"이주일 이내","15일 이후"))))))))</f>
        <v/>
      </c>
      <c r="O435" s="0" t="str">
        <f aca="false">IF(AND(COUNTA($A435:$J435)&gt;0,OR(클레임조회!$C$4="",AND(ISNUMBER($B435),$B435&gt;=클레임조회!$C$4)),OR(클레임조회!$C$5="",AND(ISNUMBER($B435),$B435&lt;=클레임조회!$C$5)),OR(클레임조회!$C$6="",$C435=클레임조회!$C$6),OR(클레임조회!$C$7="",$D435=클레임조회!$C$7),OR(클레임조회!$C$8="",$E435=클레임조회!$C$8),OR(클레임조회!$C$9="",$F435=클레임조회!$C$9),OR(클레임조회!$C$10="",ISNUMBER(SEARCH(클레임조회!$C$10,$C435&amp;" "&amp;$F435&amp;" "&amp;$G435&amp;" "&amp;$H435)))),COUNT(O$1:O434)+1,"")</f>
        <v/>
      </c>
      <c r="P435" s="0" t="str">
        <f aca="false">IF(AND(TRIM(C435)&lt;&gt;"",COUNTIF(C$2:C435,C435)=1),MAX(P$1:P434)+1,"")</f>
        <v/>
      </c>
      <c r="Q435" s="0" t="str">
        <f aca="false">IF(AND(TRIM(F435)&lt;&gt;"",COUNTIF(F$2:F435,F435)=1),MAX(Q$1:Q434)+1,"")</f>
        <v/>
      </c>
    </row>
    <row r="436" customFormat="false" ht="15" hidden="false" customHeight="false" outlineLevel="0" collapsed="false">
      <c r="A436" s="9"/>
      <c r="B436" s="10"/>
      <c r="C436" s="11"/>
      <c r="D436" s="11"/>
      <c r="E436" s="11"/>
      <c r="F436" s="11"/>
      <c r="G436" s="12"/>
      <c r="H436" s="12"/>
      <c r="I436" s="10"/>
      <c r="J436" s="12"/>
      <c r="K436" s="13" t="str">
        <f aca="false">IF(ISNUMBER(B436),YEAR(B436),"")</f>
        <v/>
      </c>
      <c r="L436" s="13" t="str">
        <f aca="false">IF(ISNUMBER(B436),MONTH(B436),"")</f>
        <v/>
      </c>
      <c r="M436" s="13" t="str">
        <f aca="false">IF(AND(ISNUMBER(B436),ISNUMBER(I436)),B436-I436+1,"")</f>
        <v/>
      </c>
      <c r="N436" s="14" t="str">
        <f aca="false">IF(B436="","",IF(M436="","시작일 미입력",IF(M436&lt;1,"시작일 이전(확인)",IF(M436=1,"1일째",IF(M436=2,"2일째",IF(M436=3,"3일째",IF(M436&lt;=7,"일주일 이내",IF(M436&lt;=14,"이주일 이내","15일 이후"))))))))</f>
        <v/>
      </c>
      <c r="O436" s="0" t="str">
        <f aca="false">IF(AND(COUNTA($A436:$J436)&gt;0,OR(클레임조회!$C$4="",AND(ISNUMBER($B436),$B436&gt;=클레임조회!$C$4)),OR(클레임조회!$C$5="",AND(ISNUMBER($B436),$B436&lt;=클레임조회!$C$5)),OR(클레임조회!$C$6="",$C436=클레임조회!$C$6),OR(클레임조회!$C$7="",$D436=클레임조회!$C$7),OR(클레임조회!$C$8="",$E436=클레임조회!$C$8),OR(클레임조회!$C$9="",$F436=클레임조회!$C$9),OR(클레임조회!$C$10="",ISNUMBER(SEARCH(클레임조회!$C$10,$C436&amp;" "&amp;$F436&amp;" "&amp;$G436&amp;" "&amp;$H436)))),COUNT(O$1:O435)+1,"")</f>
        <v/>
      </c>
      <c r="P436" s="0" t="str">
        <f aca="false">IF(AND(TRIM(C436)&lt;&gt;"",COUNTIF(C$2:C436,C436)=1),MAX(P$1:P435)+1,"")</f>
        <v/>
      </c>
      <c r="Q436" s="0" t="str">
        <f aca="false">IF(AND(TRIM(F436)&lt;&gt;"",COUNTIF(F$2:F436,F436)=1),MAX(Q$1:Q435)+1,"")</f>
        <v/>
      </c>
    </row>
    <row r="437" customFormat="false" ht="15" hidden="false" customHeight="false" outlineLevel="0" collapsed="false">
      <c r="A437" s="9"/>
      <c r="B437" s="10"/>
      <c r="C437" s="11"/>
      <c r="D437" s="11"/>
      <c r="E437" s="11"/>
      <c r="F437" s="11"/>
      <c r="G437" s="12"/>
      <c r="H437" s="12"/>
      <c r="I437" s="10"/>
      <c r="J437" s="12"/>
      <c r="K437" s="13" t="str">
        <f aca="false">IF(ISNUMBER(B437),YEAR(B437),"")</f>
        <v/>
      </c>
      <c r="L437" s="13" t="str">
        <f aca="false">IF(ISNUMBER(B437),MONTH(B437),"")</f>
        <v/>
      </c>
      <c r="M437" s="13" t="str">
        <f aca="false">IF(AND(ISNUMBER(B437),ISNUMBER(I437)),B437-I437+1,"")</f>
        <v/>
      </c>
      <c r="N437" s="14" t="str">
        <f aca="false">IF(B437="","",IF(M437="","시작일 미입력",IF(M437&lt;1,"시작일 이전(확인)",IF(M437=1,"1일째",IF(M437=2,"2일째",IF(M437=3,"3일째",IF(M437&lt;=7,"일주일 이내",IF(M437&lt;=14,"이주일 이내","15일 이후"))))))))</f>
        <v/>
      </c>
      <c r="O437" s="0" t="str">
        <f aca="false">IF(AND(COUNTA($A437:$J437)&gt;0,OR(클레임조회!$C$4="",AND(ISNUMBER($B437),$B437&gt;=클레임조회!$C$4)),OR(클레임조회!$C$5="",AND(ISNUMBER($B437),$B437&lt;=클레임조회!$C$5)),OR(클레임조회!$C$6="",$C437=클레임조회!$C$6),OR(클레임조회!$C$7="",$D437=클레임조회!$C$7),OR(클레임조회!$C$8="",$E437=클레임조회!$C$8),OR(클레임조회!$C$9="",$F437=클레임조회!$C$9),OR(클레임조회!$C$10="",ISNUMBER(SEARCH(클레임조회!$C$10,$C437&amp;" "&amp;$F437&amp;" "&amp;$G437&amp;" "&amp;$H437)))),COUNT(O$1:O436)+1,"")</f>
        <v/>
      </c>
      <c r="P437" s="0" t="str">
        <f aca="false">IF(AND(TRIM(C437)&lt;&gt;"",COUNTIF(C$2:C437,C437)=1),MAX(P$1:P436)+1,"")</f>
        <v/>
      </c>
      <c r="Q437" s="0" t="str">
        <f aca="false">IF(AND(TRIM(F437)&lt;&gt;"",COUNTIF(F$2:F437,F437)=1),MAX(Q$1:Q436)+1,"")</f>
        <v/>
      </c>
    </row>
    <row r="438" customFormat="false" ht="15" hidden="false" customHeight="false" outlineLevel="0" collapsed="false">
      <c r="A438" s="9"/>
      <c r="B438" s="10"/>
      <c r="C438" s="11"/>
      <c r="D438" s="11"/>
      <c r="E438" s="11"/>
      <c r="F438" s="11"/>
      <c r="G438" s="12"/>
      <c r="H438" s="12"/>
      <c r="I438" s="10"/>
      <c r="J438" s="12"/>
      <c r="K438" s="13" t="str">
        <f aca="false">IF(ISNUMBER(B438),YEAR(B438),"")</f>
        <v/>
      </c>
      <c r="L438" s="13" t="str">
        <f aca="false">IF(ISNUMBER(B438),MONTH(B438),"")</f>
        <v/>
      </c>
      <c r="M438" s="13" t="str">
        <f aca="false">IF(AND(ISNUMBER(B438),ISNUMBER(I438)),B438-I438+1,"")</f>
        <v/>
      </c>
      <c r="N438" s="14" t="str">
        <f aca="false">IF(B438="","",IF(M438="","시작일 미입력",IF(M438&lt;1,"시작일 이전(확인)",IF(M438=1,"1일째",IF(M438=2,"2일째",IF(M438=3,"3일째",IF(M438&lt;=7,"일주일 이내",IF(M438&lt;=14,"이주일 이내","15일 이후"))))))))</f>
        <v/>
      </c>
      <c r="O438" s="0" t="str">
        <f aca="false">IF(AND(COUNTA($A438:$J438)&gt;0,OR(클레임조회!$C$4="",AND(ISNUMBER($B438),$B438&gt;=클레임조회!$C$4)),OR(클레임조회!$C$5="",AND(ISNUMBER($B438),$B438&lt;=클레임조회!$C$5)),OR(클레임조회!$C$6="",$C438=클레임조회!$C$6),OR(클레임조회!$C$7="",$D438=클레임조회!$C$7),OR(클레임조회!$C$8="",$E438=클레임조회!$C$8),OR(클레임조회!$C$9="",$F438=클레임조회!$C$9),OR(클레임조회!$C$10="",ISNUMBER(SEARCH(클레임조회!$C$10,$C438&amp;" "&amp;$F438&amp;" "&amp;$G438&amp;" "&amp;$H438)))),COUNT(O$1:O437)+1,"")</f>
        <v/>
      </c>
      <c r="P438" s="0" t="str">
        <f aca="false">IF(AND(TRIM(C438)&lt;&gt;"",COUNTIF(C$2:C438,C438)=1),MAX(P$1:P437)+1,"")</f>
        <v/>
      </c>
      <c r="Q438" s="0" t="str">
        <f aca="false">IF(AND(TRIM(F438)&lt;&gt;"",COUNTIF(F$2:F438,F438)=1),MAX(Q$1:Q437)+1,"")</f>
        <v/>
      </c>
    </row>
    <row r="439" customFormat="false" ht="15" hidden="false" customHeight="false" outlineLevel="0" collapsed="false">
      <c r="A439" s="9"/>
      <c r="B439" s="10"/>
      <c r="C439" s="11"/>
      <c r="D439" s="11"/>
      <c r="E439" s="11"/>
      <c r="F439" s="11"/>
      <c r="G439" s="12"/>
      <c r="H439" s="12"/>
      <c r="I439" s="10"/>
      <c r="J439" s="12"/>
      <c r="K439" s="13" t="str">
        <f aca="false">IF(ISNUMBER(B439),YEAR(B439),"")</f>
        <v/>
      </c>
      <c r="L439" s="13" t="str">
        <f aca="false">IF(ISNUMBER(B439),MONTH(B439),"")</f>
        <v/>
      </c>
      <c r="M439" s="13" t="str">
        <f aca="false">IF(AND(ISNUMBER(B439),ISNUMBER(I439)),B439-I439+1,"")</f>
        <v/>
      </c>
      <c r="N439" s="14" t="str">
        <f aca="false">IF(B439="","",IF(M439="","시작일 미입력",IF(M439&lt;1,"시작일 이전(확인)",IF(M439=1,"1일째",IF(M439=2,"2일째",IF(M439=3,"3일째",IF(M439&lt;=7,"일주일 이내",IF(M439&lt;=14,"이주일 이내","15일 이후"))))))))</f>
        <v/>
      </c>
      <c r="O439" s="0" t="str">
        <f aca="false">IF(AND(COUNTA($A439:$J439)&gt;0,OR(클레임조회!$C$4="",AND(ISNUMBER($B439),$B439&gt;=클레임조회!$C$4)),OR(클레임조회!$C$5="",AND(ISNUMBER($B439),$B439&lt;=클레임조회!$C$5)),OR(클레임조회!$C$6="",$C439=클레임조회!$C$6),OR(클레임조회!$C$7="",$D439=클레임조회!$C$7),OR(클레임조회!$C$8="",$E439=클레임조회!$C$8),OR(클레임조회!$C$9="",$F439=클레임조회!$C$9),OR(클레임조회!$C$10="",ISNUMBER(SEARCH(클레임조회!$C$10,$C439&amp;" "&amp;$F439&amp;" "&amp;$G439&amp;" "&amp;$H439)))),COUNT(O$1:O438)+1,"")</f>
        <v/>
      </c>
      <c r="P439" s="0" t="str">
        <f aca="false">IF(AND(TRIM(C439)&lt;&gt;"",COUNTIF(C$2:C439,C439)=1),MAX(P$1:P438)+1,"")</f>
        <v/>
      </c>
      <c r="Q439" s="0" t="str">
        <f aca="false">IF(AND(TRIM(F439)&lt;&gt;"",COUNTIF(F$2:F439,F439)=1),MAX(Q$1:Q438)+1,"")</f>
        <v/>
      </c>
    </row>
    <row r="440" customFormat="false" ht="15" hidden="false" customHeight="false" outlineLevel="0" collapsed="false">
      <c r="A440" s="9"/>
      <c r="B440" s="10"/>
      <c r="C440" s="11"/>
      <c r="D440" s="11"/>
      <c r="E440" s="11"/>
      <c r="F440" s="11"/>
      <c r="G440" s="12"/>
      <c r="H440" s="12"/>
      <c r="I440" s="10"/>
      <c r="J440" s="12"/>
      <c r="K440" s="13" t="str">
        <f aca="false">IF(ISNUMBER(B440),YEAR(B440),"")</f>
        <v/>
      </c>
      <c r="L440" s="13" t="str">
        <f aca="false">IF(ISNUMBER(B440),MONTH(B440),"")</f>
        <v/>
      </c>
      <c r="M440" s="13" t="str">
        <f aca="false">IF(AND(ISNUMBER(B440),ISNUMBER(I440)),B440-I440+1,"")</f>
        <v/>
      </c>
      <c r="N440" s="14" t="str">
        <f aca="false">IF(B440="","",IF(M440="","시작일 미입력",IF(M440&lt;1,"시작일 이전(확인)",IF(M440=1,"1일째",IF(M440=2,"2일째",IF(M440=3,"3일째",IF(M440&lt;=7,"일주일 이내",IF(M440&lt;=14,"이주일 이내","15일 이후"))))))))</f>
        <v/>
      </c>
      <c r="O440" s="0" t="str">
        <f aca="false">IF(AND(COUNTA($A440:$J440)&gt;0,OR(클레임조회!$C$4="",AND(ISNUMBER($B440),$B440&gt;=클레임조회!$C$4)),OR(클레임조회!$C$5="",AND(ISNUMBER($B440),$B440&lt;=클레임조회!$C$5)),OR(클레임조회!$C$6="",$C440=클레임조회!$C$6),OR(클레임조회!$C$7="",$D440=클레임조회!$C$7),OR(클레임조회!$C$8="",$E440=클레임조회!$C$8),OR(클레임조회!$C$9="",$F440=클레임조회!$C$9),OR(클레임조회!$C$10="",ISNUMBER(SEARCH(클레임조회!$C$10,$C440&amp;" "&amp;$F440&amp;" "&amp;$G440&amp;" "&amp;$H440)))),COUNT(O$1:O439)+1,"")</f>
        <v/>
      </c>
      <c r="P440" s="0" t="str">
        <f aca="false">IF(AND(TRIM(C440)&lt;&gt;"",COUNTIF(C$2:C440,C440)=1),MAX(P$1:P439)+1,"")</f>
        <v/>
      </c>
      <c r="Q440" s="0" t="str">
        <f aca="false">IF(AND(TRIM(F440)&lt;&gt;"",COUNTIF(F$2:F440,F440)=1),MAX(Q$1:Q439)+1,"")</f>
        <v/>
      </c>
    </row>
    <row r="441" customFormat="false" ht="15" hidden="false" customHeight="false" outlineLevel="0" collapsed="false">
      <c r="A441" s="9"/>
      <c r="B441" s="10"/>
      <c r="C441" s="11"/>
      <c r="D441" s="11"/>
      <c r="E441" s="11"/>
      <c r="F441" s="11"/>
      <c r="G441" s="12"/>
      <c r="H441" s="12"/>
      <c r="I441" s="10"/>
      <c r="J441" s="12"/>
      <c r="K441" s="13" t="str">
        <f aca="false">IF(ISNUMBER(B441),YEAR(B441),"")</f>
        <v/>
      </c>
      <c r="L441" s="13" t="str">
        <f aca="false">IF(ISNUMBER(B441),MONTH(B441),"")</f>
        <v/>
      </c>
      <c r="M441" s="13" t="str">
        <f aca="false">IF(AND(ISNUMBER(B441),ISNUMBER(I441)),B441-I441+1,"")</f>
        <v/>
      </c>
      <c r="N441" s="14" t="str">
        <f aca="false">IF(B441="","",IF(M441="","시작일 미입력",IF(M441&lt;1,"시작일 이전(확인)",IF(M441=1,"1일째",IF(M441=2,"2일째",IF(M441=3,"3일째",IF(M441&lt;=7,"일주일 이내",IF(M441&lt;=14,"이주일 이내","15일 이후"))))))))</f>
        <v/>
      </c>
      <c r="O441" s="0" t="str">
        <f aca="false">IF(AND(COUNTA($A441:$J441)&gt;0,OR(클레임조회!$C$4="",AND(ISNUMBER($B441),$B441&gt;=클레임조회!$C$4)),OR(클레임조회!$C$5="",AND(ISNUMBER($B441),$B441&lt;=클레임조회!$C$5)),OR(클레임조회!$C$6="",$C441=클레임조회!$C$6),OR(클레임조회!$C$7="",$D441=클레임조회!$C$7),OR(클레임조회!$C$8="",$E441=클레임조회!$C$8),OR(클레임조회!$C$9="",$F441=클레임조회!$C$9),OR(클레임조회!$C$10="",ISNUMBER(SEARCH(클레임조회!$C$10,$C441&amp;" "&amp;$F441&amp;" "&amp;$G441&amp;" "&amp;$H441)))),COUNT(O$1:O440)+1,"")</f>
        <v/>
      </c>
      <c r="P441" s="0" t="str">
        <f aca="false">IF(AND(TRIM(C441)&lt;&gt;"",COUNTIF(C$2:C441,C441)=1),MAX(P$1:P440)+1,"")</f>
        <v/>
      </c>
      <c r="Q441" s="0" t="str">
        <f aca="false">IF(AND(TRIM(F441)&lt;&gt;"",COUNTIF(F$2:F441,F441)=1),MAX(Q$1:Q440)+1,"")</f>
        <v/>
      </c>
    </row>
    <row r="442" customFormat="false" ht="15" hidden="false" customHeight="false" outlineLevel="0" collapsed="false">
      <c r="A442" s="9"/>
      <c r="B442" s="10"/>
      <c r="C442" s="11"/>
      <c r="D442" s="11"/>
      <c r="E442" s="11"/>
      <c r="F442" s="11"/>
      <c r="G442" s="12"/>
      <c r="H442" s="12"/>
      <c r="I442" s="10"/>
      <c r="J442" s="12"/>
      <c r="K442" s="13" t="str">
        <f aca="false">IF(ISNUMBER(B442),YEAR(B442),"")</f>
        <v/>
      </c>
      <c r="L442" s="13" t="str">
        <f aca="false">IF(ISNUMBER(B442),MONTH(B442),"")</f>
        <v/>
      </c>
      <c r="M442" s="13" t="str">
        <f aca="false">IF(AND(ISNUMBER(B442),ISNUMBER(I442)),B442-I442+1,"")</f>
        <v/>
      </c>
      <c r="N442" s="14" t="str">
        <f aca="false">IF(B442="","",IF(M442="","시작일 미입력",IF(M442&lt;1,"시작일 이전(확인)",IF(M442=1,"1일째",IF(M442=2,"2일째",IF(M442=3,"3일째",IF(M442&lt;=7,"일주일 이내",IF(M442&lt;=14,"이주일 이내","15일 이후"))))))))</f>
        <v/>
      </c>
      <c r="O442" s="0" t="str">
        <f aca="false">IF(AND(COUNTA($A442:$J442)&gt;0,OR(클레임조회!$C$4="",AND(ISNUMBER($B442),$B442&gt;=클레임조회!$C$4)),OR(클레임조회!$C$5="",AND(ISNUMBER($B442),$B442&lt;=클레임조회!$C$5)),OR(클레임조회!$C$6="",$C442=클레임조회!$C$6),OR(클레임조회!$C$7="",$D442=클레임조회!$C$7),OR(클레임조회!$C$8="",$E442=클레임조회!$C$8),OR(클레임조회!$C$9="",$F442=클레임조회!$C$9),OR(클레임조회!$C$10="",ISNUMBER(SEARCH(클레임조회!$C$10,$C442&amp;" "&amp;$F442&amp;" "&amp;$G442&amp;" "&amp;$H442)))),COUNT(O$1:O441)+1,"")</f>
        <v/>
      </c>
      <c r="P442" s="0" t="str">
        <f aca="false">IF(AND(TRIM(C442)&lt;&gt;"",COUNTIF(C$2:C442,C442)=1),MAX(P$1:P441)+1,"")</f>
        <v/>
      </c>
      <c r="Q442" s="0" t="str">
        <f aca="false">IF(AND(TRIM(F442)&lt;&gt;"",COUNTIF(F$2:F442,F442)=1),MAX(Q$1:Q441)+1,"")</f>
        <v/>
      </c>
    </row>
    <row r="443" customFormat="false" ht="15" hidden="false" customHeight="false" outlineLevel="0" collapsed="false">
      <c r="A443" s="9"/>
      <c r="B443" s="10"/>
      <c r="C443" s="11"/>
      <c r="D443" s="11"/>
      <c r="E443" s="11"/>
      <c r="F443" s="11"/>
      <c r="G443" s="12"/>
      <c r="H443" s="12"/>
      <c r="I443" s="10"/>
      <c r="J443" s="12"/>
      <c r="K443" s="13" t="str">
        <f aca="false">IF(ISNUMBER(B443),YEAR(B443),"")</f>
        <v/>
      </c>
      <c r="L443" s="13" t="str">
        <f aca="false">IF(ISNUMBER(B443),MONTH(B443),"")</f>
        <v/>
      </c>
      <c r="M443" s="13" t="str">
        <f aca="false">IF(AND(ISNUMBER(B443),ISNUMBER(I443)),B443-I443+1,"")</f>
        <v/>
      </c>
      <c r="N443" s="14" t="str">
        <f aca="false">IF(B443="","",IF(M443="","시작일 미입력",IF(M443&lt;1,"시작일 이전(확인)",IF(M443=1,"1일째",IF(M443=2,"2일째",IF(M443=3,"3일째",IF(M443&lt;=7,"일주일 이내",IF(M443&lt;=14,"이주일 이내","15일 이후"))))))))</f>
        <v/>
      </c>
      <c r="O443" s="0" t="str">
        <f aca="false">IF(AND(COUNTA($A443:$J443)&gt;0,OR(클레임조회!$C$4="",AND(ISNUMBER($B443),$B443&gt;=클레임조회!$C$4)),OR(클레임조회!$C$5="",AND(ISNUMBER($B443),$B443&lt;=클레임조회!$C$5)),OR(클레임조회!$C$6="",$C443=클레임조회!$C$6),OR(클레임조회!$C$7="",$D443=클레임조회!$C$7),OR(클레임조회!$C$8="",$E443=클레임조회!$C$8),OR(클레임조회!$C$9="",$F443=클레임조회!$C$9),OR(클레임조회!$C$10="",ISNUMBER(SEARCH(클레임조회!$C$10,$C443&amp;" "&amp;$F443&amp;" "&amp;$G443&amp;" "&amp;$H443)))),COUNT(O$1:O442)+1,"")</f>
        <v/>
      </c>
      <c r="P443" s="0" t="str">
        <f aca="false">IF(AND(TRIM(C443)&lt;&gt;"",COUNTIF(C$2:C443,C443)=1),MAX(P$1:P442)+1,"")</f>
        <v/>
      </c>
      <c r="Q443" s="0" t="str">
        <f aca="false">IF(AND(TRIM(F443)&lt;&gt;"",COUNTIF(F$2:F443,F443)=1),MAX(Q$1:Q442)+1,"")</f>
        <v/>
      </c>
    </row>
    <row r="444" customFormat="false" ht="15" hidden="false" customHeight="false" outlineLevel="0" collapsed="false">
      <c r="A444" s="9"/>
      <c r="B444" s="10"/>
      <c r="C444" s="11"/>
      <c r="D444" s="11"/>
      <c r="E444" s="11"/>
      <c r="F444" s="11"/>
      <c r="G444" s="12"/>
      <c r="H444" s="12"/>
      <c r="I444" s="10"/>
      <c r="J444" s="12"/>
      <c r="K444" s="13" t="str">
        <f aca="false">IF(ISNUMBER(B444),YEAR(B444),"")</f>
        <v/>
      </c>
      <c r="L444" s="13" t="str">
        <f aca="false">IF(ISNUMBER(B444),MONTH(B444),"")</f>
        <v/>
      </c>
      <c r="M444" s="13" t="str">
        <f aca="false">IF(AND(ISNUMBER(B444),ISNUMBER(I444)),B444-I444+1,"")</f>
        <v/>
      </c>
      <c r="N444" s="14" t="str">
        <f aca="false">IF(B444="","",IF(M444="","시작일 미입력",IF(M444&lt;1,"시작일 이전(확인)",IF(M444=1,"1일째",IF(M444=2,"2일째",IF(M444=3,"3일째",IF(M444&lt;=7,"일주일 이내",IF(M444&lt;=14,"이주일 이내","15일 이후"))))))))</f>
        <v/>
      </c>
      <c r="O444" s="0" t="str">
        <f aca="false">IF(AND(COUNTA($A444:$J444)&gt;0,OR(클레임조회!$C$4="",AND(ISNUMBER($B444),$B444&gt;=클레임조회!$C$4)),OR(클레임조회!$C$5="",AND(ISNUMBER($B444),$B444&lt;=클레임조회!$C$5)),OR(클레임조회!$C$6="",$C444=클레임조회!$C$6),OR(클레임조회!$C$7="",$D444=클레임조회!$C$7),OR(클레임조회!$C$8="",$E444=클레임조회!$C$8),OR(클레임조회!$C$9="",$F444=클레임조회!$C$9),OR(클레임조회!$C$10="",ISNUMBER(SEARCH(클레임조회!$C$10,$C444&amp;" "&amp;$F444&amp;" "&amp;$G444&amp;" "&amp;$H444)))),COUNT(O$1:O443)+1,"")</f>
        <v/>
      </c>
      <c r="P444" s="0" t="str">
        <f aca="false">IF(AND(TRIM(C444)&lt;&gt;"",COUNTIF(C$2:C444,C444)=1),MAX(P$1:P443)+1,"")</f>
        <v/>
      </c>
      <c r="Q444" s="0" t="str">
        <f aca="false">IF(AND(TRIM(F444)&lt;&gt;"",COUNTIF(F$2:F444,F444)=1),MAX(Q$1:Q443)+1,"")</f>
        <v/>
      </c>
    </row>
    <row r="445" customFormat="false" ht="15" hidden="false" customHeight="false" outlineLevel="0" collapsed="false">
      <c r="A445" s="9"/>
      <c r="B445" s="10"/>
      <c r="C445" s="11"/>
      <c r="D445" s="11"/>
      <c r="E445" s="11"/>
      <c r="F445" s="11"/>
      <c r="G445" s="12"/>
      <c r="H445" s="12"/>
      <c r="I445" s="10"/>
      <c r="J445" s="12"/>
      <c r="K445" s="13" t="str">
        <f aca="false">IF(ISNUMBER(B445),YEAR(B445),"")</f>
        <v/>
      </c>
      <c r="L445" s="13" t="str">
        <f aca="false">IF(ISNUMBER(B445),MONTH(B445),"")</f>
        <v/>
      </c>
      <c r="M445" s="13" t="str">
        <f aca="false">IF(AND(ISNUMBER(B445),ISNUMBER(I445)),B445-I445+1,"")</f>
        <v/>
      </c>
      <c r="N445" s="14" t="str">
        <f aca="false">IF(B445="","",IF(M445="","시작일 미입력",IF(M445&lt;1,"시작일 이전(확인)",IF(M445=1,"1일째",IF(M445=2,"2일째",IF(M445=3,"3일째",IF(M445&lt;=7,"일주일 이내",IF(M445&lt;=14,"이주일 이내","15일 이후"))))))))</f>
        <v/>
      </c>
      <c r="O445" s="0" t="str">
        <f aca="false">IF(AND(COUNTA($A445:$J445)&gt;0,OR(클레임조회!$C$4="",AND(ISNUMBER($B445),$B445&gt;=클레임조회!$C$4)),OR(클레임조회!$C$5="",AND(ISNUMBER($B445),$B445&lt;=클레임조회!$C$5)),OR(클레임조회!$C$6="",$C445=클레임조회!$C$6),OR(클레임조회!$C$7="",$D445=클레임조회!$C$7),OR(클레임조회!$C$8="",$E445=클레임조회!$C$8),OR(클레임조회!$C$9="",$F445=클레임조회!$C$9),OR(클레임조회!$C$10="",ISNUMBER(SEARCH(클레임조회!$C$10,$C445&amp;" "&amp;$F445&amp;" "&amp;$G445&amp;" "&amp;$H445)))),COUNT(O$1:O444)+1,"")</f>
        <v/>
      </c>
      <c r="P445" s="0" t="str">
        <f aca="false">IF(AND(TRIM(C445)&lt;&gt;"",COUNTIF(C$2:C445,C445)=1),MAX(P$1:P444)+1,"")</f>
        <v/>
      </c>
      <c r="Q445" s="0" t="str">
        <f aca="false">IF(AND(TRIM(F445)&lt;&gt;"",COUNTIF(F$2:F445,F445)=1),MAX(Q$1:Q444)+1,"")</f>
        <v/>
      </c>
    </row>
    <row r="446" customFormat="false" ht="15" hidden="false" customHeight="false" outlineLevel="0" collapsed="false">
      <c r="A446" s="9"/>
      <c r="B446" s="10"/>
      <c r="C446" s="11"/>
      <c r="D446" s="11"/>
      <c r="E446" s="11"/>
      <c r="F446" s="11"/>
      <c r="G446" s="12"/>
      <c r="H446" s="12"/>
      <c r="I446" s="10"/>
      <c r="J446" s="12"/>
      <c r="K446" s="13" t="str">
        <f aca="false">IF(ISNUMBER(B446),YEAR(B446),"")</f>
        <v/>
      </c>
      <c r="L446" s="13" t="str">
        <f aca="false">IF(ISNUMBER(B446),MONTH(B446),"")</f>
        <v/>
      </c>
      <c r="M446" s="13" t="str">
        <f aca="false">IF(AND(ISNUMBER(B446),ISNUMBER(I446)),B446-I446+1,"")</f>
        <v/>
      </c>
      <c r="N446" s="14" t="str">
        <f aca="false">IF(B446="","",IF(M446="","시작일 미입력",IF(M446&lt;1,"시작일 이전(확인)",IF(M446=1,"1일째",IF(M446=2,"2일째",IF(M446=3,"3일째",IF(M446&lt;=7,"일주일 이내",IF(M446&lt;=14,"이주일 이내","15일 이후"))))))))</f>
        <v/>
      </c>
      <c r="O446" s="0" t="str">
        <f aca="false">IF(AND(COUNTA($A446:$J446)&gt;0,OR(클레임조회!$C$4="",AND(ISNUMBER($B446),$B446&gt;=클레임조회!$C$4)),OR(클레임조회!$C$5="",AND(ISNUMBER($B446),$B446&lt;=클레임조회!$C$5)),OR(클레임조회!$C$6="",$C446=클레임조회!$C$6),OR(클레임조회!$C$7="",$D446=클레임조회!$C$7),OR(클레임조회!$C$8="",$E446=클레임조회!$C$8),OR(클레임조회!$C$9="",$F446=클레임조회!$C$9),OR(클레임조회!$C$10="",ISNUMBER(SEARCH(클레임조회!$C$10,$C446&amp;" "&amp;$F446&amp;" "&amp;$G446&amp;" "&amp;$H446)))),COUNT(O$1:O445)+1,"")</f>
        <v/>
      </c>
      <c r="P446" s="0" t="str">
        <f aca="false">IF(AND(TRIM(C446)&lt;&gt;"",COUNTIF(C$2:C446,C446)=1),MAX(P$1:P445)+1,"")</f>
        <v/>
      </c>
      <c r="Q446" s="0" t="str">
        <f aca="false">IF(AND(TRIM(F446)&lt;&gt;"",COUNTIF(F$2:F446,F446)=1),MAX(Q$1:Q445)+1,"")</f>
        <v/>
      </c>
    </row>
    <row r="447" customFormat="false" ht="15" hidden="false" customHeight="false" outlineLevel="0" collapsed="false">
      <c r="A447" s="9"/>
      <c r="B447" s="10"/>
      <c r="C447" s="11"/>
      <c r="D447" s="11"/>
      <c r="E447" s="11"/>
      <c r="F447" s="11"/>
      <c r="G447" s="12"/>
      <c r="H447" s="12"/>
      <c r="I447" s="10"/>
      <c r="J447" s="12"/>
      <c r="K447" s="13" t="str">
        <f aca="false">IF(ISNUMBER(B447),YEAR(B447),"")</f>
        <v/>
      </c>
      <c r="L447" s="13" t="str">
        <f aca="false">IF(ISNUMBER(B447),MONTH(B447),"")</f>
        <v/>
      </c>
      <c r="M447" s="13" t="str">
        <f aca="false">IF(AND(ISNUMBER(B447),ISNUMBER(I447)),B447-I447+1,"")</f>
        <v/>
      </c>
      <c r="N447" s="14" t="str">
        <f aca="false">IF(B447="","",IF(M447="","시작일 미입력",IF(M447&lt;1,"시작일 이전(확인)",IF(M447=1,"1일째",IF(M447=2,"2일째",IF(M447=3,"3일째",IF(M447&lt;=7,"일주일 이내",IF(M447&lt;=14,"이주일 이내","15일 이후"))))))))</f>
        <v/>
      </c>
      <c r="O447" s="0" t="str">
        <f aca="false">IF(AND(COUNTA($A447:$J447)&gt;0,OR(클레임조회!$C$4="",AND(ISNUMBER($B447),$B447&gt;=클레임조회!$C$4)),OR(클레임조회!$C$5="",AND(ISNUMBER($B447),$B447&lt;=클레임조회!$C$5)),OR(클레임조회!$C$6="",$C447=클레임조회!$C$6),OR(클레임조회!$C$7="",$D447=클레임조회!$C$7),OR(클레임조회!$C$8="",$E447=클레임조회!$C$8),OR(클레임조회!$C$9="",$F447=클레임조회!$C$9),OR(클레임조회!$C$10="",ISNUMBER(SEARCH(클레임조회!$C$10,$C447&amp;" "&amp;$F447&amp;" "&amp;$G447&amp;" "&amp;$H447)))),COUNT(O$1:O446)+1,"")</f>
        <v/>
      </c>
      <c r="P447" s="0" t="str">
        <f aca="false">IF(AND(TRIM(C447)&lt;&gt;"",COUNTIF(C$2:C447,C447)=1),MAX(P$1:P446)+1,"")</f>
        <v/>
      </c>
      <c r="Q447" s="0" t="str">
        <f aca="false">IF(AND(TRIM(F447)&lt;&gt;"",COUNTIF(F$2:F447,F447)=1),MAX(Q$1:Q446)+1,"")</f>
        <v/>
      </c>
    </row>
    <row r="448" customFormat="false" ht="15" hidden="false" customHeight="false" outlineLevel="0" collapsed="false">
      <c r="A448" s="9"/>
      <c r="B448" s="10"/>
      <c r="C448" s="11"/>
      <c r="D448" s="11"/>
      <c r="E448" s="11"/>
      <c r="F448" s="11"/>
      <c r="G448" s="12"/>
      <c r="H448" s="12"/>
      <c r="I448" s="10"/>
      <c r="J448" s="12"/>
      <c r="K448" s="13" t="str">
        <f aca="false">IF(ISNUMBER(B448),YEAR(B448),"")</f>
        <v/>
      </c>
      <c r="L448" s="13" t="str">
        <f aca="false">IF(ISNUMBER(B448),MONTH(B448),"")</f>
        <v/>
      </c>
      <c r="M448" s="13" t="str">
        <f aca="false">IF(AND(ISNUMBER(B448),ISNUMBER(I448)),B448-I448+1,"")</f>
        <v/>
      </c>
      <c r="N448" s="14" t="str">
        <f aca="false">IF(B448="","",IF(M448="","시작일 미입력",IF(M448&lt;1,"시작일 이전(확인)",IF(M448=1,"1일째",IF(M448=2,"2일째",IF(M448=3,"3일째",IF(M448&lt;=7,"일주일 이내",IF(M448&lt;=14,"이주일 이내","15일 이후"))))))))</f>
        <v/>
      </c>
      <c r="O448" s="0" t="str">
        <f aca="false">IF(AND(COUNTA($A448:$J448)&gt;0,OR(클레임조회!$C$4="",AND(ISNUMBER($B448),$B448&gt;=클레임조회!$C$4)),OR(클레임조회!$C$5="",AND(ISNUMBER($B448),$B448&lt;=클레임조회!$C$5)),OR(클레임조회!$C$6="",$C448=클레임조회!$C$6),OR(클레임조회!$C$7="",$D448=클레임조회!$C$7),OR(클레임조회!$C$8="",$E448=클레임조회!$C$8),OR(클레임조회!$C$9="",$F448=클레임조회!$C$9),OR(클레임조회!$C$10="",ISNUMBER(SEARCH(클레임조회!$C$10,$C448&amp;" "&amp;$F448&amp;" "&amp;$G448&amp;" "&amp;$H448)))),COUNT(O$1:O447)+1,"")</f>
        <v/>
      </c>
      <c r="P448" s="0" t="str">
        <f aca="false">IF(AND(TRIM(C448)&lt;&gt;"",COUNTIF(C$2:C448,C448)=1),MAX(P$1:P447)+1,"")</f>
        <v/>
      </c>
      <c r="Q448" s="0" t="str">
        <f aca="false">IF(AND(TRIM(F448)&lt;&gt;"",COUNTIF(F$2:F448,F448)=1),MAX(Q$1:Q447)+1,"")</f>
        <v/>
      </c>
    </row>
    <row r="449" customFormat="false" ht="15" hidden="false" customHeight="false" outlineLevel="0" collapsed="false">
      <c r="A449" s="9"/>
      <c r="B449" s="10"/>
      <c r="C449" s="11"/>
      <c r="D449" s="11"/>
      <c r="E449" s="11"/>
      <c r="F449" s="11"/>
      <c r="G449" s="12"/>
      <c r="H449" s="12"/>
      <c r="I449" s="10"/>
      <c r="J449" s="12"/>
      <c r="K449" s="13" t="str">
        <f aca="false">IF(ISNUMBER(B449),YEAR(B449),"")</f>
        <v/>
      </c>
      <c r="L449" s="13" t="str">
        <f aca="false">IF(ISNUMBER(B449),MONTH(B449),"")</f>
        <v/>
      </c>
      <c r="M449" s="13" t="str">
        <f aca="false">IF(AND(ISNUMBER(B449),ISNUMBER(I449)),B449-I449+1,"")</f>
        <v/>
      </c>
      <c r="N449" s="14" t="str">
        <f aca="false">IF(B449="","",IF(M449="","시작일 미입력",IF(M449&lt;1,"시작일 이전(확인)",IF(M449=1,"1일째",IF(M449=2,"2일째",IF(M449=3,"3일째",IF(M449&lt;=7,"일주일 이내",IF(M449&lt;=14,"이주일 이내","15일 이후"))))))))</f>
        <v/>
      </c>
      <c r="O449" s="0" t="str">
        <f aca="false">IF(AND(COUNTA($A449:$J449)&gt;0,OR(클레임조회!$C$4="",AND(ISNUMBER($B449),$B449&gt;=클레임조회!$C$4)),OR(클레임조회!$C$5="",AND(ISNUMBER($B449),$B449&lt;=클레임조회!$C$5)),OR(클레임조회!$C$6="",$C449=클레임조회!$C$6),OR(클레임조회!$C$7="",$D449=클레임조회!$C$7),OR(클레임조회!$C$8="",$E449=클레임조회!$C$8),OR(클레임조회!$C$9="",$F449=클레임조회!$C$9),OR(클레임조회!$C$10="",ISNUMBER(SEARCH(클레임조회!$C$10,$C449&amp;" "&amp;$F449&amp;" "&amp;$G449&amp;" "&amp;$H449)))),COUNT(O$1:O448)+1,"")</f>
        <v/>
      </c>
      <c r="P449" s="0" t="str">
        <f aca="false">IF(AND(TRIM(C449)&lt;&gt;"",COUNTIF(C$2:C449,C449)=1),MAX(P$1:P448)+1,"")</f>
        <v/>
      </c>
      <c r="Q449" s="0" t="str">
        <f aca="false">IF(AND(TRIM(F449)&lt;&gt;"",COUNTIF(F$2:F449,F449)=1),MAX(Q$1:Q448)+1,"")</f>
        <v/>
      </c>
    </row>
    <row r="450" customFormat="false" ht="15" hidden="false" customHeight="false" outlineLevel="0" collapsed="false">
      <c r="A450" s="9"/>
      <c r="B450" s="10"/>
      <c r="C450" s="11"/>
      <c r="D450" s="11"/>
      <c r="E450" s="11"/>
      <c r="F450" s="11"/>
      <c r="G450" s="12"/>
      <c r="H450" s="12"/>
      <c r="I450" s="10"/>
      <c r="J450" s="12"/>
      <c r="K450" s="13" t="str">
        <f aca="false">IF(ISNUMBER(B450),YEAR(B450),"")</f>
        <v/>
      </c>
      <c r="L450" s="13" t="str">
        <f aca="false">IF(ISNUMBER(B450),MONTH(B450),"")</f>
        <v/>
      </c>
      <c r="M450" s="13" t="str">
        <f aca="false">IF(AND(ISNUMBER(B450),ISNUMBER(I450)),B450-I450+1,"")</f>
        <v/>
      </c>
      <c r="N450" s="14" t="str">
        <f aca="false">IF(B450="","",IF(M450="","시작일 미입력",IF(M450&lt;1,"시작일 이전(확인)",IF(M450=1,"1일째",IF(M450=2,"2일째",IF(M450=3,"3일째",IF(M450&lt;=7,"일주일 이내",IF(M450&lt;=14,"이주일 이내","15일 이후"))))))))</f>
        <v/>
      </c>
      <c r="O450" s="0" t="str">
        <f aca="false">IF(AND(COUNTA($A450:$J450)&gt;0,OR(클레임조회!$C$4="",AND(ISNUMBER($B450),$B450&gt;=클레임조회!$C$4)),OR(클레임조회!$C$5="",AND(ISNUMBER($B450),$B450&lt;=클레임조회!$C$5)),OR(클레임조회!$C$6="",$C450=클레임조회!$C$6),OR(클레임조회!$C$7="",$D450=클레임조회!$C$7),OR(클레임조회!$C$8="",$E450=클레임조회!$C$8),OR(클레임조회!$C$9="",$F450=클레임조회!$C$9),OR(클레임조회!$C$10="",ISNUMBER(SEARCH(클레임조회!$C$10,$C450&amp;" "&amp;$F450&amp;" "&amp;$G450&amp;" "&amp;$H450)))),COUNT(O$1:O449)+1,"")</f>
        <v/>
      </c>
      <c r="P450" s="0" t="str">
        <f aca="false">IF(AND(TRIM(C450)&lt;&gt;"",COUNTIF(C$2:C450,C450)=1),MAX(P$1:P449)+1,"")</f>
        <v/>
      </c>
      <c r="Q450" s="0" t="str">
        <f aca="false">IF(AND(TRIM(F450)&lt;&gt;"",COUNTIF(F$2:F450,F450)=1),MAX(Q$1:Q449)+1,"")</f>
        <v/>
      </c>
    </row>
    <row r="451" customFormat="false" ht="15" hidden="false" customHeight="false" outlineLevel="0" collapsed="false">
      <c r="A451" s="9"/>
      <c r="B451" s="10"/>
      <c r="C451" s="11"/>
      <c r="D451" s="11"/>
      <c r="E451" s="11"/>
      <c r="F451" s="11"/>
      <c r="G451" s="12"/>
      <c r="H451" s="12"/>
      <c r="I451" s="10"/>
      <c r="J451" s="12"/>
      <c r="K451" s="13" t="str">
        <f aca="false">IF(ISNUMBER(B451),YEAR(B451),"")</f>
        <v/>
      </c>
      <c r="L451" s="13" t="str">
        <f aca="false">IF(ISNUMBER(B451),MONTH(B451),"")</f>
        <v/>
      </c>
      <c r="M451" s="13" t="str">
        <f aca="false">IF(AND(ISNUMBER(B451),ISNUMBER(I451)),B451-I451+1,"")</f>
        <v/>
      </c>
      <c r="N451" s="14" t="str">
        <f aca="false">IF(B451="","",IF(M451="","시작일 미입력",IF(M451&lt;1,"시작일 이전(확인)",IF(M451=1,"1일째",IF(M451=2,"2일째",IF(M451=3,"3일째",IF(M451&lt;=7,"일주일 이내",IF(M451&lt;=14,"이주일 이내","15일 이후"))))))))</f>
        <v/>
      </c>
      <c r="O451" s="0" t="str">
        <f aca="false">IF(AND(COUNTA($A451:$J451)&gt;0,OR(클레임조회!$C$4="",AND(ISNUMBER($B451),$B451&gt;=클레임조회!$C$4)),OR(클레임조회!$C$5="",AND(ISNUMBER($B451),$B451&lt;=클레임조회!$C$5)),OR(클레임조회!$C$6="",$C451=클레임조회!$C$6),OR(클레임조회!$C$7="",$D451=클레임조회!$C$7),OR(클레임조회!$C$8="",$E451=클레임조회!$C$8),OR(클레임조회!$C$9="",$F451=클레임조회!$C$9),OR(클레임조회!$C$10="",ISNUMBER(SEARCH(클레임조회!$C$10,$C451&amp;" "&amp;$F451&amp;" "&amp;$G451&amp;" "&amp;$H451)))),COUNT(O$1:O450)+1,"")</f>
        <v/>
      </c>
      <c r="P451" s="0" t="str">
        <f aca="false">IF(AND(TRIM(C451)&lt;&gt;"",COUNTIF(C$2:C451,C451)=1),MAX(P$1:P450)+1,"")</f>
        <v/>
      </c>
      <c r="Q451" s="0" t="str">
        <f aca="false">IF(AND(TRIM(F451)&lt;&gt;"",COUNTIF(F$2:F451,F451)=1),MAX(Q$1:Q450)+1,"")</f>
        <v/>
      </c>
    </row>
    <row r="452" customFormat="false" ht="15" hidden="false" customHeight="false" outlineLevel="0" collapsed="false">
      <c r="A452" s="9"/>
      <c r="B452" s="10"/>
      <c r="C452" s="11"/>
      <c r="D452" s="11"/>
      <c r="E452" s="11"/>
      <c r="F452" s="11"/>
      <c r="G452" s="12"/>
      <c r="H452" s="12"/>
      <c r="I452" s="10"/>
      <c r="J452" s="12"/>
      <c r="K452" s="13" t="str">
        <f aca="false">IF(ISNUMBER(B452),YEAR(B452),"")</f>
        <v/>
      </c>
      <c r="L452" s="13" t="str">
        <f aca="false">IF(ISNUMBER(B452),MONTH(B452),"")</f>
        <v/>
      </c>
      <c r="M452" s="13" t="str">
        <f aca="false">IF(AND(ISNUMBER(B452),ISNUMBER(I452)),B452-I452+1,"")</f>
        <v/>
      </c>
      <c r="N452" s="14" t="str">
        <f aca="false">IF(B452="","",IF(M452="","시작일 미입력",IF(M452&lt;1,"시작일 이전(확인)",IF(M452=1,"1일째",IF(M452=2,"2일째",IF(M452=3,"3일째",IF(M452&lt;=7,"일주일 이내",IF(M452&lt;=14,"이주일 이내","15일 이후"))))))))</f>
        <v/>
      </c>
      <c r="O452" s="0" t="str">
        <f aca="false">IF(AND(COUNTA($A452:$J452)&gt;0,OR(클레임조회!$C$4="",AND(ISNUMBER($B452),$B452&gt;=클레임조회!$C$4)),OR(클레임조회!$C$5="",AND(ISNUMBER($B452),$B452&lt;=클레임조회!$C$5)),OR(클레임조회!$C$6="",$C452=클레임조회!$C$6),OR(클레임조회!$C$7="",$D452=클레임조회!$C$7),OR(클레임조회!$C$8="",$E452=클레임조회!$C$8),OR(클레임조회!$C$9="",$F452=클레임조회!$C$9),OR(클레임조회!$C$10="",ISNUMBER(SEARCH(클레임조회!$C$10,$C452&amp;" "&amp;$F452&amp;" "&amp;$G452&amp;" "&amp;$H452)))),COUNT(O$1:O451)+1,"")</f>
        <v/>
      </c>
      <c r="P452" s="0" t="str">
        <f aca="false">IF(AND(TRIM(C452)&lt;&gt;"",COUNTIF(C$2:C452,C452)=1),MAX(P$1:P451)+1,"")</f>
        <v/>
      </c>
      <c r="Q452" s="0" t="str">
        <f aca="false">IF(AND(TRIM(F452)&lt;&gt;"",COUNTIF(F$2:F452,F452)=1),MAX(Q$1:Q451)+1,"")</f>
        <v/>
      </c>
    </row>
    <row r="453" customFormat="false" ht="15" hidden="false" customHeight="false" outlineLevel="0" collapsed="false">
      <c r="A453" s="9"/>
      <c r="B453" s="10"/>
      <c r="C453" s="11"/>
      <c r="D453" s="11"/>
      <c r="E453" s="11"/>
      <c r="F453" s="11"/>
      <c r="G453" s="12"/>
      <c r="H453" s="12"/>
      <c r="I453" s="10"/>
      <c r="J453" s="12"/>
      <c r="K453" s="13" t="str">
        <f aca="false">IF(ISNUMBER(B453),YEAR(B453),"")</f>
        <v/>
      </c>
      <c r="L453" s="13" t="str">
        <f aca="false">IF(ISNUMBER(B453),MONTH(B453),"")</f>
        <v/>
      </c>
      <c r="M453" s="13" t="str">
        <f aca="false">IF(AND(ISNUMBER(B453),ISNUMBER(I453)),B453-I453+1,"")</f>
        <v/>
      </c>
      <c r="N453" s="14" t="str">
        <f aca="false">IF(B453="","",IF(M453="","시작일 미입력",IF(M453&lt;1,"시작일 이전(확인)",IF(M453=1,"1일째",IF(M453=2,"2일째",IF(M453=3,"3일째",IF(M453&lt;=7,"일주일 이내",IF(M453&lt;=14,"이주일 이내","15일 이후"))))))))</f>
        <v/>
      </c>
      <c r="O453" s="0" t="str">
        <f aca="false">IF(AND(COUNTA($A453:$J453)&gt;0,OR(클레임조회!$C$4="",AND(ISNUMBER($B453),$B453&gt;=클레임조회!$C$4)),OR(클레임조회!$C$5="",AND(ISNUMBER($B453),$B453&lt;=클레임조회!$C$5)),OR(클레임조회!$C$6="",$C453=클레임조회!$C$6),OR(클레임조회!$C$7="",$D453=클레임조회!$C$7),OR(클레임조회!$C$8="",$E453=클레임조회!$C$8),OR(클레임조회!$C$9="",$F453=클레임조회!$C$9),OR(클레임조회!$C$10="",ISNUMBER(SEARCH(클레임조회!$C$10,$C453&amp;" "&amp;$F453&amp;" "&amp;$G453&amp;" "&amp;$H453)))),COUNT(O$1:O452)+1,"")</f>
        <v/>
      </c>
      <c r="P453" s="0" t="str">
        <f aca="false">IF(AND(TRIM(C453)&lt;&gt;"",COUNTIF(C$2:C453,C453)=1),MAX(P$1:P452)+1,"")</f>
        <v/>
      </c>
      <c r="Q453" s="0" t="str">
        <f aca="false">IF(AND(TRIM(F453)&lt;&gt;"",COUNTIF(F$2:F453,F453)=1),MAX(Q$1:Q452)+1,"")</f>
        <v/>
      </c>
    </row>
    <row r="454" customFormat="false" ht="15" hidden="false" customHeight="false" outlineLevel="0" collapsed="false">
      <c r="A454" s="9"/>
      <c r="B454" s="10"/>
      <c r="C454" s="11"/>
      <c r="D454" s="11"/>
      <c r="E454" s="11"/>
      <c r="F454" s="11"/>
      <c r="G454" s="12"/>
      <c r="H454" s="12"/>
      <c r="I454" s="10"/>
      <c r="J454" s="12"/>
      <c r="K454" s="13" t="str">
        <f aca="false">IF(ISNUMBER(B454),YEAR(B454),"")</f>
        <v/>
      </c>
      <c r="L454" s="13" t="str">
        <f aca="false">IF(ISNUMBER(B454),MONTH(B454),"")</f>
        <v/>
      </c>
      <c r="M454" s="13" t="str">
        <f aca="false">IF(AND(ISNUMBER(B454),ISNUMBER(I454)),B454-I454+1,"")</f>
        <v/>
      </c>
      <c r="N454" s="14" t="str">
        <f aca="false">IF(B454="","",IF(M454="","시작일 미입력",IF(M454&lt;1,"시작일 이전(확인)",IF(M454=1,"1일째",IF(M454=2,"2일째",IF(M454=3,"3일째",IF(M454&lt;=7,"일주일 이내",IF(M454&lt;=14,"이주일 이내","15일 이후"))))))))</f>
        <v/>
      </c>
      <c r="O454" s="0" t="str">
        <f aca="false">IF(AND(COUNTA($A454:$J454)&gt;0,OR(클레임조회!$C$4="",AND(ISNUMBER($B454),$B454&gt;=클레임조회!$C$4)),OR(클레임조회!$C$5="",AND(ISNUMBER($B454),$B454&lt;=클레임조회!$C$5)),OR(클레임조회!$C$6="",$C454=클레임조회!$C$6),OR(클레임조회!$C$7="",$D454=클레임조회!$C$7),OR(클레임조회!$C$8="",$E454=클레임조회!$C$8),OR(클레임조회!$C$9="",$F454=클레임조회!$C$9),OR(클레임조회!$C$10="",ISNUMBER(SEARCH(클레임조회!$C$10,$C454&amp;" "&amp;$F454&amp;" "&amp;$G454&amp;" "&amp;$H454)))),COUNT(O$1:O453)+1,"")</f>
        <v/>
      </c>
      <c r="P454" s="0" t="str">
        <f aca="false">IF(AND(TRIM(C454)&lt;&gt;"",COUNTIF(C$2:C454,C454)=1),MAX(P$1:P453)+1,"")</f>
        <v/>
      </c>
      <c r="Q454" s="0" t="str">
        <f aca="false">IF(AND(TRIM(F454)&lt;&gt;"",COUNTIF(F$2:F454,F454)=1),MAX(Q$1:Q453)+1,"")</f>
        <v/>
      </c>
    </row>
    <row r="455" customFormat="false" ht="15" hidden="false" customHeight="false" outlineLevel="0" collapsed="false">
      <c r="A455" s="9"/>
      <c r="B455" s="10"/>
      <c r="C455" s="11"/>
      <c r="D455" s="11"/>
      <c r="E455" s="11"/>
      <c r="F455" s="11"/>
      <c r="G455" s="12"/>
      <c r="H455" s="12"/>
      <c r="I455" s="10"/>
      <c r="J455" s="12"/>
      <c r="K455" s="13" t="str">
        <f aca="false">IF(ISNUMBER(B455),YEAR(B455),"")</f>
        <v/>
      </c>
      <c r="L455" s="13" t="str">
        <f aca="false">IF(ISNUMBER(B455),MONTH(B455),"")</f>
        <v/>
      </c>
      <c r="M455" s="13" t="str">
        <f aca="false">IF(AND(ISNUMBER(B455),ISNUMBER(I455)),B455-I455+1,"")</f>
        <v/>
      </c>
      <c r="N455" s="14" t="str">
        <f aca="false">IF(B455="","",IF(M455="","시작일 미입력",IF(M455&lt;1,"시작일 이전(확인)",IF(M455=1,"1일째",IF(M455=2,"2일째",IF(M455=3,"3일째",IF(M455&lt;=7,"일주일 이내",IF(M455&lt;=14,"이주일 이내","15일 이후"))))))))</f>
        <v/>
      </c>
      <c r="O455" s="0" t="str">
        <f aca="false">IF(AND(COUNTA($A455:$J455)&gt;0,OR(클레임조회!$C$4="",AND(ISNUMBER($B455),$B455&gt;=클레임조회!$C$4)),OR(클레임조회!$C$5="",AND(ISNUMBER($B455),$B455&lt;=클레임조회!$C$5)),OR(클레임조회!$C$6="",$C455=클레임조회!$C$6),OR(클레임조회!$C$7="",$D455=클레임조회!$C$7),OR(클레임조회!$C$8="",$E455=클레임조회!$C$8),OR(클레임조회!$C$9="",$F455=클레임조회!$C$9),OR(클레임조회!$C$10="",ISNUMBER(SEARCH(클레임조회!$C$10,$C455&amp;" "&amp;$F455&amp;" "&amp;$G455&amp;" "&amp;$H455)))),COUNT(O$1:O454)+1,"")</f>
        <v/>
      </c>
      <c r="P455" s="0" t="str">
        <f aca="false">IF(AND(TRIM(C455)&lt;&gt;"",COUNTIF(C$2:C455,C455)=1),MAX(P$1:P454)+1,"")</f>
        <v/>
      </c>
      <c r="Q455" s="0" t="str">
        <f aca="false">IF(AND(TRIM(F455)&lt;&gt;"",COUNTIF(F$2:F455,F455)=1),MAX(Q$1:Q454)+1,"")</f>
        <v/>
      </c>
    </row>
    <row r="456" customFormat="false" ht="15" hidden="false" customHeight="false" outlineLevel="0" collapsed="false">
      <c r="A456" s="9"/>
      <c r="B456" s="10"/>
      <c r="C456" s="11"/>
      <c r="D456" s="11"/>
      <c r="E456" s="11"/>
      <c r="F456" s="11"/>
      <c r="G456" s="12"/>
      <c r="H456" s="12"/>
      <c r="I456" s="10"/>
      <c r="J456" s="12"/>
      <c r="K456" s="13" t="str">
        <f aca="false">IF(ISNUMBER(B456),YEAR(B456),"")</f>
        <v/>
      </c>
      <c r="L456" s="13" t="str">
        <f aca="false">IF(ISNUMBER(B456),MONTH(B456),"")</f>
        <v/>
      </c>
      <c r="M456" s="13" t="str">
        <f aca="false">IF(AND(ISNUMBER(B456),ISNUMBER(I456)),B456-I456+1,"")</f>
        <v/>
      </c>
      <c r="N456" s="14" t="str">
        <f aca="false">IF(B456="","",IF(M456="","시작일 미입력",IF(M456&lt;1,"시작일 이전(확인)",IF(M456=1,"1일째",IF(M456=2,"2일째",IF(M456=3,"3일째",IF(M456&lt;=7,"일주일 이내",IF(M456&lt;=14,"이주일 이내","15일 이후"))))))))</f>
        <v/>
      </c>
      <c r="O456" s="0" t="str">
        <f aca="false">IF(AND(COUNTA($A456:$J456)&gt;0,OR(클레임조회!$C$4="",AND(ISNUMBER($B456),$B456&gt;=클레임조회!$C$4)),OR(클레임조회!$C$5="",AND(ISNUMBER($B456),$B456&lt;=클레임조회!$C$5)),OR(클레임조회!$C$6="",$C456=클레임조회!$C$6),OR(클레임조회!$C$7="",$D456=클레임조회!$C$7),OR(클레임조회!$C$8="",$E456=클레임조회!$C$8),OR(클레임조회!$C$9="",$F456=클레임조회!$C$9),OR(클레임조회!$C$10="",ISNUMBER(SEARCH(클레임조회!$C$10,$C456&amp;" "&amp;$F456&amp;" "&amp;$G456&amp;" "&amp;$H456)))),COUNT(O$1:O455)+1,"")</f>
        <v/>
      </c>
      <c r="P456" s="0" t="str">
        <f aca="false">IF(AND(TRIM(C456)&lt;&gt;"",COUNTIF(C$2:C456,C456)=1),MAX(P$1:P455)+1,"")</f>
        <v/>
      </c>
      <c r="Q456" s="0" t="str">
        <f aca="false">IF(AND(TRIM(F456)&lt;&gt;"",COUNTIF(F$2:F456,F456)=1),MAX(Q$1:Q455)+1,"")</f>
        <v/>
      </c>
    </row>
    <row r="457" customFormat="false" ht="15" hidden="false" customHeight="false" outlineLevel="0" collapsed="false">
      <c r="A457" s="9"/>
      <c r="B457" s="10"/>
      <c r="C457" s="11"/>
      <c r="D457" s="11"/>
      <c r="E457" s="11"/>
      <c r="F457" s="11"/>
      <c r="G457" s="12"/>
      <c r="H457" s="12"/>
      <c r="I457" s="10"/>
      <c r="J457" s="12"/>
      <c r="K457" s="13" t="str">
        <f aca="false">IF(ISNUMBER(B457),YEAR(B457),"")</f>
        <v/>
      </c>
      <c r="L457" s="13" t="str">
        <f aca="false">IF(ISNUMBER(B457),MONTH(B457),"")</f>
        <v/>
      </c>
      <c r="M457" s="13" t="str">
        <f aca="false">IF(AND(ISNUMBER(B457),ISNUMBER(I457)),B457-I457+1,"")</f>
        <v/>
      </c>
      <c r="N457" s="14" t="str">
        <f aca="false">IF(B457="","",IF(M457="","시작일 미입력",IF(M457&lt;1,"시작일 이전(확인)",IF(M457=1,"1일째",IF(M457=2,"2일째",IF(M457=3,"3일째",IF(M457&lt;=7,"일주일 이내",IF(M457&lt;=14,"이주일 이내","15일 이후"))))))))</f>
        <v/>
      </c>
      <c r="O457" s="0" t="str">
        <f aca="false">IF(AND(COUNTA($A457:$J457)&gt;0,OR(클레임조회!$C$4="",AND(ISNUMBER($B457),$B457&gt;=클레임조회!$C$4)),OR(클레임조회!$C$5="",AND(ISNUMBER($B457),$B457&lt;=클레임조회!$C$5)),OR(클레임조회!$C$6="",$C457=클레임조회!$C$6),OR(클레임조회!$C$7="",$D457=클레임조회!$C$7),OR(클레임조회!$C$8="",$E457=클레임조회!$C$8),OR(클레임조회!$C$9="",$F457=클레임조회!$C$9),OR(클레임조회!$C$10="",ISNUMBER(SEARCH(클레임조회!$C$10,$C457&amp;" "&amp;$F457&amp;" "&amp;$G457&amp;" "&amp;$H457)))),COUNT(O$1:O456)+1,"")</f>
        <v/>
      </c>
      <c r="P457" s="0" t="str">
        <f aca="false">IF(AND(TRIM(C457)&lt;&gt;"",COUNTIF(C$2:C457,C457)=1),MAX(P$1:P456)+1,"")</f>
        <v/>
      </c>
      <c r="Q457" s="0" t="str">
        <f aca="false">IF(AND(TRIM(F457)&lt;&gt;"",COUNTIF(F$2:F457,F457)=1),MAX(Q$1:Q456)+1,"")</f>
        <v/>
      </c>
    </row>
    <row r="458" customFormat="false" ht="15" hidden="false" customHeight="false" outlineLevel="0" collapsed="false">
      <c r="A458" s="9"/>
      <c r="B458" s="10"/>
      <c r="C458" s="11"/>
      <c r="D458" s="11"/>
      <c r="E458" s="11"/>
      <c r="F458" s="11"/>
      <c r="G458" s="12"/>
      <c r="H458" s="12"/>
      <c r="I458" s="10"/>
      <c r="J458" s="12"/>
      <c r="K458" s="13" t="str">
        <f aca="false">IF(ISNUMBER(B458),YEAR(B458),"")</f>
        <v/>
      </c>
      <c r="L458" s="13" t="str">
        <f aca="false">IF(ISNUMBER(B458),MONTH(B458),"")</f>
        <v/>
      </c>
      <c r="M458" s="13" t="str">
        <f aca="false">IF(AND(ISNUMBER(B458),ISNUMBER(I458)),B458-I458+1,"")</f>
        <v/>
      </c>
      <c r="N458" s="14" t="str">
        <f aca="false">IF(B458="","",IF(M458="","시작일 미입력",IF(M458&lt;1,"시작일 이전(확인)",IF(M458=1,"1일째",IF(M458=2,"2일째",IF(M458=3,"3일째",IF(M458&lt;=7,"일주일 이내",IF(M458&lt;=14,"이주일 이내","15일 이후"))))))))</f>
        <v/>
      </c>
      <c r="O458" s="0" t="str">
        <f aca="false">IF(AND(COUNTA($A458:$J458)&gt;0,OR(클레임조회!$C$4="",AND(ISNUMBER($B458),$B458&gt;=클레임조회!$C$4)),OR(클레임조회!$C$5="",AND(ISNUMBER($B458),$B458&lt;=클레임조회!$C$5)),OR(클레임조회!$C$6="",$C458=클레임조회!$C$6),OR(클레임조회!$C$7="",$D458=클레임조회!$C$7),OR(클레임조회!$C$8="",$E458=클레임조회!$C$8),OR(클레임조회!$C$9="",$F458=클레임조회!$C$9),OR(클레임조회!$C$10="",ISNUMBER(SEARCH(클레임조회!$C$10,$C458&amp;" "&amp;$F458&amp;" "&amp;$G458&amp;" "&amp;$H458)))),COUNT(O$1:O457)+1,"")</f>
        <v/>
      </c>
      <c r="P458" s="0" t="str">
        <f aca="false">IF(AND(TRIM(C458)&lt;&gt;"",COUNTIF(C$2:C458,C458)=1),MAX(P$1:P457)+1,"")</f>
        <v/>
      </c>
      <c r="Q458" s="0" t="str">
        <f aca="false">IF(AND(TRIM(F458)&lt;&gt;"",COUNTIF(F$2:F458,F458)=1),MAX(Q$1:Q457)+1,"")</f>
        <v/>
      </c>
    </row>
    <row r="459" customFormat="false" ht="15" hidden="false" customHeight="false" outlineLevel="0" collapsed="false">
      <c r="A459" s="9"/>
      <c r="B459" s="10"/>
      <c r="C459" s="11"/>
      <c r="D459" s="11"/>
      <c r="E459" s="11"/>
      <c r="F459" s="11"/>
      <c r="G459" s="12"/>
      <c r="H459" s="12"/>
      <c r="I459" s="10"/>
      <c r="J459" s="12"/>
      <c r="K459" s="13" t="str">
        <f aca="false">IF(ISNUMBER(B459),YEAR(B459),"")</f>
        <v/>
      </c>
      <c r="L459" s="13" t="str">
        <f aca="false">IF(ISNUMBER(B459),MONTH(B459),"")</f>
        <v/>
      </c>
      <c r="M459" s="13" t="str">
        <f aca="false">IF(AND(ISNUMBER(B459),ISNUMBER(I459)),B459-I459+1,"")</f>
        <v/>
      </c>
      <c r="N459" s="14" t="str">
        <f aca="false">IF(B459="","",IF(M459="","시작일 미입력",IF(M459&lt;1,"시작일 이전(확인)",IF(M459=1,"1일째",IF(M459=2,"2일째",IF(M459=3,"3일째",IF(M459&lt;=7,"일주일 이내",IF(M459&lt;=14,"이주일 이내","15일 이후"))))))))</f>
        <v/>
      </c>
      <c r="O459" s="0" t="str">
        <f aca="false">IF(AND(COUNTA($A459:$J459)&gt;0,OR(클레임조회!$C$4="",AND(ISNUMBER($B459),$B459&gt;=클레임조회!$C$4)),OR(클레임조회!$C$5="",AND(ISNUMBER($B459),$B459&lt;=클레임조회!$C$5)),OR(클레임조회!$C$6="",$C459=클레임조회!$C$6),OR(클레임조회!$C$7="",$D459=클레임조회!$C$7),OR(클레임조회!$C$8="",$E459=클레임조회!$C$8),OR(클레임조회!$C$9="",$F459=클레임조회!$C$9),OR(클레임조회!$C$10="",ISNUMBER(SEARCH(클레임조회!$C$10,$C459&amp;" "&amp;$F459&amp;" "&amp;$G459&amp;" "&amp;$H459)))),COUNT(O$1:O458)+1,"")</f>
        <v/>
      </c>
      <c r="P459" s="0" t="str">
        <f aca="false">IF(AND(TRIM(C459)&lt;&gt;"",COUNTIF(C$2:C459,C459)=1),MAX(P$1:P458)+1,"")</f>
        <v/>
      </c>
      <c r="Q459" s="0" t="str">
        <f aca="false">IF(AND(TRIM(F459)&lt;&gt;"",COUNTIF(F$2:F459,F459)=1),MAX(Q$1:Q458)+1,"")</f>
        <v/>
      </c>
    </row>
    <row r="460" customFormat="false" ht="15" hidden="false" customHeight="false" outlineLevel="0" collapsed="false">
      <c r="A460" s="9"/>
      <c r="B460" s="10"/>
      <c r="C460" s="11"/>
      <c r="D460" s="11"/>
      <c r="E460" s="11"/>
      <c r="F460" s="11"/>
      <c r="G460" s="12"/>
      <c r="H460" s="12"/>
      <c r="I460" s="10"/>
      <c r="J460" s="12"/>
      <c r="K460" s="13" t="str">
        <f aca="false">IF(ISNUMBER(B460),YEAR(B460),"")</f>
        <v/>
      </c>
      <c r="L460" s="13" t="str">
        <f aca="false">IF(ISNUMBER(B460),MONTH(B460),"")</f>
        <v/>
      </c>
      <c r="M460" s="13" t="str">
        <f aca="false">IF(AND(ISNUMBER(B460),ISNUMBER(I460)),B460-I460+1,"")</f>
        <v/>
      </c>
      <c r="N460" s="14" t="str">
        <f aca="false">IF(B460="","",IF(M460="","시작일 미입력",IF(M460&lt;1,"시작일 이전(확인)",IF(M460=1,"1일째",IF(M460=2,"2일째",IF(M460=3,"3일째",IF(M460&lt;=7,"일주일 이내",IF(M460&lt;=14,"이주일 이내","15일 이후"))))))))</f>
        <v/>
      </c>
      <c r="O460" s="0" t="str">
        <f aca="false">IF(AND(COUNTA($A460:$J460)&gt;0,OR(클레임조회!$C$4="",AND(ISNUMBER($B460),$B460&gt;=클레임조회!$C$4)),OR(클레임조회!$C$5="",AND(ISNUMBER($B460),$B460&lt;=클레임조회!$C$5)),OR(클레임조회!$C$6="",$C460=클레임조회!$C$6),OR(클레임조회!$C$7="",$D460=클레임조회!$C$7),OR(클레임조회!$C$8="",$E460=클레임조회!$C$8),OR(클레임조회!$C$9="",$F460=클레임조회!$C$9),OR(클레임조회!$C$10="",ISNUMBER(SEARCH(클레임조회!$C$10,$C460&amp;" "&amp;$F460&amp;" "&amp;$G460&amp;" "&amp;$H460)))),COUNT(O$1:O459)+1,"")</f>
        <v/>
      </c>
      <c r="P460" s="0" t="str">
        <f aca="false">IF(AND(TRIM(C460)&lt;&gt;"",COUNTIF(C$2:C460,C460)=1),MAX(P$1:P459)+1,"")</f>
        <v/>
      </c>
      <c r="Q460" s="0" t="str">
        <f aca="false">IF(AND(TRIM(F460)&lt;&gt;"",COUNTIF(F$2:F460,F460)=1),MAX(Q$1:Q459)+1,"")</f>
        <v/>
      </c>
    </row>
    <row r="461" customFormat="false" ht="15" hidden="false" customHeight="false" outlineLevel="0" collapsed="false">
      <c r="A461" s="9"/>
      <c r="B461" s="10"/>
      <c r="C461" s="11"/>
      <c r="D461" s="11"/>
      <c r="E461" s="11"/>
      <c r="F461" s="11"/>
      <c r="G461" s="12"/>
      <c r="H461" s="12"/>
      <c r="I461" s="10"/>
      <c r="J461" s="12"/>
      <c r="K461" s="13" t="str">
        <f aca="false">IF(ISNUMBER(B461),YEAR(B461),"")</f>
        <v/>
      </c>
      <c r="L461" s="13" t="str">
        <f aca="false">IF(ISNUMBER(B461),MONTH(B461),"")</f>
        <v/>
      </c>
      <c r="M461" s="13" t="str">
        <f aca="false">IF(AND(ISNUMBER(B461),ISNUMBER(I461)),B461-I461+1,"")</f>
        <v/>
      </c>
      <c r="N461" s="14" t="str">
        <f aca="false">IF(B461="","",IF(M461="","시작일 미입력",IF(M461&lt;1,"시작일 이전(확인)",IF(M461=1,"1일째",IF(M461=2,"2일째",IF(M461=3,"3일째",IF(M461&lt;=7,"일주일 이내",IF(M461&lt;=14,"이주일 이내","15일 이후"))))))))</f>
        <v/>
      </c>
      <c r="O461" s="0" t="str">
        <f aca="false">IF(AND(COUNTA($A461:$J461)&gt;0,OR(클레임조회!$C$4="",AND(ISNUMBER($B461),$B461&gt;=클레임조회!$C$4)),OR(클레임조회!$C$5="",AND(ISNUMBER($B461),$B461&lt;=클레임조회!$C$5)),OR(클레임조회!$C$6="",$C461=클레임조회!$C$6),OR(클레임조회!$C$7="",$D461=클레임조회!$C$7),OR(클레임조회!$C$8="",$E461=클레임조회!$C$8),OR(클레임조회!$C$9="",$F461=클레임조회!$C$9),OR(클레임조회!$C$10="",ISNUMBER(SEARCH(클레임조회!$C$10,$C461&amp;" "&amp;$F461&amp;" "&amp;$G461&amp;" "&amp;$H461)))),COUNT(O$1:O460)+1,"")</f>
        <v/>
      </c>
      <c r="P461" s="0" t="str">
        <f aca="false">IF(AND(TRIM(C461)&lt;&gt;"",COUNTIF(C$2:C461,C461)=1),MAX(P$1:P460)+1,"")</f>
        <v/>
      </c>
      <c r="Q461" s="0" t="str">
        <f aca="false">IF(AND(TRIM(F461)&lt;&gt;"",COUNTIF(F$2:F461,F461)=1),MAX(Q$1:Q460)+1,"")</f>
        <v/>
      </c>
    </row>
    <row r="462" customFormat="false" ht="15" hidden="false" customHeight="false" outlineLevel="0" collapsed="false">
      <c r="A462" s="9"/>
      <c r="B462" s="10"/>
      <c r="C462" s="11"/>
      <c r="D462" s="11"/>
      <c r="E462" s="11"/>
      <c r="F462" s="11"/>
      <c r="G462" s="12"/>
      <c r="H462" s="12"/>
      <c r="I462" s="10"/>
      <c r="J462" s="12"/>
      <c r="K462" s="13" t="str">
        <f aca="false">IF(ISNUMBER(B462),YEAR(B462),"")</f>
        <v/>
      </c>
      <c r="L462" s="13" t="str">
        <f aca="false">IF(ISNUMBER(B462),MONTH(B462),"")</f>
        <v/>
      </c>
      <c r="M462" s="13" t="str">
        <f aca="false">IF(AND(ISNUMBER(B462),ISNUMBER(I462)),B462-I462+1,"")</f>
        <v/>
      </c>
      <c r="N462" s="14" t="str">
        <f aca="false">IF(B462="","",IF(M462="","시작일 미입력",IF(M462&lt;1,"시작일 이전(확인)",IF(M462=1,"1일째",IF(M462=2,"2일째",IF(M462=3,"3일째",IF(M462&lt;=7,"일주일 이내",IF(M462&lt;=14,"이주일 이내","15일 이후"))))))))</f>
        <v/>
      </c>
      <c r="O462" s="0" t="str">
        <f aca="false">IF(AND(COUNTA($A462:$J462)&gt;0,OR(클레임조회!$C$4="",AND(ISNUMBER($B462),$B462&gt;=클레임조회!$C$4)),OR(클레임조회!$C$5="",AND(ISNUMBER($B462),$B462&lt;=클레임조회!$C$5)),OR(클레임조회!$C$6="",$C462=클레임조회!$C$6),OR(클레임조회!$C$7="",$D462=클레임조회!$C$7),OR(클레임조회!$C$8="",$E462=클레임조회!$C$8),OR(클레임조회!$C$9="",$F462=클레임조회!$C$9),OR(클레임조회!$C$10="",ISNUMBER(SEARCH(클레임조회!$C$10,$C462&amp;" "&amp;$F462&amp;" "&amp;$G462&amp;" "&amp;$H462)))),COUNT(O$1:O461)+1,"")</f>
        <v/>
      </c>
      <c r="P462" s="0" t="str">
        <f aca="false">IF(AND(TRIM(C462)&lt;&gt;"",COUNTIF(C$2:C462,C462)=1),MAX(P$1:P461)+1,"")</f>
        <v/>
      </c>
      <c r="Q462" s="0" t="str">
        <f aca="false">IF(AND(TRIM(F462)&lt;&gt;"",COUNTIF(F$2:F462,F462)=1),MAX(Q$1:Q461)+1,"")</f>
        <v/>
      </c>
    </row>
    <row r="463" customFormat="false" ht="15" hidden="false" customHeight="false" outlineLevel="0" collapsed="false">
      <c r="A463" s="9"/>
      <c r="B463" s="10"/>
      <c r="C463" s="11"/>
      <c r="D463" s="11"/>
      <c r="E463" s="11"/>
      <c r="F463" s="11"/>
      <c r="G463" s="12"/>
      <c r="H463" s="12"/>
      <c r="I463" s="10"/>
      <c r="J463" s="12"/>
      <c r="K463" s="13" t="str">
        <f aca="false">IF(ISNUMBER(B463),YEAR(B463),"")</f>
        <v/>
      </c>
      <c r="L463" s="13" t="str">
        <f aca="false">IF(ISNUMBER(B463),MONTH(B463),"")</f>
        <v/>
      </c>
      <c r="M463" s="13" t="str">
        <f aca="false">IF(AND(ISNUMBER(B463),ISNUMBER(I463)),B463-I463+1,"")</f>
        <v/>
      </c>
      <c r="N463" s="14" t="str">
        <f aca="false">IF(B463="","",IF(M463="","시작일 미입력",IF(M463&lt;1,"시작일 이전(확인)",IF(M463=1,"1일째",IF(M463=2,"2일째",IF(M463=3,"3일째",IF(M463&lt;=7,"일주일 이내",IF(M463&lt;=14,"이주일 이내","15일 이후"))))))))</f>
        <v/>
      </c>
      <c r="O463" s="0" t="str">
        <f aca="false">IF(AND(COUNTA($A463:$J463)&gt;0,OR(클레임조회!$C$4="",AND(ISNUMBER($B463),$B463&gt;=클레임조회!$C$4)),OR(클레임조회!$C$5="",AND(ISNUMBER($B463),$B463&lt;=클레임조회!$C$5)),OR(클레임조회!$C$6="",$C463=클레임조회!$C$6),OR(클레임조회!$C$7="",$D463=클레임조회!$C$7),OR(클레임조회!$C$8="",$E463=클레임조회!$C$8),OR(클레임조회!$C$9="",$F463=클레임조회!$C$9),OR(클레임조회!$C$10="",ISNUMBER(SEARCH(클레임조회!$C$10,$C463&amp;" "&amp;$F463&amp;" "&amp;$G463&amp;" "&amp;$H463)))),COUNT(O$1:O462)+1,"")</f>
        <v/>
      </c>
      <c r="P463" s="0" t="str">
        <f aca="false">IF(AND(TRIM(C463)&lt;&gt;"",COUNTIF(C$2:C463,C463)=1),MAX(P$1:P462)+1,"")</f>
        <v/>
      </c>
      <c r="Q463" s="0" t="str">
        <f aca="false">IF(AND(TRIM(F463)&lt;&gt;"",COUNTIF(F$2:F463,F463)=1),MAX(Q$1:Q462)+1,"")</f>
        <v/>
      </c>
    </row>
    <row r="464" customFormat="false" ht="15" hidden="false" customHeight="false" outlineLevel="0" collapsed="false">
      <c r="A464" s="9"/>
      <c r="B464" s="10"/>
      <c r="C464" s="11"/>
      <c r="D464" s="11"/>
      <c r="E464" s="11"/>
      <c r="F464" s="11"/>
      <c r="G464" s="12"/>
      <c r="H464" s="12"/>
      <c r="I464" s="10"/>
      <c r="J464" s="12"/>
      <c r="K464" s="13" t="str">
        <f aca="false">IF(ISNUMBER(B464),YEAR(B464),"")</f>
        <v/>
      </c>
      <c r="L464" s="13" t="str">
        <f aca="false">IF(ISNUMBER(B464),MONTH(B464),"")</f>
        <v/>
      </c>
      <c r="M464" s="13" t="str">
        <f aca="false">IF(AND(ISNUMBER(B464),ISNUMBER(I464)),B464-I464+1,"")</f>
        <v/>
      </c>
      <c r="N464" s="14" t="str">
        <f aca="false">IF(B464="","",IF(M464="","시작일 미입력",IF(M464&lt;1,"시작일 이전(확인)",IF(M464=1,"1일째",IF(M464=2,"2일째",IF(M464=3,"3일째",IF(M464&lt;=7,"일주일 이내",IF(M464&lt;=14,"이주일 이내","15일 이후"))))))))</f>
        <v/>
      </c>
      <c r="O464" s="0" t="str">
        <f aca="false">IF(AND(COUNTA($A464:$J464)&gt;0,OR(클레임조회!$C$4="",AND(ISNUMBER($B464),$B464&gt;=클레임조회!$C$4)),OR(클레임조회!$C$5="",AND(ISNUMBER($B464),$B464&lt;=클레임조회!$C$5)),OR(클레임조회!$C$6="",$C464=클레임조회!$C$6),OR(클레임조회!$C$7="",$D464=클레임조회!$C$7),OR(클레임조회!$C$8="",$E464=클레임조회!$C$8),OR(클레임조회!$C$9="",$F464=클레임조회!$C$9),OR(클레임조회!$C$10="",ISNUMBER(SEARCH(클레임조회!$C$10,$C464&amp;" "&amp;$F464&amp;" "&amp;$G464&amp;" "&amp;$H464)))),COUNT(O$1:O463)+1,"")</f>
        <v/>
      </c>
      <c r="P464" s="0" t="str">
        <f aca="false">IF(AND(TRIM(C464)&lt;&gt;"",COUNTIF(C$2:C464,C464)=1),MAX(P$1:P463)+1,"")</f>
        <v/>
      </c>
      <c r="Q464" s="0" t="str">
        <f aca="false">IF(AND(TRIM(F464)&lt;&gt;"",COUNTIF(F$2:F464,F464)=1),MAX(Q$1:Q463)+1,"")</f>
        <v/>
      </c>
    </row>
    <row r="465" customFormat="false" ht="15" hidden="false" customHeight="false" outlineLevel="0" collapsed="false">
      <c r="A465" s="9"/>
      <c r="B465" s="10"/>
      <c r="C465" s="11"/>
      <c r="D465" s="11"/>
      <c r="E465" s="11"/>
      <c r="F465" s="11"/>
      <c r="G465" s="12"/>
      <c r="H465" s="12"/>
      <c r="I465" s="10"/>
      <c r="J465" s="12"/>
      <c r="K465" s="13" t="str">
        <f aca="false">IF(ISNUMBER(B465),YEAR(B465),"")</f>
        <v/>
      </c>
      <c r="L465" s="13" t="str">
        <f aca="false">IF(ISNUMBER(B465),MONTH(B465),"")</f>
        <v/>
      </c>
      <c r="M465" s="13" t="str">
        <f aca="false">IF(AND(ISNUMBER(B465),ISNUMBER(I465)),B465-I465+1,"")</f>
        <v/>
      </c>
      <c r="N465" s="14" t="str">
        <f aca="false">IF(B465="","",IF(M465="","시작일 미입력",IF(M465&lt;1,"시작일 이전(확인)",IF(M465=1,"1일째",IF(M465=2,"2일째",IF(M465=3,"3일째",IF(M465&lt;=7,"일주일 이내",IF(M465&lt;=14,"이주일 이내","15일 이후"))))))))</f>
        <v/>
      </c>
      <c r="O465" s="0" t="str">
        <f aca="false">IF(AND(COUNTA($A465:$J465)&gt;0,OR(클레임조회!$C$4="",AND(ISNUMBER($B465),$B465&gt;=클레임조회!$C$4)),OR(클레임조회!$C$5="",AND(ISNUMBER($B465),$B465&lt;=클레임조회!$C$5)),OR(클레임조회!$C$6="",$C465=클레임조회!$C$6),OR(클레임조회!$C$7="",$D465=클레임조회!$C$7),OR(클레임조회!$C$8="",$E465=클레임조회!$C$8),OR(클레임조회!$C$9="",$F465=클레임조회!$C$9),OR(클레임조회!$C$10="",ISNUMBER(SEARCH(클레임조회!$C$10,$C465&amp;" "&amp;$F465&amp;" "&amp;$G465&amp;" "&amp;$H465)))),COUNT(O$1:O464)+1,"")</f>
        <v/>
      </c>
      <c r="P465" s="0" t="str">
        <f aca="false">IF(AND(TRIM(C465)&lt;&gt;"",COUNTIF(C$2:C465,C465)=1),MAX(P$1:P464)+1,"")</f>
        <v/>
      </c>
      <c r="Q465" s="0" t="str">
        <f aca="false">IF(AND(TRIM(F465)&lt;&gt;"",COUNTIF(F$2:F465,F465)=1),MAX(Q$1:Q464)+1,"")</f>
        <v/>
      </c>
    </row>
    <row r="466" customFormat="false" ht="15" hidden="false" customHeight="false" outlineLevel="0" collapsed="false">
      <c r="A466" s="9"/>
      <c r="B466" s="10"/>
      <c r="C466" s="11"/>
      <c r="D466" s="11"/>
      <c r="E466" s="11"/>
      <c r="F466" s="11"/>
      <c r="G466" s="12"/>
      <c r="H466" s="12"/>
      <c r="I466" s="10"/>
      <c r="J466" s="12"/>
      <c r="K466" s="13" t="str">
        <f aca="false">IF(ISNUMBER(B466),YEAR(B466),"")</f>
        <v/>
      </c>
      <c r="L466" s="13" t="str">
        <f aca="false">IF(ISNUMBER(B466),MONTH(B466),"")</f>
        <v/>
      </c>
      <c r="M466" s="13" t="str">
        <f aca="false">IF(AND(ISNUMBER(B466),ISNUMBER(I466)),B466-I466+1,"")</f>
        <v/>
      </c>
      <c r="N466" s="14" t="str">
        <f aca="false">IF(B466="","",IF(M466="","시작일 미입력",IF(M466&lt;1,"시작일 이전(확인)",IF(M466=1,"1일째",IF(M466=2,"2일째",IF(M466=3,"3일째",IF(M466&lt;=7,"일주일 이내",IF(M466&lt;=14,"이주일 이내","15일 이후"))))))))</f>
        <v/>
      </c>
      <c r="O466" s="0" t="str">
        <f aca="false">IF(AND(COUNTA($A466:$J466)&gt;0,OR(클레임조회!$C$4="",AND(ISNUMBER($B466),$B466&gt;=클레임조회!$C$4)),OR(클레임조회!$C$5="",AND(ISNUMBER($B466),$B466&lt;=클레임조회!$C$5)),OR(클레임조회!$C$6="",$C466=클레임조회!$C$6),OR(클레임조회!$C$7="",$D466=클레임조회!$C$7),OR(클레임조회!$C$8="",$E466=클레임조회!$C$8),OR(클레임조회!$C$9="",$F466=클레임조회!$C$9),OR(클레임조회!$C$10="",ISNUMBER(SEARCH(클레임조회!$C$10,$C466&amp;" "&amp;$F466&amp;" "&amp;$G466&amp;" "&amp;$H466)))),COUNT(O$1:O465)+1,"")</f>
        <v/>
      </c>
      <c r="P466" s="0" t="str">
        <f aca="false">IF(AND(TRIM(C466)&lt;&gt;"",COUNTIF(C$2:C466,C466)=1),MAX(P$1:P465)+1,"")</f>
        <v/>
      </c>
      <c r="Q466" s="0" t="str">
        <f aca="false">IF(AND(TRIM(F466)&lt;&gt;"",COUNTIF(F$2:F466,F466)=1),MAX(Q$1:Q465)+1,"")</f>
        <v/>
      </c>
    </row>
    <row r="467" customFormat="false" ht="15" hidden="false" customHeight="false" outlineLevel="0" collapsed="false">
      <c r="A467" s="9"/>
      <c r="B467" s="10"/>
      <c r="C467" s="11"/>
      <c r="D467" s="11"/>
      <c r="E467" s="11"/>
      <c r="F467" s="11"/>
      <c r="G467" s="12"/>
      <c r="H467" s="12"/>
      <c r="I467" s="10"/>
      <c r="J467" s="12"/>
      <c r="K467" s="13" t="str">
        <f aca="false">IF(ISNUMBER(B467),YEAR(B467),"")</f>
        <v/>
      </c>
      <c r="L467" s="13" t="str">
        <f aca="false">IF(ISNUMBER(B467),MONTH(B467),"")</f>
        <v/>
      </c>
      <c r="M467" s="13" t="str">
        <f aca="false">IF(AND(ISNUMBER(B467),ISNUMBER(I467)),B467-I467+1,"")</f>
        <v/>
      </c>
      <c r="N467" s="14" t="str">
        <f aca="false">IF(B467="","",IF(M467="","시작일 미입력",IF(M467&lt;1,"시작일 이전(확인)",IF(M467=1,"1일째",IF(M467=2,"2일째",IF(M467=3,"3일째",IF(M467&lt;=7,"일주일 이내",IF(M467&lt;=14,"이주일 이내","15일 이후"))))))))</f>
        <v/>
      </c>
      <c r="O467" s="0" t="str">
        <f aca="false">IF(AND(COUNTA($A467:$J467)&gt;0,OR(클레임조회!$C$4="",AND(ISNUMBER($B467),$B467&gt;=클레임조회!$C$4)),OR(클레임조회!$C$5="",AND(ISNUMBER($B467),$B467&lt;=클레임조회!$C$5)),OR(클레임조회!$C$6="",$C467=클레임조회!$C$6),OR(클레임조회!$C$7="",$D467=클레임조회!$C$7),OR(클레임조회!$C$8="",$E467=클레임조회!$C$8),OR(클레임조회!$C$9="",$F467=클레임조회!$C$9),OR(클레임조회!$C$10="",ISNUMBER(SEARCH(클레임조회!$C$10,$C467&amp;" "&amp;$F467&amp;" "&amp;$G467&amp;" "&amp;$H467)))),COUNT(O$1:O466)+1,"")</f>
        <v/>
      </c>
      <c r="P467" s="0" t="str">
        <f aca="false">IF(AND(TRIM(C467)&lt;&gt;"",COUNTIF(C$2:C467,C467)=1),MAX(P$1:P466)+1,"")</f>
        <v/>
      </c>
      <c r="Q467" s="0" t="str">
        <f aca="false">IF(AND(TRIM(F467)&lt;&gt;"",COUNTIF(F$2:F467,F467)=1),MAX(Q$1:Q466)+1,"")</f>
        <v/>
      </c>
    </row>
    <row r="468" customFormat="false" ht="15" hidden="false" customHeight="false" outlineLevel="0" collapsed="false">
      <c r="A468" s="9"/>
      <c r="B468" s="10"/>
      <c r="C468" s="11"/>
      <c r="D468" s="11"/>
      <c r="E468" s="11"/>
      <c r="F468" s="11"/>
      <c r="G468" s="12"/>
      <c r="H468" s="12"/>
      <c r="I468" s="10"/>
      <c r="J468" s="12"/>
      <c r="K468" s="13" t="str">
        <f aca="false">IF(ISNUMBER(B468),YEAR(B468),"")</f>
        <v/>
      </c>
      <c r="L468" s="13" t="str">
        <f aca="false">IF(ISNUMBER(B468),MONTH(B468),"")</f>
        <v/>
      </c>
      <c r="M468" s="13" t="str">
        <f aca="false">IF(AND(ISNUMBER(B468),ISNUMBER(I468)),B468-I468+1,"")</f>
        <v/>
      </c>
      <c r="N468" s="14" t="str">
        <f aca="false">IF(B468="","",IF(M468="","시작일 미입력",IF(M468&lt;1,"시작일 이전(확인)",IF(M468=1,"1일째",IF(M468=2,"2일째",IF(M468=3,"3일째",IF(M468&lt;=7,"일주일 이내",IF(M468&lt;=14,"이주일 이내","15일 이후"))))))))</f>
        <v/>
      </c>
      <c r="O468" s="0" t="str">
        <f aca="false">IF(AND(COUNTA($A468:$J468)&gt;0,OR(클레임조회!$C$4="",AND(ISNUMBER($B468),$B468&gt;=클레임조회!$C$4)),OR(클레임조회!$C$5="",AND(ISNUMBER($B468),$B468&lt;=클레임조회!$C$5)),OR(클레임조회!$C$6="",$C468=클레임조회!$C$6),OR(클레임조회!$C$7="",$D468=클레임조회!$C$7),OR(클레임조회!$C$8="",$E468=클레임조회!$C$8),OR(클레임조회!$C$9="",$F468=클레임조회!$C$9),OR(클레임조회!$C$10="",ISNUMBER(SEARCH(클레임조회!$C$10,$C468&amp;" "&amp;$F468&amp;" "&amp;$G468&amp;" "&amp;$H468)))),COUNT(O$1:O467)+1,"")</f>
        <v/>
      </c>
      <c r="P468" s="0" t="str">
        <f aca="false">IF(AND(TRIM(C468)&lt;&gt;"",COUNTIF(C$2:C468,C468)=1),MAX(P$1:P467)+1,"")</f>
        <v/>
      </c>
      <c r="Q468" s="0" t="str">
        <f aca="false">IF(AND(TRIM(F468)&lt;&gt;"",COUNTIF(F$2:F468,F468)=1),MAX(Q$1:Q467)+1,"")</f>
        <v/>
      </c>
    </row>
    <row r="469" customFormat="false" ht="15" hidden="false" customHeight="false" outlineLevel="0" collapsed="false">
      <c r="A469" s="9"/>
      <c r="B469" s="10"/>
      <c r="C469" s="11"/>
      <c r="D469" s="11"/>
      <c r="E469" s="11"/>
      <c r="F469" s="11"/>
      <c r="G469" s="12"/>
      <c r="H469" s="12"/>
      <c r="I469" s="10"/>
      <c r="J469" s="12"/>
      <c r="K469" s="13" t="str">
        <f aca="false">IF(ISNUMBER(B469),YEAR(B469),"")</f>
        <v/>
      </c>
      <c r="L469" s="13" t="str">
        <f aca="false">IF(ISNUMBER(B469),MONTH(B469),"")</f>
        <v/>
      </c>
      <c r="M469" s="13" t="str">
        <f aca="false">IF(AND(ISNUMBER(B469),ISNUMBER(I469)),B469-I469+1,"")</f>
        <v/>
      </c>
      <c r="N469" s="14" t="str">
        <f aca="false">IF(B469="","",IF(M469="","시작일 미입력",IF(M469&lt;1,"시작일 이전(확인)",IF(M469=1,"1일째",IF(M469=2,"2일째",IF(M469=3,"3일째",IF(M469&lt;=7,"일주일 이내",IF(M469&lt;=14,"이주일 이내","15일 이후"))))))))</f>
        <v/>
      </c>
      <c r="O469" s="0" t="str">
        <f aca="false">IF(AND(COUNTA($A469:$J469)&gt;0,OR(클레임조회!$C$4="",AND(ISNUMBER($B469),$B469&gt;=클레임조회!$C$4)),OR(클레임조회!$C$5="",AND(ISNUMBER($B469),$B469&lt;=클레임조회!$C$5)),OR(클레임조회!$C$6="",$C469=클레임조회!$C$6),OR(클레임조회!$C$7="",$D469=클레임조회!$C$7),OR(클레임조회!$C$8="",$E469=클레임조회!$C$8),OR(클레임조회!$C$9="",$F469=클레임조회!$C$9),OR(클레임조회!$C$10="",ISNUMBER(SEARCH(클레임조회!$C$10,$C469&amp;" "&amp;$F469&amp;" "&amp;$G469&amp;" "&amp;$H469)))),COUNT(O$1:O468)+1,"")</f>
        <v/>
      </c>
      <c r="P469" s="0" t="str">
        <f aca="false">IF(AND(TRIM(C469)&lt;&gt;"",COUNTIF(C$2:C469,C469)=1),MAX(P$1:P468)+1,"")</f>
        <v/>
      </c>
      <c r="Q469" s="0" t="str">
        <f aca="false">IF(AND(TRIM(F469)&lt;&gt;"",COUNTIF(F$2:F469,F469)=1),MAX(Q$1:Q468)+1,"")</f>
        <v/>
      </c>
    </row>
    <row r="470" customFormat="false" ht="15" hidden="false" customHeight="false" outlineLevel="0" collapsed="false">
      <c r="A470" s="9"/>
      <c r="B470" s="10"/>
      <c r="C470" s="11"/>
      <c r="D470" s="11"/>
      <c r="E470" s="11"/>
      <c r="F470" s="11"/>
      <c r="G470" s="12"/>
      <c r="H470" s="12"/>
      <c r="I470" s="10"/>
      <c r="J470" s="12"/>
      <c r="K470" s="13" t="str">
        <f aca="false">IF(ISNUMBER(B470),YEAR(B470),"")</f>
        <v/>
      </c>
      <c r="L470" s="13" t="str">
        <f aca="false">IF(ISNUMBER(B470),MONTH(B470),"")</f>
        <v/>
      </c>
      <c r="M470" s="13" t="str">
        <f aca="false">IF(AND(ISNUMBER(B470),ISNUMBER(I470)),B470-I470+1,"")</f>
        <v/>
      </c>
      <c r="N470" s="14" t="str">
        <f aca="false">IF(B470="","",IF(M470="","시작일 미입력",IF(M470&lt;1,"시작일 이전(확인)",IF(M470=1,"1일째",IF(M470=2,"2일째",IF(M470=3,"3일째",IF(M470&lt;=7,"일주일 이내",IF(M470&lt;=14,"이주일 이내","15일 이후"))))))))</f>
        <v/>
      </c>
      <c r="O470" s="0" t="str">
        <f aca="false">IF(AND(COUNTA($A470:$J470)&gt;0,OR(클레임조회!$C$4="",AND(ISNUMBER($B470),$B470&gt;=클레임조회!$C$4)),OR(클레임조회!$C$5="",AND(ISNUMBER($B470),$B470&lt;=클레임조회!$C$5)),OR(클레임조회!$C$6="",$C470=클레임조회!$C$6),OR(클레임조회!$C$7="",$D470=클레임조회!$C$7),OR(클레임조회!$C$8="",$E470=클레임조회!$C$8),OR(클레임조회!$C$9="",$F470=클레임조회!$C$9),OR(클레임조회!$C$10="",ISNUMBER(SEARCH(클레임조회!$C$10,$C470&amp;" "&amp;$F470&amp;" "&amp;$G470&amp;" "&amp;$H470)))),COUNT(O$1:O469)+1,"")</f>
        <v/>
      </c>
      <c r="P470" s="0" t="str">
        <f aca="false">IF(AND(TRIM(C470)&lt;&gt;"",COUNTIF(C$2:C470,C470)=1),MAX(P$1:P469)+1,"")</f>
        <v/>
      </c>
      <c r="Q470" s="0" t="str">
        <f aca="false">IF(AND(TRIM(F470)&lt;&gt;"",COUNTIF(F$2:F470,F470)=1),MAX(Q$1:Q469)+1,"")</f>
        <v/>
      </c>
    </row>
    <row r="471" customFormat="false" ht="15" hidden="false" customHeight="false" outlineLevel="0" collapsed="false">
      <c r="A471" s="9"/>
      <c r="B471" s="10"/>
      <c r="C471" s="11"/>
      <c r="D471" s="11"/>
      <c r="E471" s="11"/>
      <c r="F471" s="11"/>
      <c r="G471" s="12"/>
      <c r="H471" s="12"/>
      <c r="I471" s="10"/>
      <c r="J471" s="12"/>
      <c r="K471" s="13" t="str">
        <f aca="false">IF(ISNUMBER(B471),YEAR(B471),"")</f>
        <v/>
      </c>
      <c r="L471" s="13" t="str">
        <f aca="false">IF(ISNUMBER(B471),MONTH(B471),"")</f>
        <v/>
      </c>
      <c r="M471" s="13" t="str">
        <f aca="false">IF(AND(ISNUMBER(B471),ISNUMBER(I471)),B471-I471+1,"")</f>
        <v/>
      </c>
      <c r="N471" s="14" t="str">
        <f aca="false">IF(B471="","",IF(M471="","시작일 미입력",IF(M471&lt;1,"시작일 이전(확인)",IF(M471=1,"1일째",IF(M471=2,"2일째",IF(M471=3,"3일째",IF(M471&lt;=7,"일주일 이내",IF(M471&lt;=14,"이주일 이내","15일 이후"))))))))</f>
        <v/>
      </c>
      <c r="O471" s="0" t="str">
        <f aca="false">IF(AND(COUNTA($A471:$J471)&gt;0,OR(클레임조회!$C$4="",AND(ISNUMBER($B471),$B471&gt;=클레임조회!$C$4)),OR(클레임조회!$C$5="",AND(ISNUMBER($B471),$B471&lt;=클레임조회!$C$5)),OR(클레임조회!$C$6="",$C471=클레임조회!$C$6),OR(클레임조회!$C$7="",$D471=클레임조회!$C$7),OR(클레임조회!$C$8="",$E471=클레임조회!$C$8),OR(클레임조회!$C$9="",$F471=클레임조회!$C$9),OR(클레임조회!$C$10="",ISNUMBER(SEARCH(클레임조회!$C$10,$C471&amp;" "&amp;$F471&amp;" "&amp;$G471&amp;" "&amp;$H471)))),COUNT(O$1:O470)+1,"")</f>
        <v/>
      </c>
      <c r="P471" s="0" t="str">
        <f aca="false">IF(AND(TRIM(C471)&lt;&gt;"",COUNTIF(C$2:C471,C471)=1),MAX(P$1:P470)+1,"")</f>
        <v/>
      </c>
      <c r="Q471" s="0" t="str">
        <f aca="false">IF(AND(TRIM(F471)&lt;&gt;"",COUNTIF(F$2:F471,F471)=1),MAX(Q$1:Q470)+1,"")</f>
        <v/>
      </c>
    </row>
    <row r="472" customFormat="false" ht="15" hidden="false" customHeight="false" outlineLevel="0" collapsed="false">
      <c r="A472" s="9"/>
      <c r="B472" s="10"/>
      <c r="C472" s="11"/>
      <c r="D472" s="11"/>
      <c r="E472" s="11"/>
      <c r="F472" s="11"/>
      <c r="G472" s="12"/>
      <c r="H472" s="12"/>
      <c r="I472" s="10"/>
      <c r="J472" s="12"/>
      <c r="K472" s="13" t="str">
        <f aca="false">IF(ISNUMBER(B472),YEAR(B472),"")</f>
        <v/>
      </c>
      <c r="L472" s="13" t="str">
        <f aca="false">IF(ISNUMBER(B472),MONTH(B472),"")</f>
        <v/>
      </c>
      <c r="M472" s="13" t="str">
        <f aca="false">IF(AND(ISNUMBER(B472),ISNUMBER(I472)),B472-I472+1,"")</f>
        <v/>
      </c>
      <c r="N472" s="14" t="str">
        <f aca="false">IF(B472="","",IF(M472="","시작일 미입력",IF(M472&lt;1,"시작일 이전(확인)",IF(M472=1,"1일째",IF(M472=2,"2일째",IF(M472=3,"3일째",IF(M472&lt;=7,"일주일 이내",IF(M472&lt;=14,"이주일 이내","15일 이후"))))))))</f>
        <v/>
      </c>
      <c r="O472" s="0" t="str">
        <f aca="false">IF(AND(COUNTA($A472:$J472)&gt;0,OR(클레임조회!$C$4="",AND(ISNUMBER($B472),$B472&gt;=클레임조회!$C$4)),OR(클레임조회!$C$5="",AND(ISNUMBER($B472),$B472&lt;=클레임조회!$C$5)),OR(클레임조회!$C$6="",$C472=클레임조회!$C$6),OR(클레임조회!$C$7="",$D472=클레임조회!$C$7),OR(클레임조회!$C$8="",$E472=클레임조회!$C$8),OR(클레임조회!$C$9="",$F472=클레임조회!$C$9),OR(클레임조회!$C$10="",ISNUMBER(SEARCH(클레임조회!$C$10,$C472&amp;" "&amp;$F472&amp;" "&amp;$G472&amp;" "&amp;$H472)))),COUNT(O$1:O471)+1,"")</f>
        <v/>
      </c>
      <c r="P472" s="0" t="str">
        <f aca="false">IF(AND(TRIM(C472)&lt;&gt;"",COUNTIF(C$2:C472,C472)=1),MAX(P$1:P471)+1,"")</f>
        <v/>
      </c>
      <c r="Q472" s="0" t="str">
        <f aca="false">IF(AND(TRIM(F472)&lt;&gt;"",COUNTIF(F$2:F472,F472)=1),MAX(Q$1:Q471)+1,"")</f>
        <v/>
      </c>
    </row>
    <row r="473" customFormat="false" ht="15" hidden="false" customHeight="false" outlineLevel="0" collapsed="false">
      <c r="A473" s="9"/>
      <c r="B473" s="10"/>
      <c r="C473" s="11"/>
      <c r="D473" s="11"/>
      <c r="E473" s="11"/>
      <c r="F473" s="11"/>
      <c r="G473" s="12"/>
      <c r="H473" s="12"/>
      <c r="I473" s="10"/>
      <c r="J473" s="12"/>
      <c r="K473" s="13" t="str">
        <f aca="false">IF(ISNUMBER(B473),YEAR(B473),"")</f>
        <v/>
      </c>
      <c r="L473" s="13" t="str">
        <f aca="false">IF(ISNUMBER(B473),MONTH(B473),"")</f>
        <v/>
      </c>
      <c r="M473" s="13" t="str">
        <f aca="false">IF(AND(ISNUMBER(B473),ISNUMBER(I473)),B473-I473+1,"")</f>
        <v/>
      </c>
      <c r="N473" s="14" t="str">
        <f aca="false">IF(B473="","",IF(M473="","시작일 미입력",IF(M473&lt;1,"시작일 이전(확인)",IF(M473=1,"1일째",IF(M473=2,"2일째",IF(M473=3,"3일째",IF(M473&lt;=7,"일주일 이내",IF(M473&lt;=14,"이주일 이내","15일 이후"))))))))</f>
        <v/>
      </c>
      <c r="O473" s="0" t="str">
        <f aca="false">IF(AND(COUNTA($A473:$J473)&gt;0,OR(클레임조회!$C$4="",AND(ISNUMBER($B473),$B473&gt;=클레임조회!$C$4)),OR(클레임조회!$C$5="",AND(ISNUMBER($B473),$B473&lt;=클레임조회!$C$5)),OR(클레임조회!$C$6="",$C473=클레임조회!$C$6),OR(클레임조회!$C$7="",$D473=클레임조회!$C$7),OR(클레임조회!$C$8="",$E473=클레임조회!$C$8),OR(클레임조회!$C$9="",$F473=클레임조회!$C$9),OR(클레임조회!$C$10="",ISNUMBER(SEARCH(클레임조회!$C$10,$C473&amp;" "&amp;$F473&amp;" "&amp;$G473&amp;" "&amp;$H473)))),COUNT(O$1:O472)+1,"")</f>
        <v/>
      </c>
      <c r="P473" s="0" t="str">
        <f aca="false">IF(AND(TRIM(C473)&lt;&gt;"",COUNTIF(C$2:C473,C473)=1),MAX(P$1:P472)+1,"")</f>
        <v/>
      </c>
      <c r="Q473" s="0" t="str">
        <f aca="false">IF(AND(TRIM(F473)&lt;&gt;"",COUNTIF(F$2:F473,F473)=1),MAX(Q$1:Q472)+1,"")</f>
        <v/>
      </c>
    </row>
    <row r="474" customFormat="false" ht="15" hidden="false" customHeight="false" outlineLevel="0" collapsed="false">
      <c r="A474" s="9"/>
      <c r="B474" s="10"/>
      <c r="C474" s="11"/>
      <c r="D474" s="11"/>
      <c r="E474" s="11"/>
      <c r="F474" s="11"/>
      <c r="G474" s="12"/>
      <c r="H474" s="12"/>
      <c r="I474" s="10"/>
      <c r="J474" s="12"/>
      <c r="K474" s="13" t="str">
        <f aca="false">IF(ISNUMBER(B474),YEAR(B474),"")</f>
        <v/>
      </c>
      <c r="L474" s="13" t="str">
        <f aca="false">IF(ISNUMBER(B474),MONTH(B474),"")</f>
        <v/>
      </c>
      <c r="M474" s="13" t="str">
        <f aca="false">IF(AND(ISNUMBER(B474),ISNUMBER(I474)),B474-I474+1,"")</f>
        <v/>
      </c>
      <c r="N474" s="14" t="str">
        <f aca="false">IF(B474="","",IF(M474="","시작일 미입력",IF(M474&lt;1,"시작일 이전(확인)",IF(M474=1,"1일째",IF(M474=2,"2일째",IF(M474=3,"3일째",IF(M474&lt;=7,"일주일 이내",IF(M474&lt;=14,"이주일 이내","15일 이후"))))))))</f>
        <v/>
      </c>
      <c r="O474" s="0" t="str">
        <f aca="false">IF(AND(COUNTA($A474:$J474)&gt;0,OR(클레임조회!$C$4="",AND(ISNUMBER($B474),$B474&gt;=클레임조회!$C$4)),OR(클레임조회!$C$5="",AND(ISNUMBER($B474),$B474&lt;=클레임조회!$C$5)),OR(클레임조회!$C$6="",$C474=클레임조회!$C$6),OR(클레임조회!$C$7="",$D474=클레임조회!$C$7),OR(클레임조회!$C$8="",$E474=클레임조회!$C$8),OR(클레임조회!$C$9="",$F474=클레임조회!$C$9),OR(클레임조회!$C$10="",ISNUMBER(SEARCH(클레임조회!$C$10,$C474&amp;" "&amp;$F474&amp;" "&amp;$G474&amp;" "&amp;$H474)))),COUNT(O$1:O473)+1,"")</f>
        <v/>
      </c>
      <c r="P474" s="0" t="str">
        <f aca="false">IF(AND(TRIM(C474)&lt;&gt;"",COUNTIF(C$2:C474,C474)=1),MAX(P$1:P473)+1,"")</f>
        <v/>
      </c>
      <c r="Q474" s="0" t="str">
        <f aca="false">IF(AND(TRIM(F474)&lt;&gt;"",COUNTIF(F$2:F474,F474)=1),MAX(Q$1:Q473)+1,"")</f>
        <v/>
      </c>
    </row>
    <row r="475" customFormat="false" ht="15" hidden="false" customHeight="false" outlineLevel="0" collapsed="false">
      <c r="A475" s="9"/>
      <c r="B475" s="10"/>
      <c r="C475" s="11"/>
      <c r="D475" s="11"/>
      <c r="E475" s="11"/>
      <c r="F475" s="11"/>
      <c r="G475" s="12"/>
      <c r="H475" s="12"/>
      <c r="I475" s="10"/>
      <c r="J475" s="12"/>
      <c r="K475" s="13" t="str">
        <f aca="false">IF(ISNUMBER(B475),YEAR(B475),"")</f>
        <v/>
      </c>
      <c r="L475" s="13" t="str">
        <f aca="false">IF(ISNUMBER(B475),MONTH(B475),"")</f>
        <v/>
      </c>
      <c r="M475" s="13" t="str">
        <f aca="false">IF(AND(ISNUMBER(B475),ISNUMBER(I475)),B475-I475+1,"")</f>
        <v/>
      </c>
      <c r="N475" s="14" t="str">
        <f aca="false">IF(B475="","",IF(M475="","시작일 미입력",IF(M475&lt;1,"시작일 이전(확인)",IF(M475=1,"1일째",IF(M475=2,"2일째",IF(M475=3,"3일째",IF(M475&lt;=7,"일주일 이내",IF(M475&lt;=14,"이주일 이내","15일 이후"))))))))</f>
        <v/>
      </c>
      <c r="O475" s="0" t="str">
        <f aca="false">IF(AND(COUNTA($A475:$J475)&gt;0,OR(클레임조회!$C$4="",AND(ISNUMBER($B475),$B475&gt;=클레임조회!$C$4)),OR(클레임조회!$C$5="",AND(ISNUMBER($B475),$B475&lt;=클레임조회!$C$5)),OR(클레임조회!$C$6="",$C475=클레임조회!$C$6),OR(클레임조회!$C$7="",$D475=클레임조회!$C$7),OR(클레임조회!$C$8="",$E475=클레임조회!$C$8),OR(클레임조회!$C$9="",$F475=클레임조회!$C$9),OR(클레임조회!$C$10="",ISNUMBER(SEARCH(클레임조회!$C$10,$C475&amp;" "&amp;$F475&amp;" "&amp;$G475&amp;" "&amp;$H475)))),COUNT(O$1:O474)+1,"")</f>
        <v/>
      </c>
      <c r="P475" s="0" t="str">
        <f aca="false">IF(AND(TRIM(C475)&lt;&gt;"",COUNTIF(C$2:C475,C475)=1),MAX(P$1:P474)+1,"")</f>
        <v/>
      </c>
      <c r="Q475" s="0" t="str">
        <f aca="false">IF(AND(TRIM(F475)&lt;&gt;"",COUNTIF(F$2:F475,F475)=1),MAX(Q$1:Q474)+1,"")</f>
        <v/>
      </c>
    </row>
    <row r="476" customFormat="false" ht="15" hidden="false" customHeight="false" outlineLevel="0" collapsed="false">
      <c r="A476" s="9"/>
      <c r="B476" s="10"/>
      <c r="C476" s="11"/>
      <c r="D476" s="11"/>
      <c r="E476" s="11"/>
      <c r="F476" s="11"/>
      <c r="G476" s="12"/>
      <c r="H476" s="12"/>
      <c r="I476" s="10"/>
      <c r="J476" s="12"/>
      <c r="K476" s="13" t="str">
        <f aca="false">IF(ISNUMBER(B476),YEAR(B476),"")</f>
        <v/>
      </c>
      <c r="L476" s="13" t="str">
        <f aca="false">IF(ISNUMBER(B476),MONTH(B476),"")</f>
        <v/>
      </c>
      <c r="M476" s="13" t="str">
        <f aca="false">IF(AND(ISNUMBER(B476),ISNUMBER(I476)),B476-I476+1,"")</f>
        <v/>
      </c>
      <c r="N476" s="14" t="str">
        <f aca="false">IF(B476="","",IF(M476="","시작일 미입력",IF(M476&lt;1,"시작일 이전(확인)",IF(M476=1,"1일째",IF(M476=2,"2일째",IF(M476=3,"3일째",IF(M476&lt;=7,"일주일 이내",IF(M476&lt;=14,"이주일 이내","15일 이후"))))))))</f>
        <v/>
      </c>
      <c r="O476" s="0" t="str">
        <f aca="false">IF(AND(COUNTA($A476:$J476)&gt;0,OR(클레임조회!$C$4="",AND(ISNUMBER($B476),$B476&gt;=클레임조회!$C$4)),OR(클레임조회!$C$5="",AND(ISNUMBER($B476),$B476&lt;=클레임조회!$C$5)),OR(클레임조회!$C$6="",$C476=클레임조회!$C$6),OR(클레임조회!$C$7="",$D476=클레임조회!$C$7),OR(클레임조회!$C$8="",$E476=클레임조회!$C$8),OR(클레임조회!$C$9="",$F476=클레임조회!$C$9),OR(클레임조회!$C$10="",ISNUMBER(SEARCH(클레임조회!$C$10,$C476&amp;" "&amp;$F476&amp;" "&amp;$G476&amp;" "&amp;$H476)))),COUNT(O$1:O475)+1,"")</f>
        <v/>
      </c>
      <c r="P476" s="0" t="str">
        <f aca="false">IF(AND(TRIM(C476)&lt;&gt;"",COUNTIF(C$2:C476,C476)=1),MAX(P$1:P475)+1,"")</f>
        <v/>
      </c>
      <c r="Q476" s="0" t="str">
        <f aca="false">IF(AND(TRIM(F476)&lt;&gt;"",COUNTIF(F$2:F476,F476)=1),MAX(Q$1:Q475)+1,"")</f>
        <v/>
      </c>
    </row>
    <row r="477" customFormat="false" ht="15" hidden="false" customHeight="false" outlineLevel="0" collapsed="false">
      <c r="A477" s="9"/>
      <c r="B477" s="10"/>
      <c r="C477" s="11"/>
      <c r="D477" s="11"/>
      <c r="E477" s="11"/>
      <c r="F477" s="11"/>
      <c r="G477" s="12"/>
      <c r="H477" s="12"/>
      <c r="I477" s="10"/>
      <c r="J477" s="12"/>
      <c r="K477" s="13" t="str">
        <f aca="false">IF(ISNUMBER(B477),YEAR(B477),"")</f>
        <v/>
      </c>
      <c r="L477" s="13" t="str">
        <f aca="false">IF(ISNUMBER(B477),MONTH(B477),"")</f>
        <v/>
      </c>
      <c r="M477" s="13" t="str">
        <f aca="false">IF(AND(ISNUMBER(B477),ISNUMBER(I477)),B477-I477+1,"")</f>
        <v/>
      </c>
      <c r="N477" s="14" t="str">
        <f aca="false">IF(B477="","",IF(M477="","시작일 미입력",IF(M477&lt;1,"시작일 이전(확인)",IF(M477=1,"1일째",IF(M477=2,"2일째",IF(M477=3,"3일째",IF(M477&lt;=7,"일주일 이내",IF(M477&lt;=14,"이주일 이내","15일 이후"))))))))</f>
        <v/>
      </c>
      <c r="O477" s="0" t="str">
        <f aca="false">IF(AND(COUNTA($A477:$J477)&gt;0,OR(클레임조회!$C$4="",AND(ISNUMBER($B477),$B477&gt;=클레임조회!$C$4)),OR(클레임조회!$C$5="",AND(ISNUMBER($B477),$B477&lt;=클레임조회!$C$5)),OR(클레임조회!$C$6="",$C477=클레임조회!$C$6),OR(클레임조회!$C$7="",$D477=클레임조회!$C$7),OR(클레임조회!$C$8="",$E477=클레임조회!$C$8),OR(클레임조회!$C$9="",$F477=클레임조회!$C$9),OR(클레임조회!$C$10="",ISNUMBER(SEARCH(클레임조회!$C$10,$C477&amp;" "&amp;$F477&amp;" "&amp;$G477&amp;" "&amp;$H477)))),COUNT(O$1:O476)+1,"")</f>
        <v/>
      </c>
      <c r="P477" s="0" t="str">
        <f aca="false">IF(AND(TRIM(C477)&lt;&gt;"",COUNTIF(C$2:C477,C477)=1),MAX(P$1:P476)+1,"")</f>
        <v/>
      </c>
      <c r="Q477" s="0" t="str">
        <f aca="false">IF(AND(TRIM(F477)&lt;&gt;"",COUNTIF(F$2:F477,F477)=1),MAX(Q$1:Q476)+1,"")</f>
        <v/>
      </c>
    </row>
    <row r="478" customFormat="false" ht="15" hidden="false" customHeight="false" outlineLevel="0" collapsed="false">
      <c r="A478" s="9"/>
      <c r="B478" s="10"/>
      <c r="C478" s="11"/>
      <c r="D478" s="11"/>
      <c r="E478" s="11"/>
      <c r="F478" s="11"/>
      <c r="G478" s="12"/>
      <c r="H478" s="12"/>
      <c r="I478" s="10"/>
      <c r="J478" s="12"/>
      <c r="K478" s="13" t="str">
        <f aca="false">IF(ISNUMBER(B478),YEAR(B478),"")</f>
        <v/>
      </c>
      <c r="L478" s="13" t="str">
        <f aca="false">IF(ISNUMBER(B478),MONTH(B478),"")</f>
        <v/>
      </c>
      <c r="M478" s="13" t="str">
        <f aca="false">IF(AND(ISNUMBER(B478),ISNUMBER(I478)),B478-I478+1,"")</f>
        <v/>
      </c>
      <c r="N478" s="14" t="str">
        <f aca="false">IF(B478="","",IF(M478="","시작일 미입력",IF(M478&lt;1,"시작일 이전(확인)",IF(M478=1,"1일째",IF(M478=2,"2일째",IF(M478=3,"3일째",IF(M478&lt;=7,"일주일 이내",IF(M478&lt;=14,"이주일 이내","15일 이후"))))))))</f>
        <v/>
      </c>
      <c r="O478" s="0" t="str">
        <f aca="false">IF(AND(COUNTA($A478:$J478)&gt;0,OR(클레임조회!$C$4="",AND(ISNUMBER($B478),$B478&gt;=클레임조회!$C$4)),OR(클레임조회!$C$5="",AND(ISNUMBER($B478),$B478&lt;=클레임조회!$C$5)),OR(클레임조회!$C$6="",$C478=클레임조회!$C$6),OR(클레임조회!$C$7="",$D478=클레임조회!$C$7),OR(클레임조회!$C$8="",$E478=클레임조회!$C$8),OR(클레임조회!$C$9="",$F478=클레임조회!$C$9),OR(클레임조회!$C$10="",ISNUMBER(SEARCH(클레임조회!$C$10,$C478&amp;" "&amp;$F478&amp;" "&amp;$G478&amp;" "&amp;$H478)))),COUNT(O$1:O477)+1,"")</f>
        <v/>
      </c>
      <c r="P478" s="0" t="str">
        <f aca="false">IF(AND(TRIM(C478)&lt;&gt;"",COUNTIF(C$2:C478,C478)=1),MAX(P$1:P477)+1,"")</f>
        <v/>
      </c>
      <c r="Q478" s="0" t="str">
        <f aca="false">IF(AND(TRIM(F478)&lt;&gt;"",COUNTIF(F$2:F478,F478)=1),MAX(Q$1:Q477)+1,"")</f>
        <v/>
      </c>
    </row>
    <row r="479" customFormat="false" ht="15" hidden="false" customHeight="false" outlineLevel="0" collapsed="false">
      <c r="A479" s="9"/>
      <c r="B479" s="10"/>
      <c r="C479" s="11"/>
      <c r="D479" s="11"/>
      <c r="E479" s="11"/>
      <c r="F479" s="11"/>
      <c r="G479" s="12"/>
      <c r="H479" s="12"/>
      <c r="I479" s="10"/>
      <c r="J479" s="12"/>
      <c r="K479" s="13" t="str">
        <f aca="false">IF(ISNUMBER(B479),YEAR(B479),"")</f>
        <v/>
      </c>
      <c r="L479" s="13" t="str">
        <f aca="false">IF(ISNUMBER(B479),MONTH(B479),"")</f>
        <v/>
      </c>
      <c r="M479" s="13" t="str">
        <f aca="false">IF(AND(ISNUMBER(B479),ISNUMBER(I479)),B479-I479+1,"")</f>
        <v/>
      </c>
      <c r="N479" s="14" t="str">
        <f aca="false">IF(B479="","",IF(M479="","시작일 미입력",IF(M479&lt;1,"시작일 이전(확인)",IF(M479=1,"1일째",IF(M479=2,"2일째",IF(M479=3,"3일째",IF(M479&lt;=7,"일주일 이내",IF(M479&lt;=14,"이주일 이내","15일 이후"))))))))</f>
        <v/>
      </c>
      <c r="O479" s="0" t="str">
        <f aca="false">IF(AND(COUNTA($A479:$J479)&gt;0,OR(클레임조회!$C$4="",AND(ISNUMBER($B479),$B479&gt;=클레임조회!$C$4)),OR(클레임조회!$C$5="",AND(ISNUMBER($B479),$B479&lt;=클레임조회!$C$5)),OR(클레임조회!$C$6="",$C479=클레임조회!$C$6),OR(클레임조회!$C$7="",$D479=클레임조회!$C$7),OR(클레임조회!$C$8="",$E479=클레임조회!$C$8),OR(클레임조회!$C$9="",$F479=클레임조회!$C$9),OR(클레임조회!$C$10="",ISNUMBER(SEARCH(클레임조회!$C$10,$C479&amp;" "&amp;$F479&amp;" "&amp;$G479&amp;" "&amp;$H479)))),COUNT(O$1:O478)+1,"")</f>
        <v/>
      </c>
      <c r="P479" s="0" t="str">
        <f aca="false">IF(AND(TRIM(C479)&lt;&gt;"",COUNTIF(C$2:C479,C479)=1),MAX(P$1:P478)+1,"")</f>
        <v/>
      </c>
      <c r="Q479" s="0" t="str">
        <f aca="false">IF(AND(TRIM(F479)&lt;&gt;"",COUNTIF(F$2:F479,F479)=1),MAX(Q$1:Q478)+1,"")</f>
        <v/>
      </c>
    </row>
    <row r="480" customFormat="false" ht="15" hidden="false" customHeight="false" outlineLevel="0" collapsed="false">
      <c r="A480" s="9"/>
      <c r="B480" s="10"/>
      <c r="C480" s="11"/>
      <c r="D480" s="11"/>
      <c r="E480" s="11"/>
      <c r="F480" s="11"/>
      <c r="G480" s="12"/>
      <c r="H480" s="12"/>
      <c r="I480" s="10"/>
      <c r="J480" s="12"/>
      <c r="K480" s="13" t="str">
        <f aca="false">IF(ISNUMBER(B480),YEAR(B480),"")</f>
        <v/>
      </c>
      <c r="L480" s="13" t="str">
        <f aca="false">IF(ISNUMBER(B480),MONTH(B480),"")</f>
        <v/>
      </c>
      <c r="M480" s="13" t="str">
        <f aca="false">IF(AND(ISNUMBER(B480),ISNUMBER(I480)),B480-I480+1,"")</f>
        <v/>
      </c>
      <c r="N480" s="14" t="str">
        <f aca="false">IF(B480="","",IF(M480="","시작일 미입력",IF(M480&lt;1,"시작일 이전(확인)",IF(M480=1,"1일째",IF(M480=2,"2일째",IF(M480=3,"3일째",IF(M480&lt;=7,"일주일 이내",IF(M480&lt;=14,"이주일 이내","15일 이후"))))))))</f>
        <v/>
      </c>
      <c r="O480" s="0" t="str">
        <f aca="false">IF(AND(COUNTA($A480:$J480)&gt;0,OR(클레임조회!$C$4="",AND(ISNUMBER($B480),$B480&gt;=클레임조회!$C$4)),OR(클레임조회!$C$5="",AND(ISNUMBER($B480),$B480&lt;=클레임조회!$C$5)),OR(클레임조회!$C$6="",$C480=클레임조회!$C$6),OR(클레임조회!$C$7="",$D480=클레임조회!$C$7),OR(클레임조회!$C$8="",$E480=클레임조회!$C$8),OR(클레임조회!$C$9="",$F480=클레임조회!$C$9),OR(클레임조회!$C$10="",ISNUMBER(SEARCH(클레임조회!$C$10,$C480&amp;" "&amp;$F480&amp;" "&amp;$G480&amp;" "&amp;$H480)))),COUNT(O$1:O479)+1,"")</f>
        <v/>
      </c>
      <c r="P480" s="0" t="str">
        <f aca="false">IF(AND(TRIM(C480)&lt;&gt;"",COUNTIF(C$2:C480,C480)=1),MAX(P$1:P479)+1,"")</f>
        <v/>
      </c>
      <c r="Q480" s="0" t="str">
        <f aca="false">IF(AND(TRIM(F480)&lt;&gt;"",COUNTIF(F$2:F480,F480)=1),MAX(Q$1:Q479)+1,"")</f>
        <v/>
      </c>
    </row>
    <row r="481" customFormat="false" ht="15" hidden="false" customHeight="false" outlineLevel="0" collapsed="false">
      <c r="A481" s="9"/>
      <c r="B481" s="10"/>
      <c r="C481" s="11"/>
      <c r="D481" s="11"/>
      <c r="E481" s="11"/>
      <c r="F481" s="11"/>
      <c r="G481" s="12"/>
      <c r="H481" s="12"/>
      <c r="I481" s="10"/>
      <c r="J481" s="12"/>
      <c r="K481" s="13" t="str">
        <f aca="false">IF(ISNUMBER(B481),YEAR(B481),"")</f>
        <v/>
      </c>
      <c r="L481" s="13" t="str">
        <f aca="false">IF(ISNUMBER(B481),MONTH(B481),"")</f>
        <v/>
      </c>
      <c r="M481" s="13" t="str">
        <f aca="false">IF(AND(ISNUMBER(B481),ISNUMBER(I481)),B481-I481+1,"")</f>
        <v/>
      </c>
      <c r="N481" s="14" t="str">
        <f aca="false">IF(B481="","",IF(M481="","시작일 미입력",IF(M481&lt;1,"시작일 이전(확인)",IF(M481=1,"1일째",IF(M481=2,"2일째",IF(M481=3,"3일째",IF(M481&lt;=7,"일주일 이내",IF(M481&lt;=14,"이주일 이내","15일 이후"))))))))</f>
        <v/>
      </c>
      <c r="O481" s="0" t="str">
        <f aca="false">IF(AND(COUNTA($A481:$J481)&gt;0,OR(클레임조회!$C$4="",AND(ISNUMBER($B481),$B481&gt;=클레임조회!$C$4)),OR(클레임조회!$C$5="",AND(ISNUMBER($B481),$B481&lt;=클레임조회!$C$5)),OR(클레임조회!$C$6="",$C481=클레임조회!$C$6),OR(클레임조회!$C$7="",$D481=클레임조회!$C$7),OR(클레임조회!$C$8="",$E481=클레임조회!$C$8),OR(클레임조회!$C$9="",$F481=클레임조회!$C$9),OR(클레임조회!$C$10="",ISNUMBER(SEARCH(클레임조회!$C$10,$C481&amp;" "&amp;$F481&amp;" "&amp;$G481&amp;" "&amp;$H481)))),COUNT(O$1:O480)+1,"")</f>
        <v/>
      </c>
      <c r="P481" s="0" t="str">
        <f aca="false">IF(AND(TRIM(C481)&lt;&gt;"",COUNTIF(C$2:C481,C481)=1),MAX(P$1:P480)+1,"")</f>
        <v/>
      </c>
      <c r="Q481" s="0" t="str">
        <f aca="false">IF(AND(TRIM(F481)&lt;&gt;"",COUNTIF(F$2:F481,F481)=1),MAX(Q$1:Q480)+1,"")</f>
        <v/>
      </c>
    </row>
    <row r="482" customFormat="false" ht="15" hidden="false" customHeight="false" outlineLevel="0" collapsed="false">
      <c r="A482" s="9"/>
      <c r="B482" s="10"/>
      <c r="C482" s="11"/>
      <c r="D482" s="11"/>
      <c r="E482" s="11"/>
      <c r="F482" s="11"/>
      <c r="G482" s="12"/>
      <c r="H482" s="12"/>
      <c r="I482" s="10"/>
      <c r="J482" s="12"/>
      <c r="K482" s="13" t="str">
        <f aca="false">IF(ISNUMBER(B482),YEAR(B482),"")</f>
        <v/>
      </c>
      <c r="L482" s="13" t="str">
        <f aca="false">IF(ISNUMBER(B482),MONTH(B482),"")</f>
        <v/>
      </c>
      <c r="M482" s="13" t="str">
        <f aca="false">IF(AND(ISNUMBER(B482),ISNUMBER(I482)),B482-I482+1,"")</f>
        <v/>
      </c>
      <c r="N482" s="14" t="str">
        <f aca="false">IF(B482="","",IF(M482="","시작일 미입력",IF(M482&lt;1,"시작일 이전(확인)",IF(M482=1,"1일째",IF(M482=2,"2일째",IF(M482=3,"3일째",IF(M482&lt;=7,"일주일 이내",IF(M482&lt;=14,"이주일 이내","15일 이후"))))))))</f>
        <v/>
      </c>
      <c r="O482" s="0" t="str">
        <f aca="false">IF(AND(COUNTA($A482:$J482)&gt;0,OR(클레임조회!$C$4="",AND(ISNUMBER($B482),$B482&gt;=클레임조회!$C$4)),OR(클레임조회!$C$5="",AND(ISNUMBER($B482),$B482&lt;=클레임조회!$C$5)),OR(클레임조회!$C$6="",$C482=클레임조회!$C$6),OR(클레임조회!$C$7="",$D482=클레임조회!$C$7),OR(클레임조회!$C$8="",$E482=클레임조회!$C$8),OR(클레임조회!$C$9="",$F482=클레임조회!$C$9),OR(클레임조회!$C$10="",ISNUMBER(SEARCH(클레임조회!$C$10,$C482&amp;" "&amp;$F482&amp;" "&amp;$G482&amp;" "&amp;$H482)))),COUNT(O$1:O481)+1,"")</f>
        <v/>
      </c>
      <c r="P482" s="0" t="str">
        <f aca="false">IF(AND(TRIM(C482)&lt;&gt;"",COUNTIF(C$2:C482,C482)=1),MAX(P$1:P481)+1,"")</f>
        <v/>
      </c>
      <c r="Q482" s="0" t="str">
        <f aca="false">IF(AND(TRIM(F482)&lt;&gt;"",COUNTIF(F$2:F482,F482)=1),MAX(Q$1:Q481)+1,"")</f>
        <v/>
      </c>
    </row>
    <row r="483" customFormat="false" ht="15" hidden="false" customHeight="false" outlineLevel="0" collapsed="false">
      <c r="A483" s="9"/>
      <c r="B483" s="10"/>
      <c r="C483" s="11"/>
      <c r="D483" s="11"/>
      <c r="E483" s="11"/>
      <c r="F483" s="11"/>
      <c r="G483" s="12"/>
      <c r="H483" s="12"/>
      <c r="I483" s="10"/>
      <c r="J483" s="12"/>
      <c r="K483" s="13" t="str">
        <f aca="false">IF(ISNUMBER(B483),YEAR(B483),"")</f>
        <v/>
      </c>
      <c r="L483" s="13" t="str">
        <f aca="false">IF(ISNUMBER(B483),MONTH(B483),"")</f>
        <v/>
      </c>
      <c r="M483" s="13" t="str">
        <f aca="false">IF(AND(ISNUMBER(B483),ISNUMBER(I483)),B483-I483+1,"")</f>
        <v/>
      </c>
      <c r="N483" s="14" t="str">
        <f aca="false">IF(B483="","",IF(M483="","시작일 미입력",IF(M483&lt;1,"시작일 이전(확인)",IF(M483=1,"1일째",IF(M483=2,"2일째",IF(M483=3,"3일째",IF(M483&lt;=7,"일주일 이내",IF(M483&lt;=14,"이주일 이내","15일 이후"))))))))</f>
        <v/>
      </c>
      <c r="O483" s="0" t="str">
        <f aca="false">IF(AND(COUNTA($A483:$J483)&gt;0,OR(클레임조회!$C$4="",AND(ISNUMBER($B483),$B483&gt;=클레임조회!$C$4)),OR(클레임조회!$C$5="",AND(ISNUMBER($B483),$B483&lt;=클레임조회!$C$5)),OR(클레임조회!$C$6="",$C483=클레임조회!$C$6),OR(클레임조회!$C$7="",$D483=클레임조회!$C$7),OR(클레임조회!$C$8="",$E483=클레임조회!$C$8),OR(클레임조회!$C$9="",$F483=클레임조회!$C$9),OR(클레임조회!$C$10="",ISNUMBER(SEARCH(클레임조회!$C$10,$C483&amp;" "&amp;$F483&amp;" "&amp;$G483&amp;" "&amp;$H483)))),COUNT(O$1:O482)+1,"")</f>
        <v/>
      </c>
      <c r="P483" s="0" t="str">
        <f aca="false">IF(AND(TRIM(C483)&lt;&gt;"",COUNTIF(C$2:C483,C483)=1),MAX(P$1:P482)+1,"")</f>
        <v/>
      </c>
      <c r="Q483" s="0" t="str">
        <f aca="false">IF(AND(TRIM(F483)&lt;&gt;"",COUNTIF(F$2:F483,F483)=1),MAX(Q$1:Q482)+1,"")</f>
        <v/>
      </c>
    </row>
    <row r="484" customFormat="false" ht="15" hidden="false" customHeight="false" outlineLevel="0" collapsed="false">
      <c r="A484" s="9"/>
      <c r="B484" s="10"/>
      <c r="C484" s="11"/>
      <c r="D484" s="11"/>
      <c r="E484" s="11"/>
      <c r="F484" s="11"/>
      <c r="G484" s="12"/>
      <c r="H484" s="12"/>
      <c r="I484" s="10"/>
      <c r="J484" s="12"/>
      <c r="K484" s="13" t="str">
        <f aca="false">IF(ISNUMBER(B484),YEAR(B484),"")</f>
        <v/>
      </c>
      <c r="L484" s="13" t="str">
        <f aca="false">IF(ISNUMBER(B484),MONTH(B484),"")</f>
        <v/>
      </c>
      <c r="M484" s="13" t="str">
        <f aca="false">IF(AND(ISNUMBER(B484),ISNUMBER(I484)),B484-I484+1,"")</f>
        <v/>
      </c>
      <c r="N484" s="14" t="str">
        <f aca="false">IF(B484="","",IF(M484="","시작일 미입력",IF(M484&lt;1,"시작일 이전(확인)",IF(M484=1,"1일째",IF(M484=2,"2일째",IF(M484=3,"3일째",IF(M484&lt;=7,"일주일 이내",IF(M484&lt;=14,"이주일 이내","15일 이후"))))))))</f>
        <v/>
      </c>
      <c r="O484" s="0" t="str">
        <f aca="false">IF(AND(COUNTA($A484:$J484)&gt;0,OR(클레임조회!$C$4="",AND(ISNUMBER($B484),$B484&gt;=클레임조회!$C$4)),OR(클레임조회!$C$5="",AND(ISNUMBER($B484),$B484&lt;=클레임조회!$C$5)),OR(클레임조회!$C$6="",$C484=클레임조회!$C$6),OR(클레임조회!$C$7="",$D484=클레임조회!$C$7),OR(클레임조회!$C$8="",$E484=클레임조회!$C$8),OR(클레임조회!$C$9="",$F484=클레임조회!$C$9),OR(클레임조회!$C$10="",ISNUMBER(SEARCH(클레임조회!$C$10,$C484&amp;" "&amp;$F484&amp;" "&amp;$G484&amp;" "&amp;$H484)))),COUNT(O$1:O483)+1,"")</f>
        <v/>
      </c>
      <c r="P484" s="0" t="str">
        <f aca="false">IF(AND(TRIM(C484)&lt;&gt;"",COUNTIF(C$2:C484,C484)=1),MAX(P$1:P483)+1,"")</f>
        <v/>
      </c>
      <c r="Q484" s="0" t="str">
        <f aca="false">IF(AND(TRIM(F484)&lt;&gt;"",COUNTIF(F$2:F484,F484)=1),MAX(Q$1:Q483)+1,"")</f>
        <v/>
      </c>
    </row>
    <row r="485" customFormat="false" ht="15" hidden="false" customHeight="false" outlineLevel="0" collapsed="false">
      <c r="A485" s="9"/>
      <c r="B485" s="10"/>
      <c r="C485" s="11"/>
      <c r="D485" s="11"/>
      <c r="E485" s="11"/>
      <c r="F485" s="11"/>
      <c r="G485" s="12"/>
      <c r="H485" s="12"/>
      <c r="I485" s="10"/>
      <c r="J485" s="12"/>
      <c r="K485" s="13" t="str">
        <f aca="false">IF(ISNUMBER(B485),YEAR(B485),"")</f>
        <v/>
      </c>
      <c r="L485" s="13" t="str">
        <f aca="false">IF(ISNUMBER(B485),MONTH(B485),"")</f>
        <v/>
      </c>
      <c r="M485" s="13" t="str">
        <f aca="false">IF(AND(ISNUMBER(B485),ISNUMBER(I485)),B485-I485+1,"")</f>
        <v/>
      </c>
      <c r="N485" s="14" t="str">
        <f aca="false">IF(B485="","",IF(M485="","시작일 미입력",IF(M485&lt;1,"시작일 이전(확인)",IF(M485=1,"1일째",IF(M485=2,"2일째",IF(M485=3,"3일째",IF(M485&lt;=7,"일주일 이내",IF(M485&lt;=14,"이주일 이내","15일 이후"))))))))</f>
        <v/>
      </c>
      <c r="O485" s="0" t="str">
        <f aca="false">IF(AND(COUNTA($A485:$J485)&gt;0,OR(클레임조회!$C$4="",AND(ISNUMBER($B485),$B485&gt;=클레임조회!$C$4)),OR(클레임조회!$C$5="",AND(ISNUMBER($B485),$B485&lt;=클레임조회!$C$5)),OR(클레임조회!$C$6="",$C485=클레임조회!$C$6),OR(클레임조회!$C$7="",$D485=클레임조회!$C$7),OR(클레임조회!$C$8="",$E485=클레임조회!$C$8),OR(클레임조회!$C$9="",$F485=클레임조회!$C$9),OR(클레임조회!$C$10="",ISNUMBER(SEARCH(클레임조회!$C$10,$C485&amp;" "&amp;$F485&amp;" "&amp;$G485&amp;" "&amp;$H485)))),COUNT(O$1:O484)+1,"")</f>
        <v/>
      </c>
      <c r="P485" s="0" t="str">
        <f aca="false">IF(AND(TRIM(C485)&lt;&gt;"",COUNTIF(C$2:C485,C485)=1),MAX(P$1:P484)+1,"")</f>
        <v/>
      </c>
      <c r="Q485" s="0" t="str">
        <f aca="false">IF(AND(TRIM(F485)&lt;&gt;"",COUNTIF(F$2:F485,F485)=1),MAX(Q$1:Q484)+1,"")</f>
        <v/>
      </c>
    </row>
    <row r="486" customFormat="false" ht="15" hidden="false" customHeight="false" outlineLevel="0" collapsed="false">
      <c r="A486" s="9"/>
      <c r="B486" s="10"/>
      <c r="C486" s="11"/>
      <c r="D486" s="11"/>
      <c r="E486" s="11"/>
      <c r="F486" s="11"/>
      <c r="G486" s="12"/>
      <c r="H486" s="12"/>
      <c r="I486" s="10"/>
      <c r="J486" s="12"/>
      <c r="K486" s="13" t="str">
        <f aca="false">IF(ISNUMBER(B486),YEAR(B486),"")</f>
        <v/>
      </c>
      <c r="L486" s="13" t="str">
        <f aca="false">IF(ISNUMBER(B486),MONTH(B486),"")</f>
        <v/>
      </c>
      <c r="M486" s="13" t="str">
        <f aca="false">IF(AND(ISNUMBER(B486),ISNUMBER(I486)),B486-I486+1,"")</f>
        <v/>
      </c>
      <c r="N486" s="14" t="str">
        <f aca="false">IF(B486="","",IF(M486="","시작일 미입력",IF(M486&lt;1,"시작일 이전(확인)",IF(M486=1,"1일째",IF(M486=2,"2일째",IF(M486=3,"3일째",IF(M486&lt;=7,"일주일 이내",IF(M486&lt;=14,"이주일 이내","15일 이후"))))))))</f>
        <v/>
      </c>
      <c r="O486" s="0" t="str">
        <f aca="false">IF(AND(COUNTA($A486:$J486)&gt;0,OR(클레임조회!$C$4="",AND(ISNUMBER($B486),$B486&gt;=클레임조회!$C$4)),OR(클레임조회!$C$5="",AND(ISNUMBER($B486),$B486&lt;=클레임조회!$C$5)),OR(클레임조회!$C$6="",$C486=클레임조회!$C$6),OR(클레임조회!$C$7="",$D486=클레임조회!$C$7),OR(클레임조회!$C$8="",$E486=클레임조회!$C$8),OR(클레임조회!$C$9="",$F486=클레임조회!$C$9),OR(클레임조회!$C$10="",ISNUMBER(SEARCH(클레임조회!$C$10,$C486&amp;" "&amp;$F486&amp;" "&amp;$G486&amp;" "&amp;$H486)))),COUNT(O$1:O485)+1,"")</f>
        <v/>
      </c>
      <c r="P486" s="0" t="str">
        <f aca="false">IF(AND(TRIM(C486)&lt;&gt;"",COUNTIF(C$2:C486,C486)=1),MAX(P$1:P485)+1,"")</f>
        <v/>
      </c>
      <c r="Q486" s="0" t="str">
        <f aca="false">IF(AND(TRIM(F486)&lt;&gt;"",COUNTIF(F$2:F486,F486)=1),MAX(Q$1:Q485)+1,"")</f>
        <v/>
      </c>
    </row>
    <row r="487" customFormat="false" ht="15" hidden="false" customHeight="false" outlineLevel="0" collapsed="false">
      <c r="A487" s="9"/>
      <c r="B487" s="10"/>
      <c r="C487" s="11"/>
      <c r="D487" s="11"/>
      <c r="E487" s="11"/>
      <c r="F487" s="11"/>
      <c r="G487" s="12"/>
      <c r="H487" s="12"/>
      <c r="I487" s="10"/>
      <c r="J487" s="12"/>
      <c r="K487" s="13" t="str">
        <f aca="false">IF(ISNUMBER(B487),YEAR(B487),"")</f>
        <v/>
      </c>
      <c r="L487" s="13" t="str">
        <f aca="false">IF(ISNUMBER(B487),MONTH(B487),"")</f>
        <v/>
      </c>
      <c r="M487" s="13" t="str">
        <f aca="false">IF(AND(ISNUMBER(B487),ISNUMBER(I487)),B487-I487+1,"")</f>
        <v/>
      </c>
      <c r="N487" s="14" t="str">
        <f aca="false">IF(B487="","",IF(M487="","시작일 미입력",IF(M487&lt;1,"시작일 이전(확인)",IF(M487=1,"1일째",IF(M487=2,"2일째",IF(M487=3,"3일째",IF(M487&lt;=7,"일주일 이내",IF(M487&lt;=14,"이주일 이내","15일 이후"))))))))</f>
        <v/>
      </c>
      <c r="O487" s="0" t="str">
        <f aca="false">IF(AND(COUNTA($A487:$J487)&gt;0,OR(클레임조회!$C$4="",AND(ISNUMBER($B487),$B487&gt;=클레임조회!$C$4)),OR(클레임조회!$C$5="",AND(ISNUMBER($B487),$B487&lt;=클레임조회!$C$5)),OR(클레임조회!$C$6="",$C487=클레임조회!$C$6),OR(클레임조회!$C$7="",$D487=클레임조회!$C$7),OR(클레임조회!$C$8="",$E487=클레임조회!$C$8),OR(클레임조회!$C$9="",$F487=클레임조회!$C$9),OR(클레임조회!$C$10="",ISNUMBER(SEARCH(클레임조회!$C$10,$C487&amp;" "&amp;$F487&amp;" "&amp;$G487&amp;" "&amp;$H487)))),COUNT(O$1:O486)+1,"")</f>
        <v/>
      </c>
      <c r="P487" s="0" t="str">
        <f aca="false">IF(AND(TRIM(C487)&lt;&gt;"",COUNTIF(C$2:C487,C487)=1),MAX(P$1:P486)+1,"")</f>
        <v/>
      </c>
      <c r="Q487" s="0" t="str">
        <f aca="false">IF(AND(TRIM(F487)&lt;&gt;"",COUNTIF(F$2:F487,F487)=1),MAX(Q$1:Q486)+1,"")</f>
        <v/>
      </c>
    </row>
    <row r="488" customFormat="false" ht="15" hidden="false" customHeight="false" outlineLevel="0" collapsed="false">
      <c r="A488" s="9"/>
      <c r="B488" s="10"/>
      <c r="C488" s="11"/>
      <c r="D488" s="11"/>
      <c r="E488" s="11"/>
      <c r="F488" s="11"/>
      <c r="G488" s="12"/>
      <c r="H488" s="12"/>
      <c r="I488" s="10"/>
      <c r="J488" s="12"/>
      <c r="K488" s="13" t="str">
        <f aca="false">IF(ISNUMBER(B488),YEAR(B488),"")</f>
        <v/>
      </c>
      <c r="L488" s="13" t="str">
        <f aca="false">IF(ISNUMBER(B488),MONTH(B488),"")</f>
        <v/>
      </c>
      <c r="M488" s="13" t="str">
        <f aca="false">IF(AND(ISNUMBER(B488),ISNUMBER(I488)),B488-I488+1,"")</f>
        <v/>
      </c>
      <c r="N488" s="14" t="str">
        <f aca="false">IF(B488="","",IF(M488="","시작일 미입력",IF(M488&lt;1,"시작일 이전(확인)",IF(M488=1,"1일째",IF(M488=2,"2일째",IF(M488=3,"3일째",IF(M488&lt;=7,"일주일 이내",IF(M488&lt;=14,"이주일 이내","15일 이후"))))))))</f>
        <v/>
      </c>
      <c r="O488" s="0" t="str">
        <f aca="false">IF(AND(COUNTA($A488:$J488)&gt;0,OR(클레임조회!$C$4="",AND(ISNUMBER($B488),$B488&gt;=클레임조회!$C$4)),OR(클레임조회!$C$5="",AND(ISNUMBER($B488),$B488&lt;=클레임조회!$C$5)),OR(클레임조회!$C$6="",$C488=클레임조회!$C$6),OR(클레임조회!$C$7="",$D488=클레임조회!$C$7),OR(클레임조회!$C$8="",$E488=클레임조회!$C$8),OR(클레임조회!$C$9="",$F488=클레임조회!$C$9),OR(클레임조회!$C$10="",ISNUMBER(SEARCH(클레임조회!$C$10,$C488&amp;" "&amp;$F488&amp;" "&amp;$G488&amp;" "&amp;$H488)))),COUNT(O$1:O487)+1,"")</f>
        <v/>
      </c>
      <c r="P488" s="0" t="str">
        <f aca="false">IF(AND(TRIM(C488)&lt;&gt;"",COUNTIF(C$2:C488,C488)=1),MAX(P$1:P487)+1,"")</f>
        <v/>
      </c>
      <c r="Q488" s="0" t="str">
        <f aca="false">IF(AND(TRIM(F488)&lt;&gt;"",COUNTIF(F$2:F488,F488)=1),MAX(Q$1:Q487)+1,"")</f>
        <v/>
      </c>
    </row>
    <row r="489" customFormat="false" ht="15" hidden="false" customHeight="false" outlineLevel="0" collapsed="false">
      <c r="A489" s="9"/>
      <c r="B489" s="10"/>
      <c r="C489" s="11"/>
      <c r="D489" s="11"/>
      <c r="E489" s="11"/>
      <c r="F489" s="11"/>
      <c r="G489" s="12"/>
      <c r="H489" s="12"/>
      <c r="I489" s="10"/>
      <c r="J489" s="12"/>
      <c r="K489" s="13" t="str">
        <f aca="false">IF(ISNUMBER(B489),YEAR(B489),"")</f>
        <v/>
      </c>
      <c r="L489" s="13" t="str">
        <f aca="false">IF(ISNUMBER(B489),MONTH(B489),"")</f>
        <v/>
      </c>
      <c r="M489" s="13" t="str">
        <f aca="false">IF(AND(ISNUMBER(B489),ISNUMBER(I489)),B489-I489+1,"")</f>
        <v/>
      </c>
      <c r="N489" s="14" t="str">
        <f aca="false">IF(B489="","",IF(M489="","시작일 미입력",IF(M489&lt;1,"시작일 이전(확인)",IF(M489=1,"1일째",IF(M489=2,"2일째",IF(M489=3,"3일째",IF(M489&lt;=7,"일주일 이내",IF(M489&lt;=14,"이주일 이내","15일 이후"))))))))</f>
        <v/>
      </c>
      <c r="O489" s="0" t="str">
        <f aca="false">IF(AND(COUNTA($A489:$J489)&gt;0,OR(클레임조회!$C$4="",AND(ISNUMBER($B489),$B489&gt;=클레임조회!$C$4)),OR(클레임조회!$C$5="",AND(ISNUMBER($B489),$B489&lt;=클레임조회!$C$5)),OR(클레임조회!$C$6="",$C489=클레임조회!$C$6),OR(클레임조회!$C$7="",$D489=클레임조회!$C$7),OR(클레임조회!$C$8="",$E489=클레임조회!$C$8),OR(클레임조회!$C$9="",$F489=클레임조회!$C$9),OR(클레임조회!$C$10="",ISNUMBER(SEARCH(클레임조회!$C$10,$C489&amp;" "&amp;$F489&amp;" "&amp;$G489&amp;" "&amp;$H489)))),COUNT(O$1:O488)+1,"")</f>
        <v/>
      </c>
      <c r="P489" s="0" t="str">
        <f aca="false">IF(AND(TRIM(C489)&lt;&gt;"",COUNTIF(C$2:C489,C489)=1),MAX(P$1:P488)+1,"")</f>
        <v/>
      </c>
      <c r="Q489" s="0" t="str">
        <f aca="false">IF(AND(TRIM(F489)&lt;&gt;"",COUNTIF(F$2:F489,F489)=1),MAX(Q$1:Q488)+1,"")</f>
        <v/>
      </c>
    </row>
    <row r="490" customFormat="false" ht="15" hidden="false" customHeight="false" outlineLevel="0" collapsed="false">
      <c r="A490" s="9"/>
      <c r="B490" s="10"/>
      <c r="C490" s="11"/>
      <c r="D490" s="11"/>
      <c r="E490" s="11"/>
      <c r="F490" s="11"/>
      <c r="G490" s="12"/>
      <c r="H490" s="12"/>
      <c r="I490" s="10"/>
      <c r="J490" s="12"/>
      <c r="K490" s="13" t="str">
        <f aca="false">IF(ISNUMBER(B490),YEAR(B490),"")</f>
        <v/>
      </c>
      <c r="L490" s="13" t="str">
        <f aca="false">IF(ISNUMBER(B490),MONTH(B490),"")</f>
        <v/>
      </c>
      <c r="M490" s="13" t="str">
        <f aca="false">IF(AND(ISNUMBER(B490),ISNUMBER(I490)),B490-I490+1,"")</f>
        <v/>
      </c>
      <c r="N490" s="14" t="str">
        <f aca="false">IF(B490="","",IF(M490="","시작일 미입력",IF(M490&lt;1,"시작일 이전(확인)",IF(M490=1,"1일째",IF(M490=2,"2일째",IF(M490=3,"3일째",IF(M490&lt;=7,"일주일 이내",IF(M490&lt;=14,"이주일 이내","15일 이후"))))))))</f>
        <v/>
      </c>
      <c r="O490" s="0" t="str">
        <f aca="false">IF(AND(COUNTA($A490:$J490)&gt;0,OR(클레임조회!$C$4="",AND(ISNUMBER($B490),$B490&gt;=클레임조회!$C$4)),OR(클레임조회!$C$5="",AND(ISNUMBER($B490),$B490&lt;=클레임조회!$C$5)),OR(클레임조회!$C$6="",$C490=클레임조회!$C$6),OR(클레임조회!$C$7="",$D490=클레임조회!$C$7),OR(클레임조회!$C$8="",$E490=클레임조회!$C$8),OR(클레임조회!$C$9="",$F490=클레임조회!$C$9),OR(클레임조회!$C$10="",ISNUMBER(SEARCH(클레임조회!$C$10,$C490&amp;" "&amp;$F490&amp;" "&amp;$G490&amp;" "&amp;$H490)))),COUNT(O$1:O489)+1,"")</f>
        <v/>
      </c>
      <c r="P490" s="0" t="str">
        <f aca="false">IF(AND(TRIM(C490)&lt;&gt;"",COUNTIF(C$2:C490,C490)=1),MAX(P$1:P489)+1,"")</f>
        <v/>
      </c>
      <c r="Q490" s="0" t="str">
        <f aca="false">IF(AND(TRIM(F490)&lt;&gt;"",COUNTIF(F$2:F490,F490)=1),MAX(Q$1:Q489)+1,"")</f>
        <v/>
      </c>
    </row>
    <row r="491" customFormat="false" ht="15" hidden="false" customHeight="false" outlineLevel="0" collapsed="false">
      <c r="A491" s="9"/>
      <c r="B491" s="10"/>
      <c r="C491" s="11"/>
      <c r="D491" s="11"/>
      <c r="E491" s="11"/>
      <c r="F491" s="11"/>
      <c r="G491" s="12"/>
      <c r="H491" s="12"/>
      <c r="I491" s="10"/>
      <c r="J491" s="12"/>
      <c r="K491" s="13" t="str">
        <f aca="false">IF(ISNUMBER(B491),YEAR(B491),"")</f>
        <v/>
      </c>
      <c r="L491" s="13" t="str">
        <f aca="false">IF(ISNUMBER(B491),MONTH(B491),"")</f>
        <v/>
      </c>
      <c r="M491" s="13" t="str">
        <f aca="false">IF(AND(ISNUMBER(B491),ISNUMBER(I491)),B491-I491+1,"")</f>
        <v/>
      </c>
      <c r="N491" s="14" t="str">
        <f aca="false">IF(B491="","",IF(M491="","시작일 미입력",IF(M491&lt;1,"시작일 이전(확인)",IF(M491=1,"1일째",IF(M491=2,"2일째",IF(M491=3,"3일째",IF(M491&lt;=7,"일주일 이내",IF(M491&lt;=14,"이주일 이내","15일 이후"))))))))</f>
        <v/>
      </c>
      <c r="O491" s="0" t="str">
        <f aca="false">IF(AND(COUNTA($A491:$J491)&gt;0,OR(클레임조회!$C$4="",AND(ISNUMBER($B491),$B491&gt;=클레임조회!$C$4)),OR(클레임조회!$C$5="",AND(ISNUMBER($B491),$B491&lt;=클레임조회!$C$5)),OR(클레임조회!$C$6="",$C491=클레임조회!$C$6),OR(클레임조회!$C$7="",$D491=클레임조회!$C$7),OR(클레임조회!$C$8="",$E491=클레임조회!$C$8),OR(클레임조회!$C$9="",$F491=클레임조회!$C$9),OR(클레임조회!$C$10="",ISNUMBER(SEARCH(클레임조회!$C$10,$C491&amp;" "&amp;$F491&amp;" "&amp;$G491&amp;" "&amp;$H491)))),COUNT(O$1:O490)+1,"")</f>
        <v/>
      </c>
      <c r="P491" s="0" t="str">
        <f aca="false">IF(AND(TRIM(C491)&lt;&gt;"",COUNTIF(C$2:C491,C491)=1),MAX(P$1:P490)+1,"")</f>
        <v/>
      </c>
      <c r="Q491" s="0" t="str">
        <f aca="false">IF(AND(TRIM(F491)&lt;&gt;"",COUNTIF(F$2:F491,F491)=1),MAX(Q$1:Q490)+1,"")</f>
        <v/>
      </c>
    </row>
    <row r="492" customFormat="false" ht="15" hidden="false" customHeight="false" outlineLevel="0" collapsed="false">
      <c r="A492" s="9"/>
      <c r="B492" s="10"/>
      <c r="C492" s="11"/>
      <c r="D492" s="11"/>
      <c r="E492" s="11"/>
      <c r="F492" s="11"/>
      <c r="G492" s="12"/>
      <c r="H492" s="12"/>
      <c r="I492" s="10"/>
      <c r="J492" s="12"/>
      <c r="K492" s="13" t="str">
        <f aca="false">IF(ISNUMBER(B492),YEAR(B492),"")</f>
        <v/>
      </c>
      <c r="L492" s="13" t="str">
        <f aca="false">IF(ISNUMBER(B492),MONTH(B492),"")</f>
        <v/>
      </c>
      <c r="M492" s="13" t="str">
        <f aca="false">IF(AND(ISNUMBER(B492),ISNUMBER(I492)),B492-I492+1,"")</f>
        <v/>
      </c>
      <c r="N492" s="14" t="str">
        <f aca="false">IF(B492="","",IF(M492="","시작일 미입력",IF(M492&lt;1,"시작일 이전(확인)",IF(M492=1,"1일째",IF(M492=2,"2일째",IF(M492=3,"3일째",IF(M492&lt;=7,"일주일 이내",IF(M492&lt;=14,"이주일 이내","15일 이후"))))))))</f>
        <v/>
      </c>
      <c r="O492" s="0" t="str">
        <f aca="false">IF(AND(COUNTA($A492:$J492)&gt;0,OR(클레임조회!$C$4="",AND(ISNUMBER($B492),$B492&gt;=클레임조회!$C$4)),OR(클레임조회!$C$5="",AND(ISNUMBER($B492),$B492&lt;=클레임조회!$C$5)),OR(클레임조회!$C$6="",$C492=클레임조회!$C$6),OR(클레임조회!$C$7="",$D492=클레임조회!$C$7),OR(클레임조회!$C$8="",$E492=클레임조회!$C$8),OR(클레임조회!$C$9="",$F492=클레임조회!$C$9),OR(클레임조회!$C$10="",ISNUMBER(SEARCH(클레임조회!$C$10,$C492&amp;" "&amp;$F492&amp;" "&amp;$G492&amp;" "&amp;$H492)))),COUNT(O$1:O491)+1,"")</f>
        <v/>
      </c>
      <c r="P492" s="0" t="str">
        <f aca="false">IF(AND(TRIM(C492)&lt;&gt;"",COUNTIF(C$2:C492,C492)=1),MAX(P$1:P491)+1,"")</f>
        <v/>
      </c>
      <c r="Q492" s="0" t="str">
        <f aca="false">IF(AND(TRIM(F492)&lt;&gt;"",COUNTIF(F$2:F492,F492)=1),MAX(Q$1:Q491)+1,"")</f>
        <v/>
      </c>
    </row>
    <row r="493" customFormat="false" ht="15" hidden="false" customHeight="false" outlineLevel="0" collapsed="false">
      <c r="A493" s="9"/>
      <c r="B493" s="10"/>
      <c r="C493" s="11"/>
      <c r="D493" s="11"/>
      <c r="E493" s="11"/>
      <c r="F493" s="11"/>
      <c r="G493" s="12"/>
      <c r="H493" s="12"/>
      <c r="I493" s="10"/>
      <c r="J493" s="12"/>
      <c r="K493" s="13" t="str">
        <f aca="false">IF(ISNUMBER(B493),YEAR(B493),"")</f>
        <v/>
      </c>
      <c r="L493" s="13" t="str">
        <f aca="false">IF(ISNUMBER(B493),MONTH(B493),"")</f>
        <v/>
      </c>
      <c r="M493" s="13" t="str">
        <f aca="false">IF(AND(ISNUMBER(B493),ISNUMBER(I493)),B493-I493+1,"")</f>
        <v/>
      </c>
      <c r="N493" s="14" t="str">
        <f aca="false">IF(B493="","",IF(M493="","시작일 미입력",IF(M493&lt;1,"시작일 이전(확인)",IF(M493=1,"1일째",IF(M493=2,"2일째",IF(M493=3,"3일째",IF(M493&lt;=7,"일주일 이내",IF(M493&lt;=14,"이주일 이내","15일 이후"))))))))</f>
        <v/>
      </c>
      <c r="O493" s="0" t="str">
        <f aca="false">IF(AND(COUNTA($A493:$J493)&gt;0,OR(클레임조회!$C$4="",AND(ISNUMBER($B493),$B493&gt;=클레임조회!$C$4)),OR(클레임조회!$C$5="",AND(ISNUMBER($B493),$B493&lt;=클레임조회!$C$5)),OR(클레임조회!$C$6="",$C493=클레임조회!$C$6),OR(클레임조회!$C$7="",$D493=클레임조회!$C$7),OR(클레임조회!$C$8="",$E493=클레임조회!$C$8),OR(클레임조회!$C$9="",$F493=클레임조회!$C$9),OR(클레임조회!$C$10="",ISNUMBER(SEARCH(클레임조회!$C$10,$C493&amp;" "&amp;$F493&amp;" "&amp;$G493&amp;" "&amp;$H493)))),COUNT(O$1:O492)+1,"")</f>
        <v/>
      </c>
      <c r="P493" s="0" t="str">
        <f aca="false">IF(AND(TRIM(C493)&lt;&gt;"",COUNTIF(C$2:C493,C493)=1),MAX(P$1:P492)+1,"")</f>
        <v/>
      </c>
      <c r="Q493" s="0" t="str">
        <f aca="false">IF(AND(TRIM(F493)&lt;&gt;"",COUNTIF(F$2:F493,F493)=1),MAX(Q$1:Q492)+1,"")</f>
        <v/>
      </c>
    </row>
    <row r="494" customFormat="false" ht="15" hidden="false" customHeight="false" outlineLevel="0" collapsed="false">
      <c r="A494" s="9"/>
      <c r="B494" s="10"/>
      <c r="C494" s="11"/>
      <c r="D494" s="11"/>
      <c r="E494" s="11"/>
      <c r="F494" s="11"/>
      <c r="G494" s="12"/>
      <c r="H494" s="12"/>
      <c r="I494" s="10"/>
      <c r="J494" s="12"/>
      <c r="K494" s="13" t="str">
        <f aca="false">IF(ISNUMBER(B494),YEAR(B494),"")</f>
        <v/>
      </c>
      <c r="L494" s="13" t="str">
        <f aca="false">IF(ISNUMBER(B494),MONTH(B494),"")</f>
        <v/>
      </c>
      <c r="M494" s="13" t="str">
        <f aca="false">IF(AND(ISNUMBER(B494),ISNUMBER(I494)),B494-I494+1,"")</f>
        <v/>
      </c>
      <c r="N494" s="14" t="str">
        <f aca="false">IF(B494="","",IF(M494="","시작일 미입력",IF(M494&lt;1,"시작일 이전(확인)",IF(M494=1,"1일째",IF(M494=2,"2일째",IF(M494=3,"3일째",IF(M494&lt;=7,"일주일 이내",IF(M494&lt;=14,"이주일 이내","15일 이후"))))))))</f>
        <v/>
      </c>
      <c r="O494" s="0" t="str">
        <f aca="false">IF(AND(COUNTA($A494:$J494)&gt;0,OR(클레임조회!$C$4="",AND(ISNUMBER($B494),$B494&gt;=클레임조회!$C$4)),OR(클레임조회!$C$5="",AND(ISNUMBER($B494),$B494&lt;=클레임조회!$C$5)),OR(클레임조회!$C$6="",$C494=클레임조회!$C$6),OR(클레임조회!$C$7="",$D494=클레임조회!$C$7),OR(클레임조회!$C$8="",$E494=클레임조회!$C$8),OR(클레임조회!$C$9="",$F494=클레임조회!$C$9),OR(클레임조회!$C$10="",ISNUMBER(SEARCH(클레임조회!$C$10,$C494&amp;" "&amp;$F494&amp;" "&amp;$G494&amp;" "&amp;$H494)))),COUNT(O$1:O493)+1,"")</f>
        <v/>
      </c>
      <c r="P494" s="0" t="str">
        <f aca="false">IF(AND(TRIM(C494)&lt;&gt;"",COUNTIF(C$2:C494,C494)=1),MAX(P$1:P493)+1,"")</f>
        <v/>
      </c>
      <c r="Q494" s="0" t="str">
        <f aca="false">IF(AND(TRIM(F494)&lt;&gt;"",COUNTIF(F$2:F494,F494)=1),MAX(Q$1:Q493)+1,"")</f>
        <v/>
      </c>
    </row>
    <row r="495" customFormat="false" ht="15" hidden="false" customHeight="false" outlineLevel="0" collapsed="false">
      <c r="A495" s="9"/>
      <c r="B495" s="10"/>
      <c r="C495" s="11"/>
      <c r="D495" s="11"/>
      <c r="E495" s="11"/>
      <c r="F495" s="11"/>
      <c r="G495" s="12"/>
      <c r="H495" s="12"/>
      <c r="I495" s="10"/>
      <c r="J495" s="12"/>
      <c r="K495" s="13" t="str">
        <f aca="false">IF(ISNUMBER(B495),YEAR(B495),"")</f>
        <v/>
      </c>
      <c r="L495" s="13" t="str">
        <f aca="false">IF(ISNUMBER(B495),MONTH(B495),"")</f>
        <v/>
      </c>
      <c r="M495" s="13" t="str">
        <f aca="false">IF(AND(ISNUMBER(B495),ISNUMBER(I495)),B495-I495+1,"")</f>
        <v/>
      </c>
      <c r="N495" s="14" t="str">
        <f aca="false">IF(B495="","",IF(M495="","시작일 미입력",IF(M495&lt;1,"시작일 이전(확인)",IF(M495=1,"1일째",IF(M495=2,"2일째",IF(M495=3,"3일째",IF(M495&lt;=7,"일주일 이내",IF(M495&lt;=14,"이주일 이내","15일 이후"))))))))</f>
        <v/>
      </c>
      <c r="O495" s="0" t="str">
        <f aca="false">IF(AND(COUNTA($A495:$J495)&gt;0,OR(클레임조회!$C$4="",AND(ISNUMBER($B495),$B495&gt;=클레임조회!$C$4)),OR(클레임조회!$C$5="",AND(ISNUMBER($B495),$B495&lt;=클레임조회!$C$5)),OR(클레임조회!$C$6="",$C495=클레임조회!$C$6),OR(클레임조회!$C$7="",$D495=클레임조회!$C$7),OR(클레임조회!$C$8="",$E495=클레임조회!$C$8),OR(클레임조회!$C$9="",$F495=클레임조회!$C$9),OR(클레임조회!$C$10="",ISNUMBER(SEARCH(클레임조회!$C$10,$C495&amp;" "&amp;$F495&amp;" "&amp;$G495&amp;" "&amp;$H495)))),COUNT(O$1:O494)+1,"")</f>
        <v/>
      </c>
      <c r="P495" s="0" t="str">
        <f aca="false">IF(AND(TRIM(C495)&lt;&gt;"",COUNTIF(C$2:C495,C495)=1),MAX(P$1:P494)+1,"")</f>
        <v/>
      </c>
      <c r="Q495" s="0" t="str">
        <f aca="false">IF(AND(TRIM(F495)&lt;&gt;"",COUNTIF(F$2:F495,F495)=1),MAX(Q$1:Q494)+1,"")</f>
        <v/>
      </c>
    </row>
    <row r="496" customFormat="false" ht="15" hidden="false" customHeight="false" outlineLevel="0" collapsed="false">
      <c r="A496" s="9"/>
      <c r="B496" s="10"/>
      <c r="C496" s="11"/>
      <c r="D496" s="11"/>
      <c r="E496" s="11"/>
      <c r="F496" s="11"/>
      <c r="G496" s="12"/>
      <c r="H496" s="12"/>
      <c r="I496" s="10"/>
      <c r="J496" s="12"/>
      <c r="K496" s="13" t="str">
        <f aca="false">IF(ISNUMBER(B496),YEAR(B496),"")</f>
        <v/>
      </c>
      <c r="L496" s="13" t="str">
        <f aca="false">IF(ISNUMBER(B496),MONTH(B496),"")</f>
        <v/>
      </c>
      <c r="M496" s="13" t="str">
        <f aca="false">IF(AND(ISNUMBER(B496),ISNUMBER(I496)),B496-I496+1,"")</f>
        <v/>
      </c>
      <c r="N496" s="14" t="str">
        <f aca="false">IF(B496="","",IF(M496="","시작일 미입력",IF(M496&lt;1,"시작일 이전(확인)",IF(M496=1,"1일째",IF(M496=2,"2일째",IF(M496=3,"3일째",IF(M496&lt;=7,"일주일 이내",IF(M496&lt;=14,"이주일 이내","15일 이후"))))))))</f>
        <v/>
      </c>
      <c r="O496" s="0" t="str">
        <f aca="false">IF(AND(COUNTA($A496:$J496)&gt;0,OR(클레임조회!$C$4="",AND(ISNUMBER($B496),$B496&gt;=클레임조회!$C$4)),OR(클레임조회!$C$5="",AND(ISNUMBER($B496),$B496&lt;=클레임조회!$C$5)),OR(클레임조회!$C$6="",$C496=클레임조회!$C$6),OR(클레임조회!$C$7="",$D496=클레임조회!$C$7),OR(클레임조회!$C$8="",$E496=클레임조회!$C$8),OR(클레임조회!$C$9="",$F496=클레임조회!$C$9),OR(클레임조회!$C$10="",ISNUMBER(SEARCH(클레임조회!$C$10,$C496&amp;" "&amp;$F496&amp;" "&amp;$G496&amp;" "&amp;$H496)))),COUNT(O$1:O495)+1,"")</f>
        <v/>
      </c>
      <c r="P496" s="0" t="str">
        <f aca="false">IF(AND(TRIM(C496)&lt;&gt;"",COUNTIF(C$2:C496,C496)=1),MAX(P$1:P495)+1,"")</f>
        <v/>
      </c>
      <c r="Q496" s="0" t="str">
        <f aca="false">IF(AND(TRIM(F496)&lt;&gt;"",COUNTIF(F$2:F496,F496)=1),MAX(Q$1:Q495)+1,"")</f>
        <v/>
      </c>
    </row>
    <row r="497" customFormat="false" ht="15" hidden="false" customHeight="false" outlineLevel="0" collapsed="false">
      <c r="A497" s="9"/>
      <c r="B497" s="10"/>
      <c r="C497" s="11"/>
      <c r="D497" s="11"/>
      <c r="E497" s="11"/>
      <c r="F497" s="11"/>
      <c r="G497" s="12"/>
      <c r="H497" s="12"/>
      <c r="I497" s="10"/>
      <c r="J497" s="12"/>
      <c r="K497" s="13" t="str">
        <f aca="false">IF(ISNUMBER(B497),YEAR(B497),"")</f>
        <v/>
      </c>
      <c r="L497" s="13" t="str">
        <f aca="false">IF(ISNUMBER(B497),MONTH(B497),"")</f>
        <v/>
      </c>
      <c r="M497" s="13" t="str">
        <f aca="false">IF(AND(ISNUMBER(B497),ISNUMBER(I497)),B497-I497+1,"")</f>
        <v/>
      </c>
      <c r="N497" s="14" t="str">
        <f aca="false">IF(B497="","",IF(M497="","시작일 미입력",IF(M497&lt;1,"시작일 이전(확인)",IF(M497=1,"1일째",IF(M497=2,"2일째",IF(M497=3,"3일째",IF(M497&lt;=7,"일주일 이내",IF(M497&lt;=14,"이주일 이내","15일 이후"))))))))</f>
        <v/>
      </c>
      <c r="O497" s="0" t="str">
        <f aca="false">IF(AND(COUNTA($A497:$J497)&gt;0,OR(클레임조회!$C$4="",AND(ISNUMBER($B497),$B497&gt;=클레임조회!$C$4)),OR(클레임조회!$C$5="",AND(ISNUMBER($B497),$B497&lt;=클레임조회!$C$5)),OR(클레임조회!$C$6="",$C497=클레임조회!$C$6),OR(클레임조회!$C$7="",$D497=클레임조회!$C$7),OR(클레임조회!$C$8="",$E497=클레임조회!$C$8),OR(클레임조회!$C$9="",$F497=클레임조회!$C$9),OR(클레임조회!$C$10="",ISNUMBER(SEARCH(클레임조회!$C$10,$C497&amp;" "&amp;$F497&amp;" "&amp;$G497&amp;" "&amp;$H497)))),COUNT(O$1:O496)+1,"")</f>
        <v/>
      </c>
      <c r="P497" s="0" t="str">
        <f aca="false">IF(AND(TRIM(C497)&lt;&gt;"",COUNTIF(C$2:C497,C497)=1),MAX(P$1:P496)+1,"")</f>
        <v/>
      </c>
      <c r="Q497" s="0" t="str">
        <f aca="false">IF(AND(TRIM(F497)&lt;&gt;"",COUNTIF(F$2:F497,F497)=1),MAX(Q$1:Q496)+1,"")</f>
        <v/>
      </c>
    </row>
    <row r="498" customFormat="false" ht="15" hidden="false" customHeight="false" outlineLevel="0" collapsed="false">
      <c r="A498" s="9"/>
      <c r="B498" s="10"/>
      <c r="C498" s="11"/>
      <c r="D498" s="11"/>
      <c r="E498" s="11"/>
      <c r="F498" s="11"/>
      <c r="G498" s="12"/>
      <c r="H498" s="12"/>
      <c r="I498" s="10"/>
      <c r="J498" s="12"/>
      <c r="K498" s="13" t="str">
        <f aca="false">IF(ISNUMBER(B498),YEAR(B498),"")</f>
        <v/>
      </c>
      <c r="L498" s="13" t="str">
        <f aca="false">IF(ISNUMBER(B498),MONTH(B498),"")</f>
        <v/>
      </c>
      <c r="M498" s="13" t="str">
        <f aca="false">IF(AND(ISNUMBER(B498),ISNUMBER(I498)),B498-I498+1,"")</f>
        <v/>
      </c>
      <c r="N498" s="14" t="str">
        <f aca="false">IF(B498="","",IF(M498="","시작일 미입력",IF(M498&lt;1,"시작일 이전(확인)",IF(M498=1,"1일째",IF(M498=2,"2일째",IF(M498=3,"3일째",IF(M498&lt;=7,"일주일 이내",IF(M498&lt;=14,"이주일 이내","15일 이후"))))))))</f>
        <v/>
      </c>
      <c r="O498" s="0" t="str">
        <f aca="false">IF(AND(COUNTA($A498:$J498)&gt;0,OR(클레임조회!$C$4="",AND(ISNUMBER($B498),$B498&gt;=클레임조회!$C$4)),OR(클레임조회!$C$5="",AND(ISNUMBER($B498),$B498&lt;=클레임조회!$C$5)),OR(클레임조회!$C$6="",$C498=클레임조회!$C$6),OR(클레임조회!$C$7="",$D498=클레임조회!$C$7),OR(클레임조회!$C$8="",$E498=클레임조회!$C$8),OR(클레임조회!$C$9="",$F498=클레임조회!$C$9),OR(클레임조회!$C$10="",ISNUMBER(SEARCH(클레임조회!$C$10,$C498&amp;" "&amp;$F498&amp;" "&amp;$G498&amp;" "&amp;$H498)))),COUNT(O$1:O497)+1,"")</f>
        <v/>
      </c>
      <c r="P498" s="0" t="str">
        <f aca="false">IF(AND(TRIM(C498)&lt;&gt;"",COUNTIF(C$2:C498,C498)=1),MAX(P$1:P497)+1,"")</f>
        <v/>
      </c>
      <c r="Q498" s="0" t="str">
        <f aca="false">IF(AND(TRIM(F498)&lt;&gt;"",COUNTIF(F$2:F498,F498)=1),MAX(Q$1:Q497)+1,"")</f>
        <v/>
      </c>
    </row>
    <row r="499" customFormat="false" ht="15" hidden="false" customHeight="false" outlineLevel="0" collapsed="false">
      <c r="A499" s="9"/>
      <c r="B499" s="10"/>
      <c r="C499" s="11"/>
      <c r="D499" s="11"/>
      <c r="E499" s="11"/>
      <c r="F499" s="11"/>
      <c r="G499" s="12"/>
      <c r="H499" s="12"/>
      <c r="I499" s="10"/>
      <c r="J499" s="12"/>
      <c r="K499" s="13" t="str">
        <f aca="false">IF(ISNUMBER(B499),YEAR(B499),"")</f>
        <v/>
      </c>
      <c r="L499" s="13" t="str">
        <f aca="false">IF(ISNUMBER(B499),MONTH(B499),"")</f>
        <v/>
      </c>
      <c r="M499" s="13" t="str">
        <f aca="false">IF(AND(ISNUMBER(B499),ISNUMBER(I499)),B499-I499+1,"")</f>
        <v/>
      </c>
      <c r="N499" s="14" t="str">
        <f aca="false">IF(B499="","",IF(M499="","시작일 미입력",IF(M499&lt;1,"시작일 이전(확인)",IF(M499=1,"1일째",IF(M499=2,"2일째",IF(M499=3,"3일째",IF(M499&lt;=7,"일주일 이내",IF(M499&lt;=14,"이주일 이내","15일 이후"))))))))</f>
        <v/>
      </c>
      <c r="O499" s="0" t="str">
        <f aca="false">IF(AND(COUNTA($A499:$J499)&gt;0,OR(클레임조회!$C$4="",AND(ISNUMBER($B499),$B499&gt;=클레임조회!$C$4)),OR(클레임조회!$C$5="",AND(ISNUMBER($B499),$B499&lt;=클레임조회!$C$5)),OR(클레임조회!$C$6="",$C499=클레임조회!$C$6),OR(클레임조회!$C$7="",$D499=클레임조회!$C$7),OR(클레임조회!$C$8="",$E499=클레임조회!$C$8),OR(클레임조회!$C$9="",$F499=클레임조회!$C$9),OR(클레임조회!$C$10="",ISNUMBER(SEARCH(클레임조회!$C$10,$C499&amp;" "&amp;$F499&amp;" "&amp;$G499&amp;" "&amp;$H499)))),COUNT(O$1:O498)+1,"")</f>
        <v/>
      </c>
      <c r="P499" s="0" t="str">
        <f aca="false">IF(AND(TRIM(C499)&lt;&gt;"",COUNTIF(C$2:C499,C499)=1),MAX(P$1:P498)+1,"")</f>
        <v/>
      </c>
      <c r="Q499" s="0" t="str">
        <f aca="false">IF(AND(TRIM(F499)&lt;&gt;"",COUNTIF(F$2:F499,F499)=1),MAX(Q$1:Q498)+1,"")</f>
        <v/>
      </c>
    </row>
    <row r="500" customFormat="false" ht="15" hidden="false" customHeight="false" outlineLevel="0" collapsed="false">
      <c r="A500" s="9"/>
      <c r="B500" s="10"/>
      <c r="C500" s="11"/>
      <c r="D500" s="11"/>
      <c r="E500" s="11"/>
      <c r="F500" s="11"/>
      <c r="G500" s="12"/>
      <c r="H500" s="12"/>
      <c r="I500" s="10"/>
      <c r="J500" s="12"/>
      <c r="K500" s="13" t="str">
        <f aca="false">IF(ISNUMBER(B500),YEAR(B500),"")</f>
        <v/>
      </c>
      <c r="L500" s="13" t="str">
        <f aca="false">IF(ISNUMBER(B500),MONTH(B500),"")</f>
        <v/>
      </c>
      <c r="M500" s="13" t="str">
        <f aca="false">IF(AND(ISNUMBER(B500),ISNUMBER(I500)),B500-I500+1,"")</f>
        <v/>
      </c>
      <c r="N500" s="14" t="str">
        <f aca="false">IF(B500="","",IF(M500="","시작일 미입력",IF(M500&lt;1,"시작일 이전(확인)",IF(M500=1,"1일째",IF(M500=2,"2일째",IF(M500=3,"3일째",IF(M500&lt;=7,"일주일 이내",IF(M500&lt;=14,"이주일 이내","15일 이후"))))))))</f>
        <v/>
      </c>
      <c r="O500" s="0" t="str">
        <f aca="false">IF(AND(COUNTA($A500:$J500)&gt;0,OR(클레임조회!$C$4="",AND(ISNUMBER($B500),$B500&gt;=클레임조회!$C$4)),OR(클레임조회!$C$5="",AND(ISNUMBER($B500),$B500&lt;=클레임조회!$C$5)),OR(클레임조회!$C$6="",$C500=클레임조회!$C$6),OR(클레임조회!$C$7="",$D500=클레임조회!$C$7),OR(클레임조회!$C$8="",$E500=클레임조회!$C$8),OR(클레임조회!$C$9="",$F500=클레임조회!$C$9),OR(클레임조회!$C$10="",ISNUMBER(SEARCH(클레임조회!$C$10,$C500&amp;" "&amp;$F500&amp;" "&amp;$G500&amp;" "&amp;$H500)))),COUNT(O$1:O499)+1,"")</f>
        <v/>
      </c>
      <c r="P500" s="0" t="str">
        <f aca="false">IF(AND(TRIM(C500)&lt;&gt;"",COUNTIF(C$2:C500,C500)=1),MAX(P$1:P499)+1,"")</f>
        <v/>
      </c>
      <c r="Q500" s="0" t="str">
        <f aca="false">IF(AND(TRIM(F500)&lt;&gt;"",COUNTIF(F$2:F500,F500)=1),MAX(Q$1:Q499)+1,"")</f>
        <v/>
      </c>
    </row>
    <row r="501" customFormat="false" ht="15" hidden="false" customHeight="false" outlineLevel="0" collapsed="false">
      <c r="A501" s="9"/>
      <c r="B501" s="10"/>
      <c r="C501" s="11"/>
      <c r="D501" s="11"/>
      <c r="E501" s="11"/>
      <c r="F501" s="11"/>
      <c r="G501" s="12"/>
      <c r="H501" s="12"/>
      <c r="I501" s="10"/>
      <c r="J501" s="12"/>
      <c r="K501" s="13" t="str">
        <f aca="false">IF(ISNUMBER(B501),YEAR(B501),"")</f>
        <v/>
      </c>
      <c r="L501" s="13" t="str">
        <f aca="false">IF(ISNUMBER(B501),MONTH(B501),"")</f>
        <v/>
      </c>
      <c r="M501" s="13" t="str">
        <f aca="false">IF(AND(ISNUMBER(B501),ISNUMBER(I501)),B501-I501+1,"")</f>
        <v/>
      </c>
      <c r="N501" s="14" t="str">
        <f aca="false">IF(B501="","",IF(M501="","시작일 미입력",IF(M501&lt;1,"시작일 이전(확인)",IF(M501=1,"1일째",IF(M501=2,"2일째",IF(M501=3,"3일째",IF(M501&lt;=7,"일주일 이내",IF(M501&lt;=14,"이주일 이내","15일 이후"))))))))</f>
        <v/>
      </c>
      <c r="O501" s="0" t="str">
        <f aca="false">IF(AND(COUNTA($A501:$J501)&gt;0,OR(클레임조회!$C$4="",AND(ISNUMBER($B501),$B501&gt;=클레임조회!$C$4)),OR(클레임조회!$C$5="",AND(ISNUMBER($B501),$B501&lt;=클레임조회!$C$5)),OR(클레임조회!$C$6="",$C501=클레임조회!$C$6),OR(클레임조회!$C$7="",$D501=클레임조회!$C$7),OR(클레임조회!$C$8="",$E501=클레임조회!$C$8),OR(클레임조회!$C$9="",$F501=클레임조회!$C$9),OR(클레임조회!$C$10="",ISNUMBER(SEARCH(클레임조회!$C$10,$C501&amp;" "&amp;$F501&amp;" "&amp;$G501&amp;" "&amp;$H501)))),COUNT(O$1:O500)+1,"")</f>
        <v/>
      </c>
      <c r="P501" s="0" t="str">
        <f aca="false">IF(AND(TRIM(C501)&lt;&gt;"",COUNTIF(C$2:C501,C501)=1),MAX(P$1:P500)+1,"")</f>
        <v/>
      </c>
      <c r="Q501" s="0" t="str">
        <f aca="false">IF(AND(TRIM(F501)&lt;&gt;"",COUNTIF(F$2:F501,F501)=1),MAX(Q$1:Q500)+1,"")</f>
        <v/>
      </c>
    </row>
    <row r="502" customFormat="false" ht="15" hidden="false" customHeight="false" outlineLevel="0" collapsed="false">
      <c r="A502" s="9"/>
      <c r="B502" s="10"/>
      <c r="C502" s="11"/>
      <c r="D502" s="11"/>
      <c r="E502" s="11"/>
      <c r="F502" s="11"/>
      <c r="G502" s="12"/>
      <c r="H502" s="12"/>
      <c r="I502" s="10"/>
      <c r="J502" s="12"/>
      <c r="K502" s="13" t="str">
        <f aca="false">IF(ISNUMBER(B502),YEAR(B502),"")</f>
        <v/>
      </c>
      <c r="L502" s="13" t="str">
        <f aca="false">IF(ISNUMBER(B502),MONTH(B502),"")</f>
        <v/>
      </c>
      <c r="M502" s="13" t="str">
        <f aca="false">IF(AND(ISNUMBER(B502),ISNUMBER(I502)),B502-I502+1,"")</f>
        <v/>
      </c>
      <c r="N502" s="14" t="str">
        <f aca="false">IF(B502="","",IF(M502="","시작일 미입력",IF(M502&lt;1,"시작일 이전(확인)",IF(M502=1,"1일째",IF(M502=2,"2일째",IF(M502=3,"3일째",IF(M502&lt;=7,"일주일 이내",IF(M502&lt;=14,"이주일 이내","15일 이후"))))))))</f>
        <v/>
      </c>
      <c r="O502" s="0" t="str">
        <f aca="false">IF(AND(COUNTA($A502:$J502)&gt;0,OR(클레임조회!$C$4="",AND(ISNUMBER($B502),$B502&gt;=클레임조회!$C$4)),OR(클레임조회!$C$5="",AND(ISNUMBER($B502),$B502&lt;=클레임조회!$C$5)),OR(클레임조회!$C$6="",$C502=클레임조회!$C$6),OR(클레임조회!$C$7="",$D502=클레임조회!$C$7),OR(클레임조회!$C$8="",$E502=클레임조회!$C$8),OR(클레임조회!$C$9="",$F502=클레임조회!$C$9),OR(클레임조회!$C$10="",ISNUMBER(SEARCH(클레임조회!$C$10,$C502&amp;" "&amp;$F502&amp;" "&amp;$G502&amp;" "&amp;$H502)))),COUNT(O$1:O501)+1,"")</f>
        <v/>
      </c>
      <c r="P502" s="0" t="str">
        <f aca="false">IF(AND(TRIM(C502)&lt;&gt;"",COUNTIF(C$2:C502,C502)=1),MAX(P$1:P501)+1,"")</f>
        <v/>
      </c>
      <c r="Q502" s="0" t="str">
        <f aca="false">IF(AND(TRIM(F502)&lt;&gt;"",COUNTIF(F$2:F502,F502)=1),MAX(Q$1:Q501)+1,"")</f>
        <v/>
      </c>
    </row>
    <row r="503" customFormat="false" ht="15" hidden="false" customHeight="false" outlineLevel="0" collapsed="false">
      <c r="A503" s="9"/>
      <c r="B503" s="10"/>
      <c r="C503" s="11"/>
      <c r="D503" s="11"/>
      <c r="E503" s="11"/>
      <c r="F503" s="11"/>
      <c r="G503" s="12"/>
      <c r="H503" s="12"/>
      <c r="I503" s="10"/>
      <c r="J503" s="12"/>
      <c r="K503" s="13" t="str">
        <f aca="false">IF(ISNUMBER(B503),YEAR(B503),"")</f>
        <v/>
      </c>
      <c r="L503" s="13" t="str">
        <f aca="false">IF(ISNUMBER(B503),MONTH(B503),"")</f>
        <v/>
      </c>
      <c r="M503" s="13" t="str">
        <f aca="false">IF(AND(ISNUMBER(B503),ISNUMBER(I503)),B503-I503+1,"")</f>
        <v/>
      </c>
      <c r="N503" s="14" t="str">
        <f aca="false">IF(B503="","",IF(M503="","시작일 미입력",IF(M503&lt;1,"시작일 이전(확인)",IF(M503=1,"1일째",IF(M503=2,"2일째",IF(M503=3,"3일째",IF(M503&lt;=7,"일주일 이내",IF(M503&lt;=14,"이주일 이내","15일 이후"))))))))</f>
        <v/>
      </c>
      <c r="O503" s="0" t="str">
        <f aca="false">IF(AND(COUNTA($A503:$J503)&gt;0,OR(클레임조회!$C$4="",AND(ISNUMBER($B503),$B503&gt;=클레임조회!$C$4)),OR(클레임조회!$C$5="",AND(ISNUMBER($B503),$B503&lt;=클레임조회!$C$5)),OR(클레임조회!$C$6="",$C503=클레임조회!$C$6),OR(클레임조회!$C$7="",$D503=클레임조회!$C$7),OR(클레임조회!$C$8="",$E503=클레임조회!$C$8),OR(클레임조회!$C$9="",$F503=클레임조회!$C$9),OR(클레임조회!$C$10="",ISNUMBER(SEARCH(클레임조회!$C$10,$C503&amp;" "&amp;$F503&amp;" "&amp;$G503&amp;" "&amp;$H503)))),COUNT(O$1:O502)+1,"")</f>
        <v/>
      </c>
      <c r="P503" s="0" t="str">
        <f aca="false">IF(AND(TRIM(C503)&lt;&gt;"",COUNTIF(C$2:C503,C503)=1),MAX(P$1:P502)+1,"")</f>
        <v/>
      </c>
      <c r="Q503" s="0" t="str">
        <f aca="false">IF(AND(TRIM(F503)&lt;&gt;"",COUNTIF(F$2:F503,F503)=1),MAX(Q$1:Q502)+1,"")</f>
        <v/>
      </c>
    </row>
    <row r="504" customFormat="false" ht="15" hidden="false" customHeight="false" outlineLevel="0" collapsed="false">
      <c r="A504" s="9"/>
      <c r="B504" s="10"/>
      <c r="C504" s="11"/>
      <c r="D504" s="11"/>
      <c r="E504" s="11"/>
      <c r="F504" s="11"/>
      <c r="G504" s="12"/>
      <c r="H504" s="12"/>
      <c r="I504" s="10"/>
      <c r="J504" s="12"/>
      <c r="K504" s="13" t="str">
        <f aca="false">IF(ISNUMBER(B504),YEAR(B504),"")</f>
        <v/>
      </c>
      <c r="L504" s="13" t="str">
        <f aca="false">IF(ISNUMBER(B504),MONTH(B504),"")</f>
        <v/>
      </c>
      <c r="M504" s="13" t="str">
        <f aca="false">IF(AND(ISNUMBER(B504),ISNUMBER(I504)),B504-I504+1,"")</f>
        <v/>
      </c>
      <c r="N504" s="14" t="str">
        <f aca="false">IF(B504="","",IF(M504="","시작일 미입력",IF(M504&lt;1,"시작일 이전(확인)",IF(M504=1,"1일째",IF(M504=2,"2일째",IF(M504=3,"3일째",IF(M504&lt;=7,"일주일 이내",IF(M504&lt;=14,"이주일 이내","15일 이후"))))))))</f>
        <v/>
      </c>
      <c r="O504" s="0" t="str">
        <f aca="false">IF(AND(COUNTA($A504:$J504)&gt;0,OR(클레임조회!$C$4="",AND(ISNUMBER($B504),$B504&gt;=클레임조회!$C$4)),OR(클레임조회!$C$5="",AND(ISNUMBER($B504),$B504&lt;=클레임조회!$C$5)),OR(클레임조회!$C$6="",$C504=클레임조회!$C$6),OR(클레임조회!$C$7="",$D504=클레임조회!$C$7),OR(클레임조회!$C$8="",$E504=클레임조회!$C$8),OR(클레임조회!$C$9="",$F504=클레임조회!$C$9),OR(클레임조회!$C$10="",ISNUMBER(SEARCH(클레임조회!$C$10,$C504&amp;" "&amp;$F504&amp;" "&amp;$G504&amp;" "&amp;$H504)))),COUNT(O$1:O503)+1,"")</f>
        <v/>
      </c>
      <c r="P504" s="0" t="str">
        <f aca="false">IF(AND(TRIM(C504)&lt;&gt;"",COUNTIF(C$2:C504,C504)=1),MAX(P$1:P503)+1,"")</f>
        <v/>
      </c>
      <c r="Q504" s="0" t="str">
        <f aca="false">IF(AND(TRIM(F504)&lt;&gt;"",COUNTIF(F$2:F504,F504)=1),MAX(Q$1:Q503)+1,"")</f>
        <v/>
      </c>
    </row>
    <row r="505" customFormat="false" ht="15" hidden="false" customHeight="false" outlineLevel="0" collapsed="false">
      <c r="A505" s="9"/>
      <c r="B505" s="10"/>
      <c r="C505" s="11"/>
      <c r="D505" s="11"/>
      <c r="E505" s="11"/>
      <c r="F505" s="11"/>
      <c r="G505" s="12"/>
      <c r="H505" s="12"/>
      <c r="I505" s="10"/>
      <c r="J505" s="12"/>
      <c r="K505" s="13" t="str">
        <f aca="false">IF(ISNUMBER(B505),YEAR(B505),"")</f>
        <v/>
      </c>
      <c r="L505" s="13" t="str">
        <f aca="false">IF(ISNUMBER(B505),MONTH(B505),"")</f>
        <v/>
      </c>
      <c r="M505" s="13" t="str">
        <f aca="false">IF(AND(ISNUMBER(B505),ISNUMBER(I505)),B505-I505+1,"")</f>
        <v/>
      </c>
      <c r="N505" s="14" t="str">
        <f aca="false">IF(B505="","",IF(M505="","시작일 미입력",IF(M505&lt;1,"시작일 이전(확인)",IF(M505=1,"1일째",IF(M505=2,"2일째",IF(M505=3,"3일째",IF(M505&lt;=7,"일주일 이내",IF(M505&lt;=14,"이주일 이내","15일 이후"))))))))</f>
        <v/>
      </c>
      <c r="O505" s="0" t="str">
        <f aca="false">IF(AND(COUNTA($A505:$J505)&gt;0,OR(클레임조회!$C$4="",AND(ISNUMBER($B505),$B505&gt;=클레임조회!$C$4)),OR(클레임조회!$C$5="",AND(ISNUMBER($B505),$B505&lt;=클레임조회!$C$5)),OR(클레임조회!$C$6="",$C505=클레임조회!$C$6),OR(클레임조회!$C$7="",$D505=클레임조회!$C$7),OR(클레임조회!$C$8="",$E505=클레임조회!$C$8),OR(클레임조회!$C$9="",$F505=클레임조회!$C$9),OR(클레임조회!$C$10="",ISNUMBER(SEARCH(클레임조회!$C$10,$C505&amp;" "&amp;$F505&amp;" "&amp;$G505&amp;" "&amp;$H505)))),COUNT(O$1:O504)+1,"")</f>
        <v/>
      </c>
      <c r="P505" s="0" t="str">
        <f aca="false">IF(AND(TRIM(C505)&lt;&gt;"",COUNTIF(C$2:C505,C505)=1),MAX(P$1:P504)+1,"")</f>
        <v/>
      </c>
      <c r="Q505" s="0" t="str">
        <f aca="false">IF(AND(TRIM(F505)&lt;&gt;"",COUNTIF(F$2:F505,F505)=1),MAX(Q$1:Q504)+1,"")</f>
        <v/>
      </c>
    </row>
    <row r="506" customFormat="false" ht="15" hidden="false" customHeight="false" outlineLevel="0" collapsed="false">
      <c r="A506" s="9"/>
      <c r="B506" s="10"/>
      <c r="C506" s="11"/>
      <c r="D506" s="11"/>
      <c r="E506" s="11"/>
      <c r="F506" s="11"/>
      <c r="G506" s="12"/>
      <c r="H506" s="12"/>
      <c r="I506" s="10"/>
      <c r="J506" s="12"/>
      <c r="K506" s="13" t="str">
        <f aca="false">IF(ISNUMBER(B506),YEAR(B506),"")</f>
        <v/>
      </c>
      <c r="L506" s="13" t="str">
        <f aca="false">IF(ISNUMBER(B506),MONTH(B506),"")</f>
        <v/>
      </c>
      <c r="M506" s="13" t="str">
        <f aca="false">IF(AND(ISNUMBER(B506),ISNUMBER(I506)),B506-I506+1,"")</f>
        <v/>
      </c>
      <c r="N506" s="14" t="str">
        <f aca="false">IF(B506="","",IF(M506="","시작일 미입력",IF(M506&lt;1,"시작일 이전(확인)",IF(M506=1,"1일째",IF(M506=2,"2일째",IF(M506=3,"3일째",IF(M506&lt;=7,"일주일 이내",IF(M506&lt;=14,"이주일 이내","15일 이후"))))))))</f>
        <v/>
      </c>
      <c r="O506" s="0" t="str">
        <f aca="false">IF(AND(COUNTA($A506:$J506)&gt;0,OR(클레임조회!$C$4="",AND(ISNUMBER($B506),$B506&gt;=클레임조회!$C$4)),OR(클레임조회!$C$5="",AND(ISNUMBER($B506),$B506&lt;=클레임조회!$C$5)),OR(클레임조회!$C$6="",$C506=클레임조회!$C$6),OR(클레임조회!$C$7="",$D506=클레임조회!$C$7),OR(클레임조회!$C$8="",$E506=클레임조회!$C$8),OR(클레임조회!$C$9="",$F506=클레임조회!$C$9),OR(클레임조회!$C$10="",ISNUMBER(SEARCH(클레임조회!$C$10,$C506&amp;" "&amp;$F506&amp;" "&amp;$G506&amp;" "&amp;$H506)))),COUNT(O$1:O505)+1,"")</f>
        <v/>
      </c>
      <c r="P506" s="0" t="str">
        <f aca="false">IF(AND(TRIM(C506)&lt;&gt;"",COUNTIF(C$2:C506,C506)=1),MAX(P$1:P505)+1,"")</f>
        <v/>
      </c>
      <c r="Q506" s="0" t="str">
        <f aca="false">IF(AND(TRIM(F506)&lt;&gt;"",COUNTIF(F$2:F506,F506)=1),MAX(Q$1:Q505)+1,"")</f>
        <v/>
      </c>
    </row>
    <row r="507" customFormat="false" ht="15" hidden="false" customHeight="false" outlineLevel="0" collapsed="false">
      <c r="A507" s="9"/>
      <c r="B507" s="10"/>
      <c r="C507" s="11"/>
      <c r="D507" s="11"/>
      <c r="E507" s="11"/>
      <c r="F507" s="11"/>
      <c r="G507" s="12"/>
      <c r="H507" s="12"/>
      <c r="I507" s="10"/>
      <c r="J507" s="12"/>
      <c r="K507" s="13" t="str">
        <f aca="false">IF(ISNUMBER(B507),YEAR(B507),"")</f>
        <v/>
      </c>
      <c r="L507" s="13" t="str">
        <f aca="false">IF(ISNUMBER(B507),MONTH(B507),"")</f>
        <v/>
      </c>
      <c r="M507" s="13" t="str">
        <f aca="false">IF(AND(ISNUMBER(B507),ISNUMBER(I507)),B507-I507+1,"")</f>
        <v/>
      </c>
      <c r="N507" s="14" t="str">
        <f aca="false">IF(B507="","",IF(M507="","시작일 미입력",IF(M507&lt;1,"시작일 이전(확인)",IF(M507=1,"1일째",IF(M507=2,"2일째",IF(M507=3,"3일째",IF(M507&lt;=7,"일주일 이내",IF(M507&lt;=14,"이주일 이내","15일 이후"))))))))</f>
        <v/>
      </c>
      <c r="O507" s="0" t="str">
        <f aca="false">IF(AND(COUNTA($A507:$J507)&gt;0,OR(클레임조회!$C$4="",AND(ISNUMBER($B507),$B507&gt;=클레임조회!$C$4)),OR(클레임조회!$C$5="",AND(ISNUMBER($B507),$B507&lt;=클레임조회!$C$5)),OR(클레임조회!$C$6="",$C507=클레임조회!$C$6),OR(클레임조회!$C$7="",$D507=클레임조회!$C$7),OR(클레임조회!$C$8="",$E507=클레임조회!$C$8),OR(클레임조회!$C$9="",$F507=클레임조회!$C$9),OR(클레임조회!$C$10="",ISNUMBER(SEARCH(클레임조회!$C$10,$C507&amp;" "&amp;$F507&amp;" "&amp;$G507&amp;" "&amp;$H507)))),COUNT(O$1:O506)+1,"")</f>
        <v/>
      </c>
      <c r="P507" s="0" t="str">
        <f aca="false">IF(AND(TRIM(C507)&lt;&gt;"",COUNTIF(C$2:C507,C507)=1),MAX(P$1:P506)+1,"")</f>
        <v/>
      </c>
      <c r="Q507" s="0" t="str">
        <f aca="false">IF(AND(TRIM(F507)&lt;&gt;"",COUNTIF(F$2:F507,F507)=1),MAX(Q$1:Q506)+1,"")</f>
        <v/>
      </c>
    </row>
    <row r="508" customFormat="false" ht="15" hidden="false" customHeight="false" outlineLevel="0" collapsed="false">
      <c r="A508" s="9"/>
      <c r="B508" s="10"/>
      <c r="C508" s="11"/>
      <c r="D508" s="11"/>
      <c r="E508" s="11"/>
      <c r="F508" s="11"/>
      <c r="G508" s="12"/>
      <c r="H508" s="12"/>
      <c r="I508" s="10"/>
      <c r="J508" s="12"/>
      <c r="K508" s="13" t="str">
        <f aca="false">IF(ISNUMBER(B508),YEAR(B508),"")</f>
        <v/>
      </c>
      <c r="L508" s="13" t="str">
        <f aca="false">IF(ISNUMBER(B508),MONTH(B508),"")</f>
        <v/>
      </c>
      <c r="M508" s="13" t="str">
        <f aca="false">IF(AND(ISNUMBER(B508),ISNUMBER(I508)),B508-I508+1,"")</f>
        <v/>
      </c>
      <c r="N508" s="14" t="str">
        <f aca="false">IF(B508="","",IF(M508="","시작일 미입력",IF(M508&lt;1,"시작일 이전(확인)",IF(M508=1,"1일째",IF(M508=2,"2일째",IF(M508=3,"3일째",IF(M508&lt;=7,"일주일 이내",IF(M508&lt;=14,"이주일 이내","15일 이후"))))))))</f>
        <v/>
      </c>
      <c r="O508" s="0" t="str">
        <f aca="false">IF(AND(COUNTA($A508:$J508)&gt;0,OR(클레임조회!$C$4="",AND(ISNUMBER($B508),$B508&gt;=클레임조회!$C$4)),OR(클레임조회!$C$5="",AND(ISNUMBER($B508),$B508&lt;=클레임조회!$C$5)),OR(클레임조회!$C$6="",$C508=클레임조회!$C$6),OR(클레임조회!$C$7="",$D508=클레임조회!$C$7),OR(클레임조회!$C$8="",$E508=클레임조회!$C$8),OR(클레임조회!$C$9="",$F508=클레임조회!$C$9),OR(클레임조회!$C$10="",ISNUMBER(SEARCH(클레임조회!$C$10,$C508&amp;" "&amp;$F508&amp;" "&amp;$G508&amp;" "&amp;$H508)))),COUNT(O$1:O507)+1,"")</f>
        <v/>
      </c>
      <c r="P508" s="0" t="str">
        <f aca="false">IF(AND(TRIM(C508)&lt;&gt;"",COUNTIF(C$2:C508,C508)=1),MAX(P$1:P507)+1,"")</f>
        <v/>
      </c>
      <c r="Q508" s="0" t="str">
        <f aca="false">IF(AND(TRIM(F508)&lt;&gt;"",COUNTIF(F$2:F508,F508)=1),MAX(Q$1:Q507)+1,"")</f>
        <v/>
      </c>
    </row>
    <row r="509" customFormat="false" ht="15" hidden="false" customHeight="false" outlineLevel="0" collapsed="false">
      <c r="A509" s="9"/>
      <c r="B509" s="10"/>
      <c r="C509" s="11"/>
      <c r="D509" s="11"/>
      <c r="E509" s="11"/>
      <c r="F509" s="11"/>
      <c r="G509" s="12"/>
      <c r="H509" s="12"/>
      <c r="I509" s="10"/>
      <c r="J509" s="12"/>
      <c r="K509" s="13" t="str">
        <f aca="false">IF(ISNUMBER(B509),YEAR(B509),"")</f>
        <v/>
      </c>
      <c r="L509" s="13" t="str">
        <f aca="false">IF(ISNUMBER(B509),MONTH(B509),"")</f>
        <v/>
      </c>
      <c r="M509" s="13" t="str">
        <f aca="false">IF(AND(ISNUMBER(B509),ISNUMBER(I509)),B509-I509+1,"")</f>
        <v/>
      </c>
      <c r="N509" s="14" t="str">
        <f aca="false">IF(B509="","",IF(M509="","시작일 미입력",IF(M509&lt;1,"시작일 이전(확인)",IF(M509=1,"1일째",IF(M509=2,"2일째",IF(M509=3,"3일째",IF(M509&lt;=7,"일주일 이내",IF(M509&lt;=14,"이주일 이내","15일 이후"))))))))</f>
        <v/>
      </c>
      <c r="O509" s="0" t="str">
        <f aca="false">IF(AND(COUNTA($A509:$J509)&gt;0,OR(클레임조회!$C$4="",AND(ISNUMBER($B509),$B509&gt;=클레임조회!$C$4)),OR(클레임조회!$C$5="",AND(ISNUMBER($B509),$B509&lt;=클레임조회!$C$5)),OR(클레임조회!$C$6="",$C509=클레임조회!$C$6),OR(클레임조회!$C$7="",$D509=클레임조회!$C$7),OR(클레임조회!$C$8="",$E509=클레임조회!$C$8),OR(클레임조회!$C$9="",$F509=클레임조회!$C$9),OR(클레임조회!$C$10="",ISNUMBER(SEARCH(클레임조회!$C$10,$C509&amp;" "&amp;$F509&amp;" "&amp;$G509&amp;" "&amp;$H509)))),COUNT(O$1:O508)+1,"")</f>
        <v/>
      </c>
      <c r="P509" s="0" t="str">
        <f aca="false">IF(AND(TRIM(C509)&lt;&gt;"",COUNTIF(C$2:C509,C509)=1),MAX(P$1:P508)+1,"")</f>
        <v/>
      </c>
      <c r="Q509" s="0" t="str">
        <f aca="false">IF(AND(TRIM(F509)&lt;&gt;"",COUNTIF(F$2:F509,F509)=1),MAX(Q$1:Q508)+1,"")</f>
        <v/>
      </c>
    </row>
    <row r="510" customFormat="false" ht="15" hidden="false" customHeight="false" outlineLevel="0" collapsed="false">
      <c r="A510" s="9"/>
      <c r="B510" s="10"/>
      <c r="C510" s="11"/>
      <c r="D510" s="11"/>
      <c r="E510" s="11"/>
      <c r="F510" s="11"/>
      <c r="G510" s="12"/>
      <c r="H510" s="12"/>
      <c r="I510" s="10"/>
      <c r="J510" s="12"/>
      <c r="K510" s="13" t="str">
        <f aca="false">IF(ISNUMBER(B510),YEAR(B510),"")</f>
        <v/>
      </c>
      <c r="L510" s="13" t="str">
        <f aca="false">IF(ISNUMBER(B510),MONTH(B510),"")</f>
        <v/>
      </c>
      <c r="M510" s="13" t="str">
        <f aca="false">IF(AND(ISNUMBER(B510),ISNUMBER(I510)),B510-I510+1,"")</f>
        <v/>
      </c>
      <c r="N510" s="14" t="str">
        <f aca="false">IF(B510="","",IF(M510="","시작일 미입력",IF(M510&lt;1,"시작일 이전(확인)",IF(M510=1,"1일째",IF(M510=2,"2일째",IF(M510=3,"3일째",IF(M510&lt;=7,"일주일 이내",IF(M510&lt;=14,"이주일 이내","15일 이후"))))))))</f>
        <v/>
      </c>
      <c r="O510" s="0" t="str">
        <f aca="false">IF(AND(COUNTA($A510:$J510)&gt;0,OR(클레임조회!$C$4="",AND(ISNUMBER($B510),$B510&gt;=클레임조회!$C$4)),OR(클레임조회!$C$5="",AND(ISNUMBER($B510),$B510&lt;=클레임조회!$C$5)),OR(클레임조회!$C$6="",$C510=클레임조회!$C$6),OR(클레임조회!$C$7="",$D510=클레임조회!$C$7),OR(클레임조회!$C$8="",$E510=클레임조회!$C$8),OR(클레임조회!$C$9="",$F510=클레임조회!$C$9),OR(클레임조회!$C$10="",ISNUMBER(SEARCH(클레임조회!$C$10,$C510&amp;" "&amp;$F510&amp;" "&amp;$G510&amp;" "&amp;$H510)))),COUNT(O$1:O509)+1,"")</f>
        <v/>
      </c>
      <c r="P510" s="0" t="str">
        <f aca="false">IF(AND(TRIM(C510)&lt;&gt;"",COUNTIF(C$2:C510,C510)=1),MAX(P$1:P509)+1,"")</f>
        <v/>
      </c>
      <c r="Q510" s="0" t="str">
        <f aca="false">IF(AND(TRIM(F510)&lt;&gt;"",COUNTIF(F$2:F510,F510)=1),MAX(Q$1:Q509)+1,"")</f>
        <v/>
      </c>
    </row>
    <row r="511" customFormat="false" ht="15" hidden="false" customHeight="false" outlineLevel="0" collapsed="false">
      <c r="A511" s="9"/>
      <c r="B511" s="10"/>
      <c r="C511" s="11"/>
      <c r="D511" s="11"/>
      <c r="E511" s="11"/>
      <c r="F511" s="11"/>
      <c r="G511" s="12"/>
      <c r="H511" s="12"/>
      <c r="I511" s="10"/>
      <c r="J511" s="12"/>
      <c r="K511" s="13" t="str">
        <f aca="false">IF(ISNUMBER(B511),YEAR(B511),"")</f>
        <v/>
      </c>
      <c r="L511" s="13" t="str">
        <f aca="false">IF(ISNUMBER(B511),MONTH(B511),"")</f>
        <v/>
      </c>
      <c r="M511" s="13" t="str">
        <f aca="false">IF(AND(ISNUMBER(B511),ISNUMBER(I511)),B511-I511+1,"")</f>
        <v/>
      </c>
      <c r="N511" s="14" t="str">
        <f aca="false">IF(B511="","",IF(M511="","시작일 미입력",IF(M511&lt;1,"시작일 이전(확인)",IF(M511=1,"1일째",IF(M511=2,"2일째",IF(M511=3,"3일째",IF(M511&lt;=7,"일주일 이내",IF(M511&lt;=14,"이주일 이내","15일 이후"))))))))</f>
        <v/>
      </c>
      <c r="O511" s="0" t="str">
        <f aca="false">IF(AND(COUNTA($A511:$J511)&gt;0,OR(클레임조회!$C$4="",AND(ISNUMBER($B511),$B511&gt;=클레임조회!$C$4)),OR(클레임조회!$C$5="",AND(ISNUMBER($B511),$B511&lt;=클레임조회!$C$5)),OR(클레임조회!$C$6="",$C511=클레임조회!$C$6),OR(클레임조회!$C$7="",$D511=클레임조회!$C$7),OR(클레임조회!$C$8="",$E511=클레임조회!$C$8),OR(클레임조회!$C$9="",$F511=클레임조회!$C$9),OR(클레임조회!$C$10="",ISNUMBER(SEARCH(클레임조회!$C$10,$C511&amp;" "&amp;$F511&amp;" "&amp;$G511&amp;" "&amp;$H511)))),COUNT(O$1:O510)+1,"")</f>
        <v/>
      </c>
      <c r="P511" s="0" t="str">
        <f aca="false">IF(AND(TRIM(C511)&lt;&gt;"",COUNTIF(C$2:C511,C511)=1),MAX(P$1:P510)+1,"")</f>
        <v/>
      </c>
      <c r="Q511" s="0" t="str">
        <f aca="false">IF(AND(TRIM(F511)&lt;&gt;"",COUNTIF(F$2:F511,F511)=1),MAX(Q$1:Q510)+1,"")</f>
        <v/>
      </c>
    </row>
    <row r="512" customFormat="false" ht="15" hidden="false" customHeight="false" outlineLevel="0" collapsed="false">
      <c r="A512" s="9"/>
      <c r="B512" s="10"/>
      <c r="C512" s="11"/>
      <c r="D512" s="11"/>
      <c r="E512" s="11"/>
      <c r="F512" s="11"/>
      <c r="G512" s="12"/>
      <c r="H512" s="12"/>
      <c r="I512" s="10"/>
      <c r="J512" s="12"/>
      <c r="K512" s="13" t="str">
        <f aca="false">IF(ISNUMBER(B512),YEAR(B512),"")</f>
        <v/>
      </c>
      <c r="L512" s="13" t="str">
        <f aca="false">IF(ISNUMBER(B512),MONTH(B512),"")</f>
        <v/>
      </c>
      <c r="M512" s="13" t="str">
        <f aca="false">IF(AND(ISNUMBER(B512),ISNUMBER(I512)),B512-I512+1,"")</f>
        <v/>
      </c>
      <c r="N512" s="14" t="str">
        <f aca="false">IF(B512="","",IF(M512="","시작일 미입력",IF(M512&lt;1,"시작일 이전(확인)",IF(M512=1,"1일째",IF(M512=2,"2일째",IF(M512=3,"3일째",IF(M512&lt;=7,"일주일 이내",IF(M512&lt;=14,"이주일 이내","15일 이후"))))))))</f>
        <v/>
      </c>
      <c r="O512" s="0" t="str">
        <f aca="false">IF(AND(COUNTA($A512:$J512)&gt;0,OR(클레임조회!$C$4="",AND(ISNUMBER($B512),$B512&gt;=클레임조회!$C$4)),OR(클레임조회!$C$5="",AND(ISNUMBER($B512),$B512&lt;=클레임조회!$C$5)),OR(클레임조회!$C$6="",$C512=클레임조회!$C$6),OR(클레임조회!$C$7="",$D512=클레임조회!$C$7),OR(클레임조회!$C$8="",$E512=클레임조회!$C$8),OR(클레임조회!$C$9="",$F512=클레임조회!$C$9),OR(클레임조회!$C$10="",ISNUMBER(SEARCH(클레임조회!$C$10,$C512&amp;" "&amp;$F512&amp;" "&amp;$G512&amp;" "&amp;$H512)))),COUNT(O$1:O511)+1,"")</f>
        <v/>
      </c>
      <c r="P512" s="0" t="str">
        <f aca="false">IF(AND(TRIM(C512)&lt;&gt;"",COUNTIF(C$2:C512,C512)=1),MAX(P$1:P511)+1,"")</f>
        <v/>
      </c>
      <c r="Q512" s="0" t="str">
        <f aca="false">IF(AND(TRIM(F512)&lt;&gt;"",COUNTIF(F$2:F512,F512)=1),MAX(Q$1:Q511)+1,"")</f>
        <v/>
      </c>
    </row>
    <row r="513" customFormat="false" ht="15" hidden="false" customHeight="false" outlineLevel="0" collapsed="false">
      <c r="A513" s="9"/>
      <c r="B513" s="10"/>
      <c r="C513" s="11"/>
      <c r="D513" s="11"/>
      <c r="E513" s="11"/>
      <c r="F513" s="11"/>
      <c r="G513" s="12"/>
      <c r="H513" s="12"/>
      <c r="I513" s="10"/>
      <c r="J513" s="12"/>
      <c r="K513" s="13" t="str">
        <f aca="false">IF(ISNUMBER(B513),YEAR(B513),"")</f>
        <v/>
      </c>
      <c r="L513" s="13" t="str">
        <f aca="false">IF(ISNUMBER(B513),MONTH(B513),"")</f>
        <v/>
      </c>
      <c r="M513" s="13" t="str">
        <f aca="false">IF(AND(ISNUMBER(B513),ISNUMBER(I513)),B513-I513+1,"")</f>
        <v/>
      </c>
      <c r="N513" s="14" t="str">
        <f aca="false">IF(B513="","",IF(M513="","시작일 미입력",IF(M513&lt;1,"시작일 이전(확인)",IF(M513=1,"1일째",IF(M513=2,"2일째",IF(M513=3,"3일째",IF(M513&lt;=7,"일주일 이내",IF(M513&lt;=14,"이주일 이내","15일 이후"))))))))</f>
        <v/>
      </c>
      <c r="O513" s="0" t="str">
        <f aca="false">IF(AND(COUNTA($A513:$J513)&gt;0,OR(클레임조회!$C$4="",AND(ISNUMBER($B513),$B513&gt;=클레임조회!$C$4)),OR(클레임조회!$C$5="",AND(ISNUMBER($B513),$B513&lt;=클레임조회!$C$5)),OR(클레임조회!$C$6="",$C513=클레임조회!$C$6),OR(클레임조회!$C$7="",$D513=클레임조회!$C$7),OR(클레임조회!$C$8="",$E513=클레임조회!$C$8),OR(클레임조회!$C$9="",$F513=클레임조회!$C$9),OR(클레임조회!$C$10="",ISNUMBER(SEARCH(클레임조회!$C$10,$C513&amp;" "&amp;$F513&amp;" "&amp;$G513&amp;" "&amp;$H513)))),COUNT(O$1:O512)+1,"")</f>
        <v/>
      </c>
      <c r="P513" s="0" t="str">
        <f aca="false">IF(AND(TRIM(C513)&lt;&gt;"",COUNTIF(C$2:C513,C513)=1),MAX(P$1:P512)+1,"")</f>
        <v/>
      </c>
      <c r="Q513" s="0" t="str">
        <f aca="false">IF(AND(TRIM(F513)&lt;&gt;"",COUNTIF(F$2:F513,F513)=1),MAX(Q$1:Q512)+1,"")</f>
        <v/>
      </c>
    </row>
    <row r="514" customFormat="false" ht="15" hidden="false" customHeight="false" outlineLevel="0" collapsed="false">
      <c r="A514" s="9"/>
      <c r="B514" s="10"/>
      <c r="C514" s="11"/>
      <c r="D514" s="11"/>
      <c r="E514" s="11"/>
      <c r="F514" s="11"/>
      <c r="G514" s="12"/>
      <c r="H514" s="12"/>
      <c r="I514" s="10"/>
      <c r="J514" s="12"/>
      <c r="K514" s="13" t="str">
        <f aca="false">IF(ISNUMBER(B514),YEAR(B514),"")</f>
        <v/>
      </c>
      <c r="L514" s="13" t="str">
        <f aca="false">IF(ISNUMBER(B514),MONTH(B514),"")</f>
        <v/>
      </c>
      <c r="M514" s="13" t="str">
        <f aca="false">IF(AND(ISNUMBER(B514),ISNUMBER(I514)),B514-I514+1,"")</f>
        <v/>
      </c>
      <c r="N514" s="14" t="str">
        <f aca="false">IF(B514="","",IF(M514="","시작일 미입력",IF(M514&lt;1,"시작일 이전(확인)",IF(M514=1,"1일째",IF(M514=2,"2일째",IF(M514=3,"3일째",IF(M514&lt;=7,"일주일 이내",IF(M514&lt;=14,"이주일 이내","15일 이후"))))))))</f>
        <v/>
      </c>
      <c r="O514" s="0" t="str">
        <f aca="false">IF(AND(COUNTA($A514:$J514)&gt;0,OR(클레임조회!$C$4="",AND(ISNUMBER($B514),$B514&gt;=클레임조회!$C$4)),OR(클레임조회!$C$5="",AND(ISNUMBER($B514),$B514&lt;=클레임조회!$C$5)),OR(클레임조회!$C$6="",$C514=클레임조회!$C$6),OR(클레임조회!$C$7="",$D514=클레임조회!$C$7),OR(클레임조회!$C$8="",$E514=클레임조회!$C$8),OR(클레임조회!$C$9="",$F514=클레임조회!$C$9),OR(클레임조회!$C$10="",ISNUMBER(SEARCH(클레임조회!$C$10,$C514&amp;" "&amp;$F514&amp;" "&amp;$G514&amp;" "&amp;$H514)))),COUNT(O$1:O513)+1,"")</f>
        <v/>
      </c>
      <c r="P514" s="0" t="str">
        <f aca="false">IF(AND(TRIM(C514)&lt;&gt;"",COUNTIF(C$2:C514,C514)=1),MAX(P$1:P513)+1,"")</f>
        <v/>
      </c>
      <c r="Q514" s="0" t="str">
        <f aca="false">IF(AND(TRIM(F514)&lt;&gt;"",COUNTIF(F$2:F514,F514)=1),MAX(Q$1:Q513)+1,"")</f>
        <v/>
      </c>
    </row>
    <row r="515" customFormat="false" ht="15" hidden="false" customHeight="false" outlineLevel="0" collapsed="false">
      <c r="A515" s="9"/>
      <c r="B515" s="10"/>
      <c r="C515" s="11"/>
      <c r="D515" s="11"/>
      <c r="E515" s="11"/>
      <c r="F515" s="11"/>
      <c r="G515" s="12"/>
      <c r="H515" s="12"/>
      <c r="I515" s="10"/>
      <c r="J515" s="12"/>
      <c r="K515" s="13" t="str">
        <f aca="false">IF(ISNUMBER(B515),YEAR(B515),"")</f>
        <v/>
      </c>
      <c r="L515" s="13" t="str">
        <f aca="false">IF(ISNUMBER(B515),MONTH(B515),"")</f>
        <v/>
      </c>
      <c r="M515" s="13" t="str">
        <f aca="false">IF(AND(ISNUMBER(B515),ISNUMBER(I515)),B515-I515+1,"")</f>
        <v/>
      </c>
      <c r="N515" s="14" t="str">
        <f aca="false">IF(B515="","",IF(M515="","시작일 미입력",IF(M515&lt;1,"시작일 이전(확인)",IF(M515=1,"1일째",IF(M515=2,"2일째",IF(M515=3,"3일째",IF(M515&lt;=7,"일주일 이내",IF(M515&lt;=14,"이주일 이내","15일 이후"))))))))</f>
        <v/>
      </c>
      <c r="O515" s="0" t="str">
        <f aca="false">IF(AND(COUNTA($A515:$J515)&gt;0,OR(클레임조회!$C$4="",AND(ISNUMBER($B515),$B515&gt;=클레임조회!$C$4)),OR(클레임조회!$C$5="",AND(ISNUMBER($B515),$B515&lt;=클레임조회!$C$5)),OR(클레임조회!$C$6="",$C515=클레임조회!$C$6),OR(클레임조회!$C$7="",$D515=클레임조회!$C$7),OR(클레임조회!$C$8="",$E515=클레임조회!$C$8),OR(클레임조회!$C$9="",$F515=클레임조회!$C$9),OR(클레임조회!$C$10="",ISNUMBER(SEARCH(클레임조회!$C$10,$C515&amp;" "&amp;$F515&amp;" "&amp;$G515&amp;" "&amp;$H515)))),COUNT(O$1:O514)+1,"")</f>
        <v/>
      </c>
      <c r="P515" s="0" t="str">
        <f aca="false">IF(AND(TRIM(C515)&lt;&gt;"",COUNTIF(C$2:C515,C515)=1),MAX(P$1:P514)+1,"")</f>
        <v/>
      </c>
      <c r="Q515" s="0" t="str">
        <f aca="false">IF(AND(TRIM(F515)&lt;&gt;"",COUNTIF(F$2:F515,F515)=1),MAX(Q$1:Q514)+1,"")</f>
        <v/>
      </c>
    </row>
    <row r="516" customFormat="false" ht="15" hidden="false" customHeight="false" outlineLevel="0" collapsed="false">
      <c r="A516" s="9"/>
      <c r="B516" s="10"/>
      <c r="C516" s="11"/>
      <c r="D516" s="11"/>
      <c r="E516" s="11"/>
      <c r="F516" s="11"/>
      <c r="G516" s="12"/>
      <c r="H516" s="12"/>
      <c r="I516" s="10"/>
      <c r="J516" s="12"/>
      <c r="K516" s="13" t="str">
        <f aca="false">IF(ISNUMBER(B516),YEAR(B516),"")</f>
        <v/>
      </c>
      <c r="L516" s="13" t="str">
        <f aca="false">IF(ISNUMBER(B516),MONTH(B516),"")</f>
        <v/>
      </c>
      <c r="M516" s="13" t="str">
        <f aca="false">IF(AND(ISNUMBER(B516),ISNUMBER(I516)),B516-I516+1,"")</f>
        <v/>
      </c>
      <c r="N516" s="14" t="str">
        <f aca="false">IF(B516="","",IF(M516="","시작일 미입력",IF(M516&lt;1,"시작일 이전(확인)",IF(M516=1,"1일째",IF(M516=2,"2일째",IF(M516=3,"3일째",IF(M516&lt;=7,"일주일 이내",IF(M516&lt;=14,"이주일 이내","15일 이후"))))))))</f>
        <v/>
      </c>
      <c r="O516" s="0" t="str">
        <f aca="false">IF(AND(COUNTA($A516:$J516)&gt;0,OR(클레임조회!$C$4="",AND(ISNUMBER($B516),$B516&gt;=클레임조회!$C$4)),OR(클레임조회!$C$5="",AND(ISNUMBER($B516),$B516&lt;=클레임조회!$C$5)),OR(클레임조회!$C$6="",$C516=클레임조회!$C$6),OR(클레임조회!$C$7="",$D516=클레임조회!$C$7),OR(클레임조회!$C$8="",$E516=클레임조회!$C$8),OR(클레임조회!$C$9="",$F516=클레임조회!$C$9),OR(클레임조회!$C$10="",ISNUMBER(SEARCH(클레임조회!$C$10,$C516&amp;" "&amp;$F516&amp;" "&amp;$G516&amp;" "&amp;$H516)))),COUNT(O$1:O515)+1,"")</f>
        <v/>
      </c>
      <c r="P516" s="0" t="str">
        <f aca="false">IF(AND(TRIM(C516)&lt;&gt;"",COUNTIF(C$2:C516,C516)=1),MAX(P$1:P515)+1,"")</f>
        <v/>
      </c>
      <c r="Q516" s="0" t="str">
        <f aca="false">IF(AND(TRIM(F516)&lt;&gt;"",COUNTIF(F$2:F516,F516)=1),MAX(Q$1:Q515)+1,"")</f>
        <v/>
      </c>
    </row>
    <row r="517" customFormat="false" ht="15" hidden="false" customHeight="false" outlineLevel="0" collapsed="false">
      <c r="A517" s="9"/>
      <c r="B517" s="10"/>
      <c r="C517" s="11"/>
      <c r="D517" s="11"/>
      <c r="E517" s="11"/>
      <c r="F517" s="11"/>
      <c r="G517" s="12"/>
      <c r="H517" s="12"/>
      <c r="I517" s="10"/>
      <c r="J517" s="12"/>
      <c r="K517" s="13" t="str">
        <f aca="false">IF(ISNUMBER(B517),YEAR(B517),"")</f>
        <v/>
      </c>
      <c r="L517" s="13" t="str">
        <f aca="false">IF(ISNUMBER(B517),MONTH(B517),"")</f>
        <v/>
      </c>
      <c r="M517" s="13" t="str">
        <f aca="false">IF(AND(ISNUMBER(B517),ISNUMBER(I517)),B517-I517+1,"")</f>
        <v/>
      </c>
      <c r="N517" s="14" t="str">
        <f aca="false">IF(B517="","",IF(M517="","시작일 미입력",IF(M517&lt;1,"시작일 이전(확인)",IF(M517=1,"1일째",IF(M517=2,"2일째",IF(M517=3,"3일째",IF(M517&lt;=7,"일주일 이내",IF(M517&lt;=14,"이주일 이내","15일 이후"))))))))</f>
        <v/>
      </c>
      <c r="O517" s="0" t="str">
        <f aca="false">IF(AND(COUNTA($A517:$J517)&gt;0,OR(클레임조회!$C$4="",AND(ISNUMBER($B517),$B517&gt;=클레임조회!$C$4)),OR(클레임조회!$C$5="",AND(ISNUMBER($B517),$B517&lt;=클레임조회!$C$5)),OR(클레임조회!$C$6="",$C517=클레임조회!$C$6),OR(클레임조회!$C$7="",$D517=클레임조회!$C$7),OR(클레임조회!$C$8="",$E517=클레임조회!$C$8),OR(클레임조회!$C$9="",$F517=클레임조회!$C$9),OR(클레임조회!$C$10="",ISNUMBER(SEARCH(클레임조회!$C$10,$C517&amp;" "&amp;$F517&amp;" "&amp;$G517&amp;" "&amp;$H517)))),COUNT(O$1:O516)+1,"")</f>
        <v/>
      </c>
      <c r="P517" s="0" t="str">
        <f aca="false">IF(AND(TRIM(C517)&lt;&gt;"",COUNTIF(C$2:C517,C517)=1),MAX(P$1:P516)+1,"")</f>
        <v/>
      </c>
      <c r="Q517" s="0" t="str">
        <f aca="false">IF(AND(TRIM(F517)&lt;&gt;"",COUNTIF(F$2:F517,F517)=1),MAX(Q$1:Q516)+1,"")</f>
        <v/>
      </c>
    </row>
    <row r="518" customFormat="false" ht="15" hidden="false" customHeight="false" outlineLevel="0" collapsed="false">
      <c r="A518" s="9"/>
      <c r="B518" s="10"/>
      <c r="C518" s="11"/>
      <c r="D518" s="11"/>
      <c r="E518" s="11"/>
      <c r="F518" s="11"/>
      <c r="G518" s="12"/>
      <c r="H518" s="12"/>
      <c r="I518" s="10"/>
      <c r="J518" s="12"/>
      <c r="K518" s="13" t="str">
        <f aca="false">IF(ISNUMBER(B518),YEAR(B518),"")</f>
        <v/>
      </c>
      <c r="L518" s="13" t="str">
        <f aca="false">IF(ISNUMBER(B518),MONTH(B518),"")</f>
        <v/>
      </c>
      <c r="M518" s="13" t="str">
        <f aca="false">IF(AND(ISNUMBER(B518),ISNUMBER(I518)),B518-I518+1,"")</f>
        <v/>
      </c>
      <c r="N518" s="14" t="str">
        <f aca="false">IF(B518="","",IF(M518="","시작일 미입력",IF(M518&lt;1,"시작일 이전(확인)",IF(M518=1,"1일째",IF(M518=2,"2일째",IF(M518=3,"3일째",IF(M518&lt;=7,"일주일 이내",IF(M518&lt;=14,"이주일 이내","15일 이후"))))))))</f>
        <v/>
      </c>
      <c r="O518" s="0" t="str">
        <f aca="false">IF(AND(COUNTA($A518:$J518)&gt;0,OR(클레임조회!$C$4="",AND(ISNUMBER($B518),$B518&gt;=클레임조회!$C$4)),OR(클레임조회!$C$5="",AND(ISNUMBER($B518),$B518&lt;=클레임조회!$C$5)),OR(클레임조회!$C$6="",$C518=클레임조회!$C$6),OR(클레임조회!$C$7="",$D518=클레임조회!$C$7),OR(클레임조회!$C$8="",$E518=클레임조회!$C$8),OR(클레임조회!$C$9="",$F518=클레임조회!$C$9),OR(클레임조회!$C$10="",ISNUMBER(SEARCH(클레임조회!$C$10,$C518&amp;" "&amp;$F518&amp;" "&amp;$G518&amp;" "&amp;$H518)))),COUNT(O$1:O517)+1,"")</f>
        <v/>
      </c>
      <c r="P518" s="0" t="str">
        <f aca="false">IF(AND(TRIM(C518)&lt;&gt;"",COUNTIF(C$2:C518,C518)=1),MAX(P$1:P517)+1,"")</f>
        <v/>
      </c>
      <c r="Q518" s="0" t="str">
        <f aca="false">IF(AND(TRIM(F518)&lt;&gt;"",COUNTIF(F$2:F518,F518)=1),MAX(Q$1:Q517)+1,"")</f>
        <v/>
      </c>
    </row>
    <row r="519" customFormat="false" ht="15" hidden="false" customHeight="false" outlineLevel="0" collapsed="false">
      <c r="A519" s="9"/>
      <c r="B519" s="10"/>
      <c r="C519" s="11"/>
      <c r="D519" s="11"/>
      <c r="E519" s="11"/>
      <c r="F519" s="11"/>
      <c r="G519" s="12"/>
      <c r="H519" s="12"/>
      <c r="I519" s="10"/>
      <c r="J519" s="12"/>
      <c r="K519" s="13" t="str">
        <f aca="false">IF(ISNUMBER(B519),YEAR(B519),"")</f>
        <v/>
      </c>
      <c r="L519" s="13" t="str">
        <f aca="false">IF(ISNUMBER(B519),MONTH(B519),"")</f>
        <v/>
      </c>
      <c r="M519" s="13" t="str">
        <f aca="false">IF(AND(ISNUMBER(B519),ISNUMBER(I519)),B519-I519+1,"")</f>
        <v/>
      </c>
      <c r="N519" s="14" t="str">
        <f aca="false">IF(B519="","",IF(M519="","시작일 미입력",IF(M519&lt;1,"시작일 이전(확인)",IF(M519=1,"1일째",IF(M519=2,"2일째",IF(M519=3,"3일째",IF(M519&lt;=7,"일주일 이내",IF(M519&lt;=14,"이주일 이내","15일 이후"))))))))</f>
        <v/>
      </c>
      <c r="O519" s="0" t="str">
        <f aca="false">IF(AND(COUNTA($A519:$J519)&gt;0,OR(클레임조회!$C$4="",AND(ISNUMBER($B519),$B519&gt;=클레임조회!$C$4)),OR(클레임조회!$C$5="",AND(ISNUMBER($B519),$B519&lt;=클레임조회!$C$5)),OR(클레임조회!$C$6="",$C519=클레임조회!$C$6),OR(클레임조회!$C$7="",$D519=클레임조회!$C$7),OR(클레임조회!$C$8="",$E519=클레임조회!$C$8),OR(클레임조회!$C$9="",$F519=클레임조회!$C$9),OR(클레임조회!$C$10="",ISNUMBER(SEARCH(클레임조회!$C$10,$C519&amp;" "&amp;$F519&amp;" "&amp;$G519&amp;" "&amp;$H519)))),COUNT(O$1:O518)+1,"")</f>
        <v/>
      </c>
      <c r="P519" s="0" t="str">
        <f aca="false">IF(AND(TRIM(C519)&lt;&gt;"",COUNTIF(C$2:C519,C519)=1),MAX(P$1:P518)+1,"")</f>
        <v/>
      </c>
      <c r="Q519" s="0" t="str">
        <f aca="false">IF(AND(TRIM(F519)&lt;&gt;"",COUNTIF(F$2:F519,F519)=1),MAX(Q$1:Q518)+1,"")</f>
        <v/>
      </c>
    </row>
    <row r="520" customFormat="false" ht="15" hidden="false" customHeight="false" outlineLevel="0" collapsed="false">
      <c r="A520" s="9"/>
      <c r="B520" s="10"/>
      <c r="C520" s="11"/>
      <c r="D520" s="11"/>
      <c r="E520" s="11"/>
      <c r="F520" s="11"/>
      <c r="G520" s="12"/>
      <c r="H520" s="12"/>
      <c r="I520" s="10"/>
      <c r="J520" s="12"/>
      <c r="K520" s="13" t="str">
        <f aca="false">IF(ISNUMBER(B520),YEAR(B520),"")</f>
        <v/>
      </c>
      <c r="L520" s="13" t="str">
        <f aca="false">IF(ISNUMBER(B520),MONTH(B520),"")</f>
        <v/>
      </c>
      <c r="M520" s="13" t="str">
        <f aca="false">IF(AND(ISNUMBER(B520),ISNUMBER(I520)),B520-I520+1,"")</f>
        <v/>
      </c>
      <c r="N520" s="14" t="str">
        <f aca="false">IF(B520="","",IF(M520="","시작일 미입력",IF(M520&lt;1,"시작일 이전(확인)",IF(M520=1,"1일째",IF(M520=2,"2일째",IF(M520=3,"3일째",IF(M520&lt;=7,"일주일 이내",IF(M520&lt;=14,"이주일 이내","15일 이후"))))))))</f>
        <v/>
      </c>
      <c r="O520" s="0" t="str">
        <f aca="false">IF(AND(COUNTA($A520:$J520)&gt;0,OR(클레임조회!$C$4="",AND(ISNUMBER($B520),$B520&gt;=클레임조회!$C$4)),OR(클레임조회!$C$5="",AND(ISNUMBER($B520),$B520&lt;=클레임조회!$C$5)),OR(클레임조회!$C$6="",$C520=클레임조회!$C$6),OR(클레임조회!$C$7="",$D520=클레임조회!$C$7),OR(클레임조회!$C$8="",$E520=클레임조회!$C$8),OR(클레임조회!$C$9="",$F520=클레임조회!$C$9),OR(클레임조회!$C$10="",ISNUMBER(SEARCH(클레임조회!$C$10,$C520&amp;" "&amp;$F520&amp;" "&amp;$G520&amp;" "&amp;$H520)))),COUNT(O$1:O519)+1,"")</f>
        <v/>
      </c>
      <c r="P520" s="0" t="str">
        <f aca="false">IF(AND(TRIM(C520)&lt;&gt;"",COUNTIF(C$2:C520,C520)=1),MAX(P$1:P519)+1,"")</f>
        <v/>
      </c>
      <c r="Q520" s="0" t="str">
        <f aca="false">IF(AND(TRIM(F520)&lt;&gt;"",COUNTIF(F$2:F520,F520)=1),MAX(Q$1:Q519)+1,"")</f>
        <v/>
      </c>
    </row>
    <row r="521" customFormat="false" ht="15" hidden="false" customHeight="false" outlineLevel="0" collapsed="false">
      <c r="A521" s="9"/>
      <c r="B521" s="10"/>
      <c r="C521" s="11"/>
      <c r="D521" s="11"/>
      <c r="E521" s="11"/>
      <c r="F521" s="11"/>
      <c r="G521" s="12"/>
      <c r="H521" s="12"/>
      <c r="I521" s="10"/>
      <c r="J521" s="12"/>
      <c r="K521" s="13" t="str">
        <f aca="false">IF(ISNUMBER(B521),YEAR(B521),"")</f>
        <v/>
      </c>
      <c r="L521" s="13" t="str">
        <f aca="false">IF(ISNUMBER(B521),MONTH(B521),"")</f>
        <v/>
      </c>
      <c r="M521" s="13" t="str">
        <f aca="false">IF(AND(ISNUMBER(B521),ISNUMBER(I521)),B521-I521+1,"")</f>
        <v/>
      </c>
      <c r="N521" s="14" t="str">
        <f aca="false">IF(B521="","",IF(M521="","시작일 미입력",IF(M521&lt;1,"시작일 이전(확인)",IF(M521=1,"1일째",IF(M521=2,"2일째",IF(M521=3,"3일째",IF(M521&lt;=7,"일주일 이내",IF(M521&lt;=14,"이주일 이내","15일 이후"))))))))</f>
        <v/>
      </c>
      <c r="O521" s="0" t="str">
        <f aca="false">IF(AND(COUNTA($A521:$J521)&gt;0,OR(클레임조회!$C$4="",AND(ISNUMBER($B521),$B521&gt;=클레임조회!$C$4)),OR(클레임조회!$C$5="",AND(ISNUMBER($B521),$B521&lt;=클레임조회!$C$5)),OR(클레임조회!$C$6="",$C521=클레임조회!$C$6),OR(클레임조회!$C$7="",$D521=클레임조회!$C$7),OR(클레임조회!$C$8="",$E521=클레임조회!$C$8),OR(클레임조회!$C$9="",$F521=클레임조회!$C$9),OR(클레임조회!$C$10="",ISNUMBER(SEARCH(클레임조회!$C$10,$C521&amp;" "&amp;$F521&amp;" "&amp;$G521&amp;" "&amp;$H521)))),COUNT(O$1:O520)+1,"")</f>
        <v/>
      </c>
      <c r="P521" s="0" t="str">
        <f aca="false">IF(AND(TRIM(C521)&lt;&gt;"",COUNTIF(C$2:C521,C521)=1),MAX(P$1:P520)+1,"")</f>
        <v/>
      </c>
      <c r="Q521" s="0" t="str">
        <f aca="false">IF(AND(TRIM(F521)&lt;&gt;"",COUNTIF(F$2:F521,F521)=1),MAX(Q$1:Q520)+1,"")</f>
        <v/>
      </c>
    </row>
    <row r="522" customFormat="false" ht="15" hidden="false" customHeight="false" outlineLevel="0" collapsed="false">
      <c r="A522" s="9"/>
      <c r="B522" s="10"/>
      <c r="C522" s="11"/>
      <c r="D522" s="11"/>
      <c r="E522" s="11"/>
      <c r="F522" s="11"/>
      <c r="G522" s="12"/>
      <c r="H522" s="12"/>
      <c r="I522" s="10"/>
      <c r="J522" s="12"/>
      <c r="K522" s="13" t="str">
        <f aca="false">IF(ISNUMBER(B522),YEAR(B522),"")</f>
        <v/>
      </c>
      <c r="L522" s="13" t="str">
        <f aca="false">IF(ISNUMBER(B522),MONTH(B522),"")</f>
        <v/>
      </c>
      <c r="M522" s="13" t="str">
        <f aca="false">IF(AND(ISNUMBER(B522),ISNUMBER(I522)),B522-I522+1,"")</f>
        <v/>
      </c>
      <c r="N522" s="14" t="str">
        <f aca="false">IF(B522="","",IF(M522="","시작일 미입력",IF(M522&lt;1,"시작일 이전(확인)",IF(M522=1,"1일째",IF(M522=2,"2일째",IF(M522=3,"3일째",IF(M522&lt;=7,"일주일 이내",IF(M522&lt;=14,"이주일 이내","15일 이후"))))))))</f>
        <v/>
      </c>
      <c r="O522" s="0" t="str">
        <f aca="false">IF(AND(COUNTA($A522:$J522)&gt;0,OR(클레임조회!$C$4="",AND(ISNUMBER($B522),$B522&gt;=클레임조회!$C$4)),OR(클레임조회!$C$5="",AND(ISNUMBER($B522),$B522&lt;=클레임조회!$C$5)),OR(클레임조회!$C$6="",$C522=클레임조회!$C$6),OR(클레임조회!$C$7="",$D522=클레임조회!$C$7),OR(클레임조회!$C$8="",$E522=클레임조회!$C$8),OR(클레임조회!$C$9="",$F522=클레임조회!$C$9),OR(클레임조회!$C$10="",ISNUMBER(SEARCH(클레임조회!$C$10,$C522&amp;" "&amp;$F522&amp;" "&amp;$G522&amp;" "&amp;$H522)))),COUNT(O$1:O521)+1,"")</f>
        <v/>
      </c>
      <c r="P522" s="0" t="str">
        <f aca="false">IF(AND(TRIM(C522)&lt;&gt;"",COUNTIF(C$2:C522,C522)=1),MAX(P$1:P521)+1,"")</f>
        <v/>
      </c>
      <c r="Q522" s="0" t="str">
        <f aca="false">IF(AND(TRIM(F522)&lt;&gt;"",COUNTIF(F$2:F522,F522)=1),MAX(Q$1:Q521)+1,"")</f>
        <v/>
      </c>
    </row>
    <row r="523" customFormat="false" ht="15" hidden="false" customHeight="false" outlineLevel="0" collapsed="false">
      <c r="A523" s="9"/>
      <c r="B523" s="10"/>
      <c r="C523" s="11"/>
      <c r="D523" s="11"/>
      <c r="E523" s="11"/>
      <c r="F523" s="11"/>
      <c r="G523" s="12"/>
      <c r="H523" s="12"/>
      <c r="I523" s="10"/>
      <c r="J523" s="12"/>
      <c r="K523" s="13" t="str">
        <f aca="false">IF(ISNUMBER(B523),YEAR(B523),"")</f>
        <v/>
      </c>
      <c r="L523" s="13" t="str">
        <f aca="false">IF(ISNUMBER(B523),MONTH(B523),"")</f>
        <v/>
      </c>
      <c r="M523" s="13" t="str">
        <f aca="false">IF(AND(ISNUMBER(B523),ISNUMBER(I523)),B523-I523+1,"")</f>
        <v/>
      </c>
      <c r="N523" s="14" t="str">
        <f aca="false">IF(B523="","",IF(M523="","시작일 미입력",IF(M523&lt;1,"시작일 이전(확인)",IF(M523=1,"1일째",IF(M523=2,"2일째",IF(M523=3,"3일째",IF(M523&lt;=7,"일주일 이내",IF(M523&lt;=14,"이주일 이내","15일 이후"))))))))</f>
        <v/>
      </c>
      <c r="O523" s="0" t="str">
        <f aca="false">IF(AND(COUNTA($A523:$J523)&gt;0,OR(클레임조회!$C$4="",AND(ISNUMBER($B523),$B523&gt;=클레임조회!$C$4)),OR(클레임조회!$C$5="",AND(ISNUMBER($B523),$B523&lt;=클레임조회!$C$5)),OR(클레임조회!$C$6="",$C523=클레임조회!$C$6),OR(클레임조회!$C$7="",$D523=클레임조회!$C$7),OR(클레임조회!$C$8="",$E523=클레임조회!$C$8),OR(클레임조회!$C$9="",$F523=클레임조회!$C$9),OR(클레임조회!$C$10="",ISNUMBER(SEARCH(클레임조회!$C$10,$C523&amp;" "&amp;$F523&amp;" "&amp;$G523&amp;" "&amp;$H523)))),COUNT(O$1:O522)+1,"")</f>
        <v/>
      </c>
      <c r="P523" s="0" t="str">
        <f aca="false">IF(AND(TRIM(C523)&lt;&gt;"",COUNTIF(C$2:C523,C523)=1),MAX(P$1:P522)+1,"")</f>
        <v/>
      </c>
      <c r="Q523" s="0" t="str">
        <f aca="false">IF(AND(TRIM(F523)&lt;&gt;"",COUNTIF(F$2:F523,F523)=1),MAX(Q$1:Q522)+1,"")</f>
        <v/>
      </c>
    </row>
    <row r="524" customFormat="false" ht="15" hidden="false" customHeight="false" outlineLevel="0" collapsed="false">
      <c r="A524" s="9"/>
      <c r="B524" s="10"/>
      <c r="C524" s="11"/>
      <c r="D524" s="11"/>
      <c r="E524" s="11"/>
      <c r="F524" s="11"/>
      <c r="G524" s="12"/>
      <c r="H524" s="12"/>
      <c r="I524" s="10"/>
      <c r="J524" s="12"/>
      <c r="K524" s="13" t="str">
        <f aca="false">IF(ISNUMBER(B524),YEAR(B524),"")</f>
        <v/>
      </c>
      <c r="L524" s="13" t="str">
        <f aca="false">IF(ISNUMBER(B524),MONTH(B524),"")</f>
        <v/>
      </c>
      <c r="M524" s="13" t="str">
        <f aca="false">IF(AND(ISNUMBER(B524),ISNUMBER(I524)),B524-I524+1,"")</f>
        <v/>
      </c>
      <c r="N524" s="14" t="str">
        <f aca="false">IF(B524="","",IF(M524="","시작일 미입력",IF(M524&lt;1,"시작일 이전(확인)",IF(M524=1,"1일째",IF(M524=2,"2일째",IF(M524=3,"3일째",IF(M524&lt;=7,"일주일 이내",IF(M524&lt;=14,"이주일 이내","15일 이후"))))))))</f>
        <v/>
      </c>
      <c r="O524" s="0" t="str">
        <f aca="false">IF(AND(COUNTA($A524:$J524)&gt;0,OR(클레임조회!$C$4="",AND(ISNUMBER($B524),$B524&gt;=클레임조회!$C$4)),OR(클레임조회!$C$5="",AND(ISNUMBER($B524),$B524&lt;=클레임조회!$C$5)),OR(클레임조회!$C$6="",$C524=클레임조회!$C$6),OR(클레임조회!$C$7="",$D524=클레임조회!$C$7),OR(클레임조회!$C$8="",$E524=클레임조회!$C$8),OR(클레임조회!$C$9="",$F524=클레임조회!$C$9),OR(클레임조회!$C$10="",ISNUMBER(SEARCH(클레임조회!$C$10,$C524&amp;" "&amp;$F524&amp;" "&amp;$G524&amp;" "&amp;$H524)))),COUNT(O$1:O523)+1,"")</f>
        <v/>
      </c>
      <c r="P524" s="0" t="str">
        <f aca="false">IF(AND(TRIM(C524)&lt;&gt;"",COUNTIF(C$2:C524,C524)=1),MAX(P$1:P523)+1,"")</f>
        <v/>
      </c>
      <c r="Q524" s="0" t="str">
        <f aca="false">IF(AND(TRIM(F524)&lt;&gt;"",COUNTIF(F$2:F524,F524)=1),MAX(Q$1:Q523)+1,"")</f>
        <v/>
      </c>
    </row>
    <row r="525" customFormat="false" ht="15" hidden="false" customHeight="false" outlineLevel="0" collapsed="false">
      <c r="A525" s="9"/>
      <c r="B525" s="10"/>
      <c r="C525" s="11"/>
      <c r="D525" s="11"/>
      <c r="E525" s="11"/>
      <c r="F525" s="11"/>
      <c r="G525" s="12"/>
      <c r="H525" s="12"/>
      <c r="I525" s="10"/>
      <c r="J525" s="12"/>
      <c r="K525" s="13" t="str">
        <f aca="false">IF(ISNUMBER(B525),YEAR(B525),"")</f>
        <v/>
      </c>
      <c r="L525" s="13" t="str">
        <f aca="false">IF(ISNUMBER(B525),MONTH(B525),"")</f>
        <v/>
      </c>
      <c r="M525" s="13" t="str">
        <f aca="false">IF(AND(ISNUMBER(B525),ISNUMBER(I525)),B525-I525+1,"")</f>
        <v/>
      </c>
      <c r="N525" s="14" t="str">
        <f aca="false">IF(B525="","",IF(M525="","시작일 미입력",IF(M525&lt;1,"시작일 이전(확인)",IF(M525=1,"1일째",IF(M525=2,"2일째",IF(M525=3,"3일째",IF(M525&lt;=7,"일주일 이내",IF(M525&lt;=14,"이주일 이내","15일 이후"))))))))</f>
        <v/>
      </c>
      <c r="O525" s="0" t="str">
        <f aca="false">IF(AND(COUNTA($A525:$J525)&gt;0,OR(클레임조회!$C$4="",AND(ISNUMBER($B525),$B525&gt;=클레임조회!$C$4)),OR(클레임조회!$C$5="",AND(ISNUMBER($B525),$B525&lt;=클레임조회!$C$5)),OR(클레임조회!$C$6="",$C525=클레임조회!$C$6),OR(클레임조회!$C$7="",$D525=클레임조회!$C$7),OR(클레임조회!$C$8="",$E525=클레임조회!$C$8),OR(클레임조회!$C$9="",$F525=클레임조회!$C$9),OR(클레임조회!$C$10="",ISNUMBER(SEARCH(클레임조회!$C$10,$C525&amp;" "&amp;$F525&amp;" "&amp;$G525&amp;" "&amp;$H525)))),COUNT(O$1:O524)+1,"")</f>
        <v/>
      </c>
      <c r="P525" s="0" t="str">
        <f aca="false">IF(AND(TRIM(C525)&lt;&gt;"",COUNTIF(C$2:C525,C525)=1),MAX(P$1:P524)+1,"")</f>
        <v/>
      </c>
      <c r="Q525" s="0" t="str">
        <f aca="false">IF(AND(TRIM(F525)&lt;&gt;"",COUNTIF(F$2:F525,F525)=1),MAX(Q$1:Q524)+1,"")</f>
        <v/>
      </c>
    </row>
    <row r="526" customFormat="false" ht="15" hidden="false" customHeight="false" outlineLevel="0" collapsed="false">
      <c r="A526" s="9"/>
      <c r="B526" s="10"/>
      <c r="C526" s="11"/>
      <c r="D526" s="11"/>
      <c r="E526" s="11"/>
      <c r="F526" s="11"/>
      <c r="G526" s="12"/>
      <c r="H526" s="12"/>
      <c r="I526" s="10"/>
      <c r="J526" s="12"/>
      <c r="K526" s="13" t="str">
        <f aca="false">IF(ISNUMBER(B526),YEAR(B526),"")</f>
        <v/>
      </c>
      <c r="L526" s="13" t="str">
        <f aca="false">IF(ISNUMBER(B526),MONTH(B526),"")</f>
        <v/>
      </c>
      <c r="M526" s="13" t="str">
        <f aca="false">IF(AND(ISNUMBER(B526),ISNUMBER(I526)),B526-I526+1,"")</f>
        <v/>
      </c>
      <c r="N526" s="14" t="str">
        <f aca="false">IF(B526="","",IF(M526="","시작일 미입력",IF(M526&lt;1,"시작일 이전(확인)",IF(M526=1,"1일째",IF(M526=2,"2일째",IF(M526=3,"3일째",IF(M526&lt;=7,"일주일 이내",IF(M526&lt;=14,"이주일 이내","15일 이후"))))))))</f>
        <v/>
      </c>
      <c r="O526" s="0" t="str">
        <f aca="false">IF(AND(COUNTA($A526:$J526)&gt;0,OR(클레임조회!$C$4="",AND(ISNUMBER($B526),$B526&gt;=클레임조회!$C$4)),OR(클레임조회!$C$5="",AND(ISNUMBER($B526),$B526&lt;=클레임조회!$C$5)),OR(클레임조회!$C$6="",$C526=클레임조회!$C$6),OR(클레임조회!$C$7="",$D526=클레임조회!$C$7),OR(클레임조회!$C$8="",$E526=클레임조회!$C$8),OR(클레임조회!$C$9="",$F526=클레임조회!$C$9),OR(클레임조회!$C$10="",ISNUMBER(SEARCH(클레임조회!$C$10,$C526&amp;" "&amp;$F526&amp;" "&amp;$G526&amp;" "&amp;$H526)))),COUNT(O$1:O525)+1,"")</f>
        <v/>
      </c>
      <c r="P526" s="0" t="str">
        <f aca="false">IF(AND(TRIM(C526)&lt;&gt;"",COUNTIF(C$2:C526,C526)=1),MAX(P$1:P525)+1,"")</f>
        <v/>
      </c>
      <c r="Q526" s="0" t="str">
        <f aca="false">IF(AND(TRIM(F526)&lt;&gt;"",COUNTIF(F$2:F526,F526)=1),MAX(Q$1:Q525)+1,"")</f>
        <v/>
      </c>
    </row>
    <row r="527" customFormat="false" ht="15" hidden="false" customHeight="false" outlineLevel="0" collapsed="false">
      <c r="A527" s="9"/>
      <c r="B527" s="10"/>
      <c r="C527" s="11"/>
      <c r="D527" s="11"/>
      <c r="E527" s="11"/>
      <c r="F527" s="11"/>
      <c r="G527" s="12"/>
      <c r="H527" s="12"/>
      <c r="I527" s="10"/>
      <c r="J527" s="12"/>
      <c r="K527" s="13" t="str">
        <f aca="false">IF(ISNUMBER(B527),YEAR(B527),"")</f>
        <v/>
      </c>
      <c r="L527" s="13" t="str">
        <f aca="false">IF(ISNUMBER(B527),MONTH(B527),"")</f>
        <v/>
      </c>
      <c r="M527" s="13" t="str">
        <f aca="false">IF(AND(ISNUMBER(B527),ISNUMBER(I527)),B527-I527+1,"")</f>
        <v/>
      </c>
      <c r="N527" s="14" t="str">
        <f aca="false">IF(B527="","",IF(M527="","시작일 미입력",IF(M527&lt;1,"시작일 이전(확인)",IF(M527=1,"1일째",IF(M527=2,"2일째",IF(M527=3,"3일째",IF(M527&lt;=7,"일주일 이내",IF(M527&lt;=14,"이주일 이내","15일 이후"))))))))</f>
        <v/>
      </c>
      <c r="O527" s="0" t="str">
        <f aca="false">IF(AND(COUNTA($A527:$J527)&gt;0,OR(클레임조회!$C$4="",AND(ISNUMBER($B527),$B527&gt;=클레임조회!$C$4)),OR(클레임조회!$C$5="",AND(ISNUMBER($B527),$B527&lt;=클레임조회!$C$5)),OR(클레임조회!$C$6="",$C527=클레임조회!$C$6),OR(클레임조회!$C$7="",$D527=클레임조회!$C$7),OR(클레임조회!$C$8="",$E527=클레임조회!$C$8),OR(클레임조회!$C$9="",$F527=클레임조회!$C$9),OR(클레임조회!$C$10="",ISNUMBER(SEARCH(클레임조회!$C$10,$C527&amp;" "&amp;$F527&amp;" "&amp;$G527&amp;" "&amp;$H527)))),COUNT(O$1:O526)+1,"")</f>
        <v/>
      </c>
      <c r="P527" s="0" t="str">
        <f aca="false">IF(AND(TRIM(C527)&lt;&gt;"",COUNTIF(C$2:C527,C527)=1),MAX(P$1:P526)+1,"")</f>
        <v/>
      </c>
      <c r="Q527" s="0" t="str">
        <f aca="false">IF(AND(TRIM(F527)&lt;&gt;"",COUNTIF(F$2:F527,F527)=1),MAX(Q$1:Q526)+1,"")</f>
        <v/>
      </c>
    </row>
    <row r="528" customFormat="false" ht="15" hidden="false" customHeight="false" outlineLevel="0" collapsed="false">
      <c r="A528" s="9"/>
      <c r="B528" s="10"/>
      <c r="C528" s="11"/>
      <c r="D528" s="11"/>
      <c r="E528" s="11"/>
      <c r="F528" s="11"/>
      <c r="G528" s="12"/>
      <c r="H528" s="12"/>
      <c r="I528" s="10"/>
      <c r="J528" s="12"/>
      <c r="K528" s="13" t="str">
        <f aca="false">IF(ISNUMBER(B528),YEAR(B528),"")</f>
        <v/>
      </c>
      <c r="L528" s="13" t="str">
        <f aca="false">IF(ISNUMBER(B528),MONTH(B528),"")</f>
        <v/>
      </c>
      <c r="M528" s="13" t="str">
        <f aca="false">IF(AND(ISNUMBER(B528),ISNUMBER(I528)),B528-I528+1,"")</f>
        <v/>
      </c>
      <c r="N528" s="14" t="str">
        <f aca="false">IF(B528="","",IF(M528="","시작일 미입력",IF(M528&lt;1,"시작일 이전(확인)",IF(M528=1,"1일째",IF(M528=2,"2일째",IF(M528=3,"3일째",IF(M528&lt;=7,"일주일 이내",IF(M528&lt;=14,"이주일 이내","15일 이후"))))))))</f>
        <v/>
      </c>
      <c r="O528" s="0" t="str">
        <f aca="false">IF(AND(COUNTA($A528:$J528)&gt;0,OR(클레임조회!$C$4="",AND(ISNUMBER($B528),$B528&gt;=클레임조회!$C$4)),OR(클레임조회!$C$5="",AND(ISNUMBER($B528),$B528&lt;=클레임조회!$C$5)),OR(클레임조회!$C$6="",$C528=클레임조회!$C$6),OR(클레임조회!$C$7="",$D528=클레임조회!$C$7),OR(클레임조회!$C$8="",$E528=클레임조회!$C$8),OR(클레임조회!$C$9="",$F528=클레임조회!$C$9),OR(클레임조회!$C$10="",ISNUMBER(SEARCH(클레임조회!$C$10,$C528&amp;" "&amp;$F528&amp;" "&amp;$G528&amp;" "&amp;$H528)))),COUNT(O$1:O527)+1,"")</f>
        <v/>
      </c>
      <c r="P528" s="0" t="str">
        <f aca="false">IF(AND(TRIM(C528)&lt;&gt;"",COUNTIF(C$2:C528,C528)=1),MAX(P$1:P527)+1,"")</f>
        <v/>
      </c>
      <c r="Q528" s="0" t="str">
        <f aca="false">IF(AND(TRIM(F528)&lt;&gt;"",COUNTIF(F$2:F528,F528)=1),MAX(Q$1:Q527)+1,"")</f>
        <v/>
      </c>
    </row>
    <row r="529" customFormat="false" ht="15" hidden="false" customHeight="false" outlineLevel="0" collapsed="false">
      <c r="A529" s="9"/>
      <c r="B529" s="10"/>
      <c r="C529" s="11"/>
      <c r="D529" s="11"/>
      <c r="E529" s="11"/>
      <c r="F529" s="11"/>
      <c r="G529" s="12"/>
      <c r="H529" s="12"/>
      <c r="I529" s="10"/>
      <c r="J529" s="12"/>
      <c r="K529" s="13" t="str">
        <f aca="false">IF(ISNUMBER(B529),YEAR(B529),"")</f>
        <v/>
      </c>
      <c r="L529" s="13" t="str">
        <f aca="false">IF(ISNUMBER(B529),MONTH(B529),"")</f>
        <v/>
      </c>
      <c r="M529" s="13" t="str">
        <f aca="false">IF(AND(ISNUMBER(B529),ISNUMBER(I529)),B529-I529+1,"")</f>
        <v/>
      </c>
      <c r="N529" s="14" t="str">
        <f aca="false">IF(B529="","",IF(M529="","시작일 미입력",IF(M529&lt;1,"시작일 이전(확인)",IF(M529=1,"1일째",IF(M529=2,"2일째",IF(M529=3,"3일째",IF(M529&lt;=7,"일주일 이내",IF(M529&lt;=14,"이주일 이내","15일 이후"))))))))</f>
        <v/>
      </c>
      <c r="O529" s="0" t="str">
        <f aca="false">IF(AND(COUNTA($A529:$J529)&gt;0,OR(클레임조회!$C$4="",AND(ISNUMBER($B529),$B529&gt;=클레임조회!$C$4)),OR(클레임조회!$C$5="",AND(ISNUMBER($B529),$B529&lt;=클레임조회!$C$5)),OR(클레임조회!$C$6="",$C529=클레임조회!$C$6),OR(클레임조회!$C$7="",$D529=클레임조회!$C$7),OR(클레임조회!$C$8="",$E529=클레임조회!$C$8),OR(클레임조회!$C$9="",$F529=클레임조회!$C$9),OR(클레임조회!$C$10="",ISNUMBER(SEARCH(클레임조회!$C$10,$C529&amp;" "&amp;$F529&amp;" "&amp;$G529&amp;" "&amp;$H529)))),COUNT(O$1:O528)+1,"")</f>
        <v/>
      </c>
      <c r="P529" s="0" t="str">
        <f aca="false">IF(AND(TRIM(C529)&lt;&gt;"",COUNTIF(C$2:C529,C529)=1),MAX(P$1:P528)+1,"")</f>
        <v/>
      </c>
      <c r="Q529" s="0" t="str">
        <f aca="false">IF(AND(TRIM(F529)&lt;&gt;"",COUNTIF(F$2:F529,F529)=1),MAX(Q$1:Q528)+1,"")</f>
        <v/>
      </c>
    </row>
    <row r="530" customFormat="false" ht="15" hidden="false" customHeight="false" outlineLevel="0" collapsed="false">
      <c r="A530" s="9"/>
      <c r="B530" s="10"/>
      <c r="C530" s="11"/>
      <c r="D530" s="11"/>
      <c r="E530" s="11"/>
      <c r="F530" s="11"/>
      <c r="G530" s="12"/>
      <c r="H530" s="12"/>
      <c r="I530" s="10"/>
      <c r="J530" s="12"/>
      <c r="K530" s="13" t="str">
        <f aca="false">IF(ISNUMBER(B530),YEAR(B530),"")</f>
        <v/>
      </c>
      <c r="L530" s="13" t="str">
        <f aca="false">IF(ISNUMBER(B530),MONTH(B530),"")</f>
        <v/>
      </c>
      <c r="M530" s="13" t="str">
        <f aca="false">IF(AND(ISNUMBER(B530),ISNUMBER(I530)),B530-I530+1,"")</f>
        <v/>
      </c>
      <c r="N530" s="14" t="str">
        <f aca="false">IF(B530="","",IF(M530="","시작일 미입력",IF(M530&lt;1,"시작일 이전(확인)",IF(M530=1,"1일째",IF(M530=2,"2일째",IF(M530=3,"3일째",IF(M530&lt;=7,"일주일 이내",IF(M530&lt;=14,"이주일 이내","15일 이후"))))))))</f>
        <v/>
      </c>
      <c r="O530" s="0" t="str">
        <f aca="false">IF(AND(COUNTA($A530:$J530)&gt;0,OR(클레임조회!$C$4="",AND(ISNUMBER($B530),$B530&gt;=클레임조회!$C$4)),OR(클레임조회!$C$5="",AND(ISNUMBER($B530),$B530&lt;=클레임조회!$C$5)),OR(클레임조회!$C$6="",$C530=클레임조회!$C$6),OR(클레임조회!$C$7="",$D530=클레임조회!$C$7),OR(클레임조회!$C$8="",$E530=클레임조회!$C$8),OR(클레임조회!$C$9="",$F530=클레임조회!$C$9),OR(클레임조회!$C$10="",ISNUMBER(SEARCH(클레임조회!$C$10,$C530&amp;" "&amp;$F530&amp;" "&amp;$G530&amp;" "&amp;$H530)))),COUNT(O$1:O529)+1,"")</f>
        <v/>
      </c>
      <c r="P530" s="0" t="str">
        <f aca="false">IF(AND(TRIM(C530)&lt;&gt;"",COUNTIF(C$2:C530,C530)=1),MAX(P$1:P529)+1,"")</f>
        <v/>
      </c>
      <c r="Q530" s="0" t="str">
        <f aca="false">IF(AND(TRIM(F530)&lt;&gt;"",COUNTIF(F$2:F530,F530)=1),MAX(Q$1:Q529)+1,"")</f>
        <v/>
      </c>
    </row>
    <row r="531" customFormat="false" ht="15" hidden="false" customHeight="false" outlineLevel="0" collapsed="false">
      <c r="A531" s="9"/>
      <c r="B531" s="10"/>
      <c r="C531" s="11"/>
      <c r="D531" s="11"/>
      <c r="E531" s="11"/>
      <c r="F531" s="11"/>
      <c r="G531" s="12"/>
      <c r="H531" s="12"/>
      <c r="I531" s="10"/>
      <c r="J531" s="12"/>
      <c r="K531" s="13" t="str">
        <f aca="false">IF(ISNUMBER(B531),YEAR(B531),"")</f>
        <v/>
      </c>
      <c r="L531" s="13" t="str">
        <f aca="false">IF(ISNUMBER(B531),MONTH(B531),"")</f>
        <v/>
      </c>
      <c r="M531" s="13" t="str">
        <f aca="false">IF(AND(ISNUMBER(B531),ISNUMBER(I531)),B531-I531+1,"")</f>
        <v/>
      </c>
      <c r="N531" s="14" t="str">
        <f aca="false">IF(B531="","",IF(M531="","시작일 미입력",IF(M531&lt;1,"시작일 이전(확인)",IF(M531=1,"1일째",IF(M531=2,"2일째",IF(M531=3,"3일째",IF(M531&lt;=7,"일주일 이내",IF(M531&lt;=14,"이주일 이내","15일 이후"))))))))</f>
        <v/>
      </c>
      <c r="O531" s="0" t="str">
        <f aca="false">IF(AND(COUNTA($A531:$J531)&gt;0,OR(클레임조회!$C$4="",AND(ISNUMBER($B531),$B531&gt;=클레임조회!$C$4)),OR(클레임조회!$C$5="",AND(ISNUMBER($B531),$B531&lt;=클레임조회!$C$5)),OR(클레임조회!$C$6="",$C531=클레임조회!$C$6),OR(클레임조회!$C$7="",$D531=클레임조회!$C$7),OR(클레임조회!$C$8="",$E531=클레임조회!$C$8),OR(클레임조회!$C$9="",$F531=클레임조회!$C$9),OR(클레임조회!$C$10="",ISNUMBER(SEARCH(클레임조회!$C$10,$C531&amp;" "&amp;$F531&amp;" "&amp;$G531&amp;" "&amp;$H531)))),COUNT(O$1:O530)+1,"")</f>
        <v/>
      </c>
      <c r="P531" s="0" t="str">
        <f aca="false">IF(AND(TRIM(C531)&lt;&gt;"",COUNTIF(C$2:C531,C531)=1),MAX(P$1:P530)+1,"")</f>
        <v/>
      </c>
      <c r="Q531" s="0" t="str">
        <f aca="false">IF(AND(TRIM(F531)&lt;&gt;"",COUNTIF(F$2:F531,F531)=1),MAX(Q$1:Q530)+1,"")</f>
        <v/>
      </c>
    </row>
    <row r="532" customFormat="false" ht="15" hidden="false" customHeight="false" outlineLevel="0" collapsed="false">
      <c r="A532" s="9"/>
      <c r="B532" s="10"/>
      <c r="C532" s="11"/>
      <c r="D532" s="11"/>
      <c r="E532" s="11"/>
      <c r="F532" s="11"/>
      <c r="G532" s="12"/>
      <c r="H532" s="12"/>
      <c r="I532" s="10"/>
      <c r="J532" s="12"/>
      <c r="K532" s="13" t="str">
        <f aca="false">IF(ISNUMBER(B532),YEAR(B532),"")</f>
        <v/>
      </c>
      <c r="L532" s="13" t="str">
        <f aca="false">IF(ISNUMBER(B532),MONTH(B532),"")</f>
        <v/>
      </c>
      <c r="M532" s="13" t="str">
        <f aca="false">IF(AND(ISNUMBER(B532),ISNUMBER(I532)),B532-I532+1,"")</f>
        <v/>
      </c>
      <c r="N532" s="14" t="str">
        <f aca="false">IF(B532="","",IF(M532="","시작일 미입력",IF(M532&lt;1,"시작일 이전(확인)",IF(M532=1,"1일째",IF(M532=2,"2일째",IF(M532=3,"3일째",IF(M532&lt;=7,"일주일 이내",IF(M532&lt;=14,"이주일 이내","15일 이후"))))))))</f>
        <v/>
      </c>
      <c r="O532" s="0" t="str">
        <f aca="false">IF(AND(COUNTA($A532:$J532)&gt;0,OR(클레임조회!$C$4="",AND(ISNUMBER($B532),$B532&gt;=클레임조회!$C$4)),OR(클레임조회!$C$5="",AND(ISNUMBER($B532),$B532&lt;=클레임조회!$C$5)),OR(클레임조회!$C$6="",$C532=클레임조회!$C$6),OR(클레임조회!$C$7="",$D532=클레임조회!$C$7),OR(클레임조회!$C$8="",$E532=클레임조회!$C$8),OR(클레임조회!$C$9="",$F532=클레임조회!$C$9),OR(클레임조회!$C$10="",ISNUMBER(SEARCH(클레임조회!$C$10,$C532&amp;" "&amp;$F532&amp;" "&amp;$G532&amp;" "&amp;$H532)))),COUNT(O$1:O531)+1,"")</f>
        <v/>
      </c>
      <c r="P532" s="0" t="str">
        <f aca="false">IF(AND(TRIM(C532)&lt;&gt;"",COUNTIF(C$2:C532,C532)=1),MAX(P$1:P531)+1,"")</f>
        <v/>
      </c>
      <c r="Q532" s="0" t="str">
        <f aca="false">IF(AND(TRIM(F532)&lt;&gt;"",COUNTIF(F$2:F532,F532)=1),MAX(Q$1:Q531)+1,"")</f>
        <v/>
      </c>
    </row>
    <row r="533" customFormat="false" ht="15" hidden="false" customHeight="false" outlineLevel="0" collapsed="false">
      <c r="A533" s="9"/>
      <c r="B533" s="10"/>
      <c r="C533" s="11"/>
      <c r="D533" s="11"/>
      <c r="E533" s="11"/>
      <c r="F533" s="11"/>
      <c r="G533" s="12"/>
      <c r="H533" s="12"/>
      <c r="I533" s="10"/>
      <c r="J533" s="12"/>
      <c r="K533" s="13" t="str">
        <f aca="false">IF(ISNUMBER(B533),YEAR(B533),"")</f>
        <v/>
      </c>
      <c r="L533" s="13" t="str">
        <f aca="false">IF(ISNUMBER(B533),MONTH(B533),"")</f>
        <v/>
      </c>
      <c r="M533" s="13" t="str">
        <f aca="false">IF(AND(ISNUMBER(B533),ISNUMBER(I533)),B533-I533+1,"")</f>
        <v/>
      </c>
      <c r="N533" s="14" t="str">
        <f aca="false">IF(B533="","",IF(M533="","시작일 미입력",IF(M533&lt;1,"시작일 이전(확인)",IF(M533=1,"1일째",IF(M533=2,"2일째",IF(M533=3,"3일째",IF(M533&lt;=7,"일주일 이내",IF(M533&lt;=14,"이주일 이내","15일 이후"))))))))</f>
        <v/>
      </c>
      <c r="O533" s="0" t="str">
        <f aca="false">IF(AND(COUNTA($A533:$J533)&gt;0,OR(클레임조회!$C$4="",AND(ISNUMBER($B533),$B533&gt;=클레임조회!$C$4)),OR(클레임조회!$C$5="",AND(ISNUMBER($B533),$B533&lt;=클레임조회!$C$5)),OR(클레임조회!$C$6="",$C533=클레임조회!$C$6),OR(클레임조회!$C$7="",$D533=클레임조회!$C$7),OR(클레임조회!$C$8="",$E533=클레임조회!$C$8),OR(클레임조회!$C$9="",$F533=클레임조회!$C$9),OR(클레임조회!$C$10="",ISNUMBER(SEARCH(클레임조회!$C$10,$C533&amp;" "&amp;$F533&amp;" "&amp;$G533&amp;" "&amp;$H533)))),COUNT(O$1:O532)+1,"")</f>
        <v/>
      </c>
      <c r="P533" s="0" t="str">
        <f aca="false">IF(AND(TRIM(C533)&lt;&gt;"",COUNTIF(C$2:C533,C533)=1),MAX(P$1:P532)+1,"")</f>
        <v/>
      </c>
      <c r="Q533" s="0" t="str">
        <f aca="false">IF(AND(TRIM(F533)&lt;&gt;"",COUNTIF(F$2:F533,F533)=1),MAX(Q$1:Q532)+1,"")</f>
        <v/>
      </c>
    </row>
    <row r="534" customFormat="false" ht="15" hidden="false" customHeight="false" outlineLevel="0" collapsed="false">
      <c r="A534" s="9"/>
      <c r="B534" s="10"/>
      <c r="C534" s="11"/>
      <c r="D534" s="11"/>
      <c r="E534" s="11"/>
      <c r="F534" s="11"/>
      <c r="G534" s="12"/>
      <c r="H534" s="12"/>
      <c r="I534" s="10"/>
      <c r="J534" s="12"/>
      <c r="K534" s="13" t="str">
        <f aca="false">IF(ISNUMBER(B534),YEAR(B534),"")</f>
        <v/>
      </c>
      <c r="L534" s="13" t="str">
        <f aca="false">IF(ISNUMBER(B534),MONTH(B534),"")</f>
        <v/>
      </c>
      <c r="M534" s="13" t="str">
        <f aca="false">IF(AND(ISNUMBER(B534),ISNUMBER(I534)),B534-I534+1,"")</f>
        <v/>
      </c>
      <c r="N534" s="14" t="str">
        <f aca="false">IF(B534="","",IF(M534="","시작일 미입력",IF(M534&lt;1,"시작일 이전(확인)",IF(M534=1,"1일째",IF(M534=2,"2일째",IF(M534=3,"3일째",IF(M534&lt;=7,"일주일 이내",IF(M534&lt;=14,"이주일 이내","15일 이후"))))))))</f>
        <v/>
      </c>
      <c r="O534" s="0" t="str">
        <f aca="false">IF(AND(COUNTA($A534:$J534)&gt;0,OR(클레임조회!$C$4="",AND(ISNUMBER($B534),$B534&gt;=클레임조회!$C$4)),OR(클레임조회!$C$5="",AND(ISNUMBER($B534),$B534&lt;=클레임조회!$C$5)),OR(클레임조회!$C$6="",$C534=클레임조회!$C$6),OR(클레임조회!$C$7="",$D534=클레임조회!$C$7),OR(클레임조회!$C$8="",$E534=클레임조회!$C$8),OR(클레임조회!$C$9="",$F534=클레임조회!$C$9),OR(클레임조회!$C$10="",ISNUMBER(SEARCH(클레임조회!$C$10,$C534&amp;" "&amp;$F534&amp;" "&amp;$G534&amp;" "&amp;$H534)))),COUNT(O$1:O533)+1,"")</f>
        <v/>
      </c>
      <c r="P534" s="0" t="str">
        <f aca="false">IF(AND(TRIM(C534)&lt;&gt;"",COUNTIF(C$2:C534,C534)=1),MAX(P$1:P533)+1,"")</f>
        <v/>
      </c>
      <c r="Q534" s="0" t="str">
        <f aca="false">IF(AND(TRIM(F534)&lt;&gt;"",COUNTIF(F$2:F534,F534)=1),MAX(Q$1:Q533)+1,"")</f>
        <v/>
      </c>
    </row>
    <row r="535" customFormat="false" ht="15" hidden="false" customHeight="false" outlineLevel="0" collapsed="false">
      <c r="A535" s="9"/>
      <c r="B535" s="10"/>
      <c r="C535" s="11"/>
      <c r="D535" s="11"/>
      <c r="E535" s="11"/>
      <c r="F535" s="11"/>
      <c r="G535" s="12"/>
      <c r="H535" s="12"/>
      <c r="I535" s="10"/>
      <c r="J535" s="12"/>
      <c r="K535" s="13" t="str">
        <f aca="false">IF(ISNUMBER(B535),YEAR(B535),"")</f>
        <v/>
      </c>
      <c r="L535" s="13" t="str">
        <f aca="false">IF(ISNUMBER(B535),MONTH(B535),"")</f>
        <v/>
      </c>
      <c r="M535" s="13" t="str">
        <f aca="false">IF(AND(ISNUMBER(B535),ISNUMBER(I535)),B535-I535+1,"")</f>
        <v/>
      </c>
      <c r="N535" s="14" t="str">
        <f aca="false">IF(B535="","",IF(M535="","시작일 미입력",IF(M535&lt;1,"시작일 이전(확인)",IF(M535=1,"1일째",IF(M535=2,"2일째",IF(M535=3,"3일째",IF(M535&lt;=7,"일주일 이내",IF(M535&lt;=14,"이주일 이내","15일 이후"))))))))</f>
        <v/>
      </c>
      <c r="O535" s="0" t="str">
        <f aca="false">IF(AND(COUNTA($A535:$J535)&gt;0,OR(클레임조회!$C$4="",AND(ISNUMBER($B535),$B535&gt;=클레임조회!$C$4)),OR(클레임조회!$C$5="",AND(ISNUMBER($B535),$B535&lt;=클레임조회!$C$5)),OR(클레임조회!$C$6="",$C535=클레임조회!$C$6),OR(클레임조회!$C$7="",$D535=클레임조회!$C$7),OR(클레임조회!$C$8="",$E535=클레임조회!$C$8),OR(클레임조회!$C$9="",$F535=클레임조회!$C$9),OR(클레임조회!$C$10="",ISNUMBER(SEARCH(클레임조회!$C$10,$C535&amp;" "&amp;$F535&amp;" "&amp;$G535&amp;" "&amp;$H535)))),COUNT(O$1:O534)+1,"")</f>
        <v/>
      </c>
      <c r="P535" s="0" t="str">
        <f aca="false">IF(AND(TRIM(C535)&lt;&gt;"",COUNTIF(C$2:C535,C535)=1),MAX(P$1:P534)+1,"")</f>
        <v/>
      </c>
      <c r="Q535" s="0" t="str">
        <f aca="false">IF(AND(TRIM(F535)&lt;&gt;"",COUNTIF(F$2:F535,F535)=1),MAX(Q$1:Q534)+1,"")</f>
        <v/>
      </c>
    </row>
    <row r="536" customFormat="false" ht="15" hidden="false" customHeight="false" outlineLevel="0" collapsed="false">
      <c r="A536" s="9"/>
      <c r="B536" s="10"/>
      <c r="C536" s="11"/>
      <c r="D536" s="11"/>
      <c r="E536" s="11"/>
      <c r="F536" s="11"/>
      <c r="G536" s="12"/>
      <c r="H536" s="12"/>
      <c r="I536" s="10"/>
      <c r="J536" s="12"/>
      <c r="K536" s="13" t="str">
        <f aca="false">IF(ISNUMBER(B536),YEAR(B536),"")</f>
        <v/>
      </c>
      <c r="L536" s="13" t="str">
        <f aca="false">IF(ISNUMBER(B536),MONTH(B536),"")</f>
        <v/>
      </c>
      <c r="M536" s="13" t="str">
        <f aca="false">IF(AND(ISNUMBER(B536),ISNUMBER(I536)),B536-I536+1,"")</f>
        <v/>
      </c>
      <c r="N536" s="14" t="str">
        <f aca="false">IF(B536="","",IF(M536="","시작일 미입력",IF(M536&lt;1,"시작일 이전(확인)",IF(M536=1,"1일째",IF(M536=2,"2일째",IF(M536=3,"3일째",IF(M536&lt;=7,"일주일 이내",IF(M536&lt;=14,"이주일 이내","15일 이후"))))))))</f>
        <v/>
      </c>
      <c r="O536" s="0" t="str">
        <f aca="false">IF(AND(COUNTA($A536:$J536)&gt;0,OR(클레임조회!$C$4="",AND(ISNUMBER($B536),$B536&gt;=클레임조회!$C$4)),OR(클레임조회!$C$5="",AND(ISNUMBER($B536),$B536&lt;=클레임조회!$C$5)),OR(클레임조회!$C$6="",$C536=클레임조회!$C$6),OR(클레임조회!$C$7="",$D536=클레임조회!$C$7),OR(클레임조회!$C$8="",$E536=클레임조회!$C$8),OR(클레임조회!$C$9="",$F536=클레임조회!$C$9),OR(클레임조회!$C$10="",ISNUMBER(SEARCH(클레임조회!$C$10,$C536&amp;" "&amp;$F536&amp;" "&amp;$G536&amp;" "&amp;$H536)))),COUNT(O$1:O535)+1,"")</f>
        <v/>
      </c>
      <c r="P536" s="0" t="str">
        <f aca="false">IF(AND(TRIM(C536)&lt;&gt;"",COUNTIF(C$2:C536,C536)=1),MAX(P$1:P535)+1,"")</f>
        <v/>
      </c>
      <c r="Q536" s="0" t="str">
        <f aca="false">IF(AND(TRIM(F536)&lt;&gt;"",COUNTIF(F$2:F536,F536)=1),MAX(Q$1:Q535)+1,"")</f>
        <v/>
      </c>
    </row>
    <row r="537" customFormat="false" ht="15" hidden="false" customHeight="false" outlineLevel="0" collapsed="false">
      <c r="A537" s="9"/>
      <c r="B537" s="10"/>
      <c r="C537" s="11"/>
      <c r="D537" s="11"/>
      <c r="E537" s="11"/>
      <c r="F537" s="11"/>
      <c r="G537" s="12"/>
      <c r="H537" s="12"/>
      <c r="I537" s="10"/>
      <c r="J537" s="12"/>
      <c r="K537" s="13" t="str">
        <f aca="false">IF(ISNUMBER(B537),YEAR(B537),"")</f>
        <v/>
      </c>
      <c r="L537" s="13" t="str">
        <f aca="false">IF(ISNUMBER(B537),MONTH(B537),"")</f>
        <v/>
      </c>
      <c r="M537" s="13" t="str">
        <f aca="false">IF(AND(ISNUMBER(B537),ISNUMBER(I537)),B537-I537+1,"")</f>
        <v/>
      </c>
      <c r="N537" s="14" t="str">
        <f aca="false">IF(B537="","",IF(M537="","시작일 미입력",IF(M537&lt;1,"시작일 이전(확인)",IF(M537=1,"1일째",IF(M537=2,"2일째",IF(M537=3,"3일째",IF(M537&lt;=7,"일주일 이내",IF(M537&lt;=14,"이주일 이내","15일 이후"))))))))</f>
        <v/>
      </c>
      <c r="O537" s="0" t="str">
        <f aca="false">IF(AND(COUNTA($A537:$J537)&gt;0,OR(클레임조회!$C$4="",AND(ISNUMBER($B537),$B537&gt;=클레임조회!$C$4)),OR(클레임조회!$C$5="",AND(ISNUMBER($B537),$B537&lt;=클레임조회!$C$5)),OR(클레임조회!$C$6="",$C537=클레임조회!$C$6),OR(클레임조회!$C$7="",$D537=클레임조회!$C$7),OR(클레임조회!$C$8="",$E537=클레임조회!$C$8),OR(클레임조회!$C$9="",$F537=클레임조회!$C$9),OR(클레임조회!$C$10="",ISNUMBER(SEARCH(클레임조회!$C$10,$C537&amp;" "&amp;$F537&amp;" "&amp;$G537&amp;" "&amp;$H537)))),COUNT(O$1:O536)+1,"")</f>
        <v/>
      </c>
      <c r="P537" s="0" t="str">
        <f aca="false">IF(AND(TRIM(C537)&lt;&gt;"",COUNTIF(C$2:C537,C537)=1),MAX(P$1:P536)+1,"")</f>
        <v/>
      </c>
      <c r="Q537" s="0" t="str">
        <f aca="false">IF(AND(TRIM(F537)&lt;&gt;"",COUNTIF(F$2:F537,F537)=1),MAX(Q$1:Q536)+1,"")</f>
        <v/>
      </c>
    </row>
    <row r="538" customFormat="false" ht="15" hidden="false" customHeight="false" outlineLevel="0" collapsed="false">
      <c r="A538" s="9"/>
      <c r="B538" s="10"/>
      <c r="C538" s="11"/>
      <c r="D538" s="11"/>
      <c r="E538" s="11"/>
      <c r="F538" s="11"/>
      <c r="G538" s="12"/>
      <c r="H538" s="12"/>
      <c r="I538" s="10"/>
      <c r="J538" s="12"/>
      <c r="K538" s="13" t="str">
        <f aca="false">IF(ISNUMBER(B538),YEAR(B538),"")</f>
        <v/>
      </c>
      <c r="L538" s="13" t="str">
        <f aca="false">IF(ISNUMBER(B538),MONTH(B538),"")</f>
        <v/>
      </c>
      <c r="M538" s="13" t="str">
        <f aca="false">IF(AND(ISNUMBER(B538),ISNUMBER(I538)),B538-I538+1,"")</f>
        <v/>
      </c>
      <c r="N538" s="14" t="str">
        <f aca="false">IF(B538="","",IF(M538="","시작일 미입력",IF(M538&lt;1,"시작일 이전(확인)",IF(M538=1,"1일째",IF(M538=2,"2일째",IF(M538=3,"3일째",IF(M538&lt;=7,"일주일 이내",IF(M538&lt;=14,"이주일 이내","15일 이후"))))))))</f>
        <v/>
      </c>
      <c r="O538" s="0" t="str">
        <f aca="false">IF(AND(COUNTA($A538:$J538)&gt;0,OR(클레임조회!$C$4="",AND(ISNUMBER($B538),$B538&gt;=클레임조회!$C$4)),OR(클레임조회!$C$5="",AND(ISNUMBER($B538),$B538&lt;=클레임조회!$C$5)),OR(클레임조회!$C$6="",$C538=클레임조회!$C$6),OR(클레임조회!$C$7="",$D538=클레임조회!$C$7),OR(클레임조회!$C$8="",$E538=클레임조회!$C$8),OR(클레임조회!$C$9="",$F538=클레임조회!$C$9),OR(클레임조회!$C$10="",ISNUMBER(SEARCH(클레임조회!$C$10,$C538&amp;" "&amp;$F538&amp;" "&amp;$G538&amp;" "&amp;$H538)))),COUNT(O$1:O537)+1,"")</f>
        <v/>
      </c>
      <c r="P538" s="0" t="str">
        <f aca="false">IF(AND(TRIM(C538)&lt;&gt;"",COUNTIF(C$2:C538,C538)=1),MAX(P$1:P537)+1,"")</f>
        <v/>
      </c>
      <c r="Q538" s="0" t="str">
        <f aca="false">IF(AND(TRIM(F538)&lt;&gt;"",COUNTIF(F$2:F538,F538)=1),MAX(Q$1:Q537)+1,"")</f>
        <v/>
      </c>
    </row>
    <row r="539" customFormat="false" ht="15" hidden="false" customHeight="false" outlineLevel="0" collapsed="false">
      <c r="A539" s="9"/>
      <c r="B539" s="10"/>
      <c r="C539" s="11"/>
      <c r="D539" s="11"/>
      <c r="E539" s="11"/>
      <c r="F539" s="11"/>
      <c r="G539" s="12"/>
      <c r="H539" s="12"/>
      <c r="I539" s="10"/>
      <c r="J539" s="12"/>
      <c r="K539" s="13" t="str">
        <f aca="false">IF(ISNUMBER(B539),YEAR(B539),"")</f>
        <v/>
      </c>
      <c r="L539" s="13" t="str">
        <f aca="false">IF(ISNUMBER(B539),MONTH(B539),"")</f>
        <v/>
      </c>
      <c r="M539" s="13" t="str">
        <f aca="false">IF(AND(ISNUMBER(B539),ISNUMBER(I539)),B539-I539+1,"")</f>
        <v/>
      </c>
      <c r="N539" s="14" t="str">
        <f aca="false">IF(B539="","",IF(M539="","시작일 미입력",IF(M539&lt;1,"시작일 이전(확인)",IF(M539=1,"1일째",IF(M539=2,"2일째",IF(M539=3,"3일째",IF(M539&lt;=7,"일주일 이내",IF(M539&lt;=14,"이주일 이내","15일 이후"))))))))</f>
        <v/>
      </c>
      <c r="O539" s="0" t="str">
        <f aca="false">IF(AND(COUNTA($A539:$J539)&gt;0,OR(클레임조회!$C$4="",AND(ISNUMBER($B539),$B539&gt;=클레임조회!$C$4)),OR(클레임조회!$C$5="",AND(ISNUMBER($B539),$B539&lt;=클레임조회!$C$5)),OR(클레임조회!$C$6="",$C539=클레임조회!$C$6),OR(클레임조회!$C$7="",$D539=클레임조회!$C$7),OR(클레임조회!$C$8="",$E539=클레임조회!$C$8),OR(클레임조회!$C$9="",$F539=클레임조회!$C$9),OR(클레임조회!$C$10="",ISNUMBER(SEARCH(클레임조회!$C$10,$C539&amp;" "&amp;$F539&amp;" "&amp;$G539&amp;" "&amp;$H539)))),COUNT(O$1:O538)+1,"")</f>
        <v/>
      </c>
      <c r="P539" s="0" t="str">
        <f aca="false">IF(AND(TRIM(C539)&lt;&gt;"",COUNTIF(C$2:C539,C539)=1),MAX(P$1:P538)+1,"")</f>
        <v/>
      </c>
      <c r="Q539" s="0" t="str">
        <f aca="false">IF(AND(TRIM(F539)&lt;&gt;"",COUNTIF(F$2:F539,F539)=1),MAX(Q$1:Q538)+1,"")</f>
        <v/>
      </c>
    </row>
    <row r="540" customFormat="false" ht="15" hidden="false" customHeight="false" outlineLevel="0" collapsed="false">
      <c r="A540" s="9"/>
      <c r="B540" s="10"/>
      <c r="C540" s="11"/>
      <c r="D540" s="11"/>
      <c r="E540" s="11"/>
      <c r="F540" s="11"/>
      <c r="G540" s="12"/>
      <c r="H540" s="12"/>
      <c r="I540" s="10"/>
      <c r="J540" s="12"/>
      <c r="K540" s="13" t="str">
        <f aca="false">IF(ISNUMBER(B540),YEAR(B540),"")</f>
        <v/>
      </c>
      <c r="L540" s="13" t="str">
        <f aca="false">IF(ISNUMBER(B540),MONTH(B540),"")</f>
        <v/>
      </c>
      <c r="M540" s="13" t="str">
        <f aca="false">IF(AND(ISNUMBER(B540),ISNUMBER(I540)),B540-I540+1,"")</f>
        <v/>
      </c>
      <c r="N540" s="14" t="str">
        <f aca="false">IF(B540="","",IF(M540="","시작일 미입력",IF(M540&lt;1,"시작일 이전(확인)",IF(M540=1,"1일째",IF(M540=2,"2일째",IF(M540=3,"3일째",IF(M540&lt;=7,"일주일 이내",IF(M540&lt;=14,"이주일 이내","15일 이후"))))))))</f>
        <v/>
      </c>
      <c r="O540" s="0" t="str">
        <f aca="false">IF(AND(COUNTA($A540:$J540)&gt;0,OR(클레임조회!$C$4="",AND(ISNUMBER($B540),$B540&gt;=클레임조회!$C$4)),OR(클레임조회!$C$5="",AND(ISNUMBER($B540),$B540&lt;=클레임조회!$C$5)),OR(클레임조회!$C$6="",$C540=클레임조회!$C$6),OR(클레임조회!$C$7="",$D540=클레임조회!$C$7),OR(클레임조회!$C$8="",$E540=클레임조회!$C$8),OR(클레임조회!$C$9="",$F540=클레임조회!$C$9),OR(클레임조회!$C$10="",ISNUMBER(SEARCH(클레임조회!$C$10,$C540&amp;" "&amp;$F540&amp;" "&amp;$G540&amp;" "&amp;$H540)))),COUNT(O$1:O539)+1,"")</f>
        <v/>
      </c>
      <c r="P540" s="0" t="str">
        <f aca="false">IF(AND(TRIM(C540)&lt;&gt;"",COUNTIF(C$2:C540,C540)=1),MAX(P$1:P539)+1,"")</f>
        <v/>
      </c>
      <c r="Q540" s="0" t="str">
        <f aca="false">IF(AND(TRIM(F540)&lt;&gt;"",COUNTIF(F$2:F540,F540)=1),MAX(Q$1:Q539)+1,"")</f>
        <v/>
      </c>
    </row>
    <row r="541" customFormat="false" ht="15" hidden="false" customHeight="false" outlineLevel="0" collapsed="false">
      <c r="A541" s="9"/>
      <c r="B541" s="10"/>
      <c r="C541" s="11"/>
      <c r="D541" s="11"/>
      <c r="E541" s="11"/>
      <c r="F541" s="11"/>
      <c r="G541" s="12"/>
      <c r="H541" s="12"/>
      <c r="I541" s="10"/>
      <c r="J541" s="12"/>
      <c r="K541" s="13" t="str">
        <f aca="false">IF(ISNUMBER(B541),YEAR(B541),"")</f>
        <v/>
      </c>
      <c r="L541" s="13" t="str">
        <f aca="false">IF(ISNUMBER(B541),MONTH(B541),"")</f>
        <v/>
      </c>
      <c r="M541" s="13" t="str">
        <f aca="false">IF(AND(ISNUMBER(B541),ISNUMBER(I541)),B541-I541+1,"")</f>
        <v/>
      </c>
      <c r="N541" s="14" t="str">
        <f aca="false">IF(B541="","",IF(M541="","시작일 미입력",IF(M541&lt;1,"시작일 이전(확인)",IF(M541=1,"1일째",IF(M541=2,"2일째",IF(M541=3,"3일째",IF(M541&lt;=7,"일주일 이내",IF(M541&lt;=14,"이주일 이내","15일 이후"))))))))</f>
        <v/>
      </c>
      <c r="O541" s="0" t="str">
        <f aca="false">IF(AND(COUNTA($A541:$J541)&gt;0,OR(클레임조회!$C$4="",AND(ISNUMBER($B541),$B541&gt;=클레임조회!$C$4)),OR(클레임조회!$C$5="",AND(ISNUMBER($B541),$B541&lt;=클레임조회!$C$5)),OR(클레임조회!$C$6="",$C541=클레임조회!$C$6),OR(클레임조회!$C$7="",$D541=클레임조회!$C$7),OR(클레임조회!$C$8="",$E541=클레임조회!$C$8),OR(클레임조회!$C$9="",$F541=클레임조회!$C$9),OR(클레임조회!$C$10="",ISNUMBER(SEARCH(클레임조회!$C$10,$C541&amp;" "&amp;$F541&amp;" "&amp;$G541&amp;" "&amp;$H541)))),COUNT(O$1:O540)+1,"")</f>
        <v/>
      </c>
      <c r="P541" s="0" t="str">
        <f aca="false">IF(AND(TRIM(C541)&lt;&gt;"",COUNTIF(C$2:C541,C541)=1),MAX(P$1:P540)+1,"")</f>
        <v/>
      </c>
      <c r="Q541" s="0" t="str">
        <f aca="false">IF(AND(TRIM(F541)&lt;&gt;"",COUNTIF(F$2:F541,F541)=1),MAX(Q$1:Q540)+1,"")</f>
        <v/>
      </c>
    </row>
    <row r="542" customFormat="false" ht="15" hidden="false" customHeight="false" outlineLevel="0" collapsed="false">
      <c r="A542" s="9"/>
      <c r="B542" s="10"/>
      <c r="C542" s="11"/>
      <c r="D542" s="11"/>
      <c r="E542" s="11"/>
      <c r="F542" s="11"/>
      <c r="G542" s="12"/>
      <c r="H542" s="12"/>
      <c r="I542" s="10"/>
      <c r="J542" s="12"/>
      <c r="K542" s="13" t="str">
        <f aca="false">IF(ISNUMBER(B542),YEAR(B542),"")</f>
        <v/>
      </c>
      <c r="L542" s="13" t="str">
        <f aca="false">IF(ISNUMBER(B542),MONTH(B542),"")</f>
        <v/>
      </c>
      <c r="M542" s="13" t="str">
        <f aca="false">IF(AND(ISNUMBER(B542),ISNUMBER(I542)),B542-I542+1,"")</f>
        <v/>
      </c>
      <c r="N542" s="14" t="str">
        <f aca="false">IF(B542="","",IF(M542="","시작일 미입력",IF(M542&lt;1,"시작일 이전(확인)",IF(M542=1,"1일째",IF(M542=2,"2일째",IF(M542=3,"3일째",IF(M542&lt;=7,"일주일 이내",IF(M542&lt;=14,"이주일 이내","15일 이후"))))))))</f>
        <v/>
      </c>
      <c r="O542" s="0" t="str">
        <f aca="false">IF(AND(COUNTA($A542:$J542)&gt;0,OR(클레임조회!$C$4="",AND(ISNUMBER($B542),$B542&gt;=클레임조회!$C$4)),OR(클레임조회!$C$5="",AND(ISNUMBER($B542),$B542&lt;=클레임조회!$C$5)),OR(클레임조회!$C$6="",$C542=클레임조회!$C$6),OR(클레임조회!$C$7="",$D542=클레임조회!$C$7),OR(클레임조회!$C$8="",$E542=클레임조회!$C$8),OR(클레임조회!$C$9="",$F542=클레임조회!$C$9),OR(클레임조회!$C$10="",ISNUMBER(SEARCH(클레임조회!$C$10,$C542&amp;" "&amp;$F542&amp;" "&amp;$G542&amp;" "&amp;$H542)))),COUNT(O$1:O541)+1,"")</f>
        <v/>
      </c>
      <c r="P542" s="0" t="str">
        <f aca="false">IF(AND(TRIM(C542)&lt;&gt;"",COUNTIF(C$2:C542,C542)=1),MAX(P$1:P541)+1,"")</f>
        <v/>
      </c>
      <c r="Q542" s="0" t="str">
        <f aca="false">IF(AND(TRIM(F542)&lt;&gt;"",COUNTIF(F$2:F542,F542)=1),MAX(Q$1:Q541)+1,"")</f>
        <v/>
      </c>
    </row>
    <row r="543" customFormat="false" ht="15" hidden="false" customHeight="false" outlineLevel="0" collapsed="false">
      <c r="A543" s="9"/>
      <c r="B543" s="10"/>
      <c r="C543" s="11"/>
      <c r="D543" s="11"/>
      <c r="E543" s="11"/>
      <c r="F543" s="11"/>
      <c r="G543" s="12"/>
      <c r="H543" s="12"/>
      <c r="I543" s="10"/>
      <c r="J543" s="12"/>
      <c r="K543" s="13" t="str">
        <f aca="false">IF(ISNUMBER(B543),YEAR(B543),"")</f>
        <v/>
      </c>
      <c r="L543" s="13" t="str">
        <f aca="false">IF(ISNUMBER(B543),MONTH(B543),"")</f>
        <v/>
      </c>
      <c r="M543" s="13" t="str">
        <f aca="false">IF(AND(ISNUMBER(B543),ISNUMBER(I543)),B543-I543+1,"")</f>
        <v/>
      </c>
      <c r="N543" s="14" t="str">
        <f aca="false">IF(B543="","",IF(M543="","시작일 미입력",IF(M543&lt;1,"시작일 이전(확인)",IF(M543=1,"1일째",IF(M543=2,"2일째",IF(M543=3,"3일째",IF(M543&lt;=7,"일주일 이내",IF(M543&lt;=14,"이주일 이내","15일 이후"))))))))</f>
        <v/>
      </c>
      <c r="O543" s="0" t="str">
        <f aca="false">IF(AND(COUNTA($A543:$J543)&gt;0,OR(클레임조회!$C$4="",AND(ISNUMBER($B543),$B543&gt;=클레임조회!$C$4)),OR(클레임조회!$C$5="",AND(ISNUMBER($B543),$B543&lt;=클레임조회!$C$5)),OR(클레임조회!$C$6="",$C543=클레임조회!$C$6),OR(클레임조회!$C$7="",$D543=클레임조회!$C$7),OR(클레임조회!$C$8="",$E543=클레임조회!$C$8),OR(클레임조회!$C$9="",$F543=클레임조회!$C$9),OR(클레임조회!$C$10="",ISNUMBER(SEARCH(클레임조회!$C$10,$C543&amp;" "&amp;$F543&amp;" "&amp;$G543&amp;" "&amp;$H543)))),COUNT(O$1:O542)+1,"")</f>
        <v/>
      </c>
      <c r="P543" s="0" t="str">
        <f aca="false">IF(AND(TRIM(C543)&lt;&gt;"",COUNTIF(C$2:C543,C543)=1),MAX(P$1:P542)+1,"")</f>
        <v/>
      </c>
      <c r="Q543" s="0" t="str">
        <f aca="false">IF(AND(TRIM(F543)&lt;&gt;"",COUNTIF(F$2:F543,F543)=1),MAX(Q$1:Q542)+1,"")</f>
        <v/>
      </c>
    </row>
    <row r="544" customFormat="false" ht="15" hidden="false" customHeight="false" outlineLevel="0" collapsed="false">
      <c r="A544" s="9"/>
      <c r="B544" s="10"/>
      <c r="C544" s="11"/>
      <c r="D544" s="11"/>
      <c r="E544" s="11"/>
      <c r="F544" s="11"/>
      <c r="G544" s="12"/>
      <c r="H544" s="12"/>
      <c r="I544" s="10"/>
      <c r="J544" s="12"/>
      <c r="K544" s="13" t="str">
        <f aca="false">IF(ISNUMBER(B544),YEAR(B544),"")</f>
        <v/>
      </c>
      <c r="L544" s="13" t="str">
        <f aca="false">IF(ISNUMBER(B544),MONTH(B544),"")</f>
        <v/>
      </c>
      <c r="M544" s="13" t="str">
        <f aca="false">IF(AND(ISNUMBER(B544),ISNUMBER(I544)),B544-I544+1,"")</f>
        <v/>
      </c>
      <c r="N544" s="14" t="str">
        <f aca="false">IF(B544="","",IF(M544="","시작일 미입력",IF(M544&lt;1,"시작일 이전(확인)",IF(M544=1,"1일째",IF(M544=2,"2일째",IF(M544=3,"3일째",IF(M544&lt;=7,"일주일 이내",IF(M544&lt;=14,"이주일 이내","15일 이후"))))))))</f>
        <v/>
      </c>
      <c r="O544" s="0" t="str">
        <f aca="false">IF(AND(COUNTA($A544:$J544)&gt;0,OR(클레임조회!$C$4="",AND(ISNUMBER($B544),$B544&gt;=클레임조회!$C$4)),OR(클레임조회!$C$5="",AND(ISNUMBER($B544),$B544&lt;=클레임조회!$C$5)),OR(클레임조회!$C$6="",$C544=클레임조회!$C$6),OR(클레임조회!$C$7="",$D544=클레임조회!$C$7),OR(클레임조회!$C$8="",$E544=클레임조회!$C$8),OR(클레임조회!$C$9="",$F544=클레임조회!$C$9),OR(클레임조회!$C$10="",ISNUMBER(SEARCH(클레임조회!$C$10,$C544&amp;" "&amp;$F544&amp;" "&amp;$G544&amp;" "&amp;$H544)))),COUNT(O$1:O543)+1,"")</f>
        <v/>
      </c>
      <c r="P544" s="0" t="str">
        <f aca="false">IF(AND(TRIM(C544)&lt;&gt;"",COUNTIF(C$2:C544,C544)=1),MAX(P$1:P543)+1,"")</f>
        <v/>
      </c>
      <c r="Q544" s="0" t="str">
        <f aca="false">IF(AND(TRIM(F544)&lt;&gt;"",COUNTIF(F$2:F544,F544)=1),MAX(Q$1:Q543)+1,"")</f>
        <v/>
      </c>
    </row>
    <row r="545" customFormat="false" ht="15" hidden="false" customHeight="false" outlineLevel="0" collapsed="false">
      <c r="A545" s="9"/>
      <c r="B545" s="10"/>
      <c r="C545" s="11"/>
      <c r="D545" s="11"/>
      <c r="E545" s="11"/>
      <c r="F545" s="11"/>
      <c r="G545" s="12"/>
      <c r="H545" s="12"/>
      <c r="I545" s="10"/>
      <c r="J545" s="12"/>
      <c r="K545" s="13" t="str">
        <f aca="false">IF(ISNUMBER(B545),YEAR(B545),"")</f>
        <v/>
      </c>
      <c r="L545" s="13" t="str">
        <f aca="false">IF(ISNUMBER(B545),MONTH(B545),"")</f>
        <v/>
      </c>
      <c r="M545" s="13" t="str">
        <f aca="false">IF(AND(ISNUMBER(B545),ISNUMBER(I545)),B545-I545+1,"")</f>
        <v/>
      </c>
      <c r="N545" s="14" t="str">
        <f aca="false">IF(B545="","",IF(M545="","시작일 미입력",IF(M545&lt;1,"시작일 이전(확인)",IF(M545=1,"1일째",IF(M545=2,"2일째",IF(M545=3,"3일째",IF(M545&lt;=7,"일주일 이내",IF(M545&lt;=14,"이주일 이내","15일 이후"))))))))</f>
        <v/>
      </c>
      <c r="O545" s="0" t="str">
        <f aca="false">IF(AND(COUNTA($A545:$J545)&gt;0,OR(클레임조회!$C$4="",AND(ISNUMBER($B545),$B545&gt;=클레임조회!$C$4)),OR(클레임조회!$C$5="",AND(ISNUMBER($B545),$B545&lt;=클레임조회!$C$5)),OR(클레임조회!$C$6="",$C545=클레임조회!$C$6),OR(클레임조회!$C$7="",$D545=클레임조회!$C$7),OR(클레임조회!$C$8="",$E545=클레임조회!$C$8),OR(클레임조회!$C$9="",$F545=클레임조회!$C$9),OR(클레임조회!$C$10="",ISNUMBER(SEARCH(클레임조회!$C$10,$C545&amp;" "&amp;$F545&amp;" "&amp;$G545&amp;" "&amp;$H545)))),COUNT(O$1:O544)+1,"")</f>
        <v/>
      </c>
      <c r="P545" s="0" t="str">
        <f aca="false">IF(AND(TRIM(C545)&lt;&gt;"",COUNTIF(C$2:C545,C545)=1),MAX(P$1:P544)+1,"")</f>
        <v/>
      </c>
      <c r="Q545" s="0" t="str">
        <f aca="false">IF(AND(TRIM(F545)&lt;&gt;"",COUNTIF(F$2:F545,F545)=1),MAX(Q$1:Q544)+1,"")</f>
        <v/>
      </c>
    </row>
    <row r="546" customFormat="false" ht="15" hidden="false" customHeight="false" outlineLevel="0" collapsed="false">
      <c r="A546" s="9"/>
      <c r="B546" s="10"/>
      <c r="C546" s="11"/>
      <c r="D546" s="11"/>
      <c r="E546" s="11"/>
      <c r="F546" s="11"/>
      <c r="G546" s="12"/>
      <c r="H546" s="12"/>
      <c r="I546" s="10"/>
      <c r="J546" s="12"/>
      <c r="K546" s="13" t="str">
        <f aca="false">IF(ISNUMBER(B546),YEAR(B546),"")</f>
        <v/>
      </c>
      <c r="L546" s="13" t="str">
        <f aca="false">IF(ISNUMBER(B546),MONTH(B546),"")</f>
        <v/>
      </c>
      <c r="M546" s="13" t="str">
        <f aca="false">IF(AND(ISNUMBER(B546),ISNUMBER(I546)),B546-I546+1,"")</f>
        <v/>
      </c>
      <c r="N546" s="14" t="str">
        <f aca="false">IF(B546="","",IF(M546="","시작일 미입력",IF(M546&lt;1,"시작일 이전(확인)",IF(M546=1,"1일째",IF(M546=2,"2일째",IF(M546=3,"3일째",IF(M546&lt;=7,"일주일 이내",IF(M546&lt;=14,"이주일 이내","15일 이후"))))))))</f>
        <v/>
      </c>
      <c r="O546" s="0" t="str">
        <f aca="false">IF(AND(COUNTA($A546:$J546)&gt;0,OR(클레임조회!$C$4="",AND(ISNUMBER($B546),$B546&gt;=클레임조회!$C$4)),OR(클레임조회!$C$5="",AND(ISNUMBER($B546),$B546&lt;=클레임조회!$C$5)),OR(클레임조회!$C$6="",$C546=클레임조회!$C$6),OR(클레임조회!$C$7="",$D546=클레임조회!$C$7),OR(클레임조회!$C$8="",$E546=클레임조회!$C$8),OR(클레임조회!$C$9="",$F546=클레임조회!$C$9),OR(클레임조회!$C$10="",ISNUMBER(SEARCH(클레임조회!$C$10,$C546&amp;" "&amp;$F546&amp;" "&amp;$G546&amp;" "&amp;$H546)))),COUNT(O$1:O545)+1,"")</f>
        <v/>
      </c>
      <c r="P546" s="0" t="str">
        <f aca="false">IF(AND(TRIM(C546)&lt;&gt;"",COUNTIF(C$2:C546,C546)=1),MAX(P$1:P545)+1,"")</f>
        <v/>
      </c>
      <c r="Q546" s="0" t="str">
        <f aca="false">IF(AND(TRIM(F546)&lt;&gt;"",COUNTIF(F$2:F546,F546)=1),MAX(Q$1:Q545)+1,"")</f>
        <v/>
      </c>
    </row>
    <row r="547" customFormat="false" ht="15" hidden="false" customHeight="false" outlineLevel="0" collapsed="false">
      <c r="A547" s="9"/>
      <c r="B547" s="10"/>
      <c r="C547" s="11"/>
      <c r="D547" s="11"/>
      <c r="E547" s="11"/>
      <c r="F547" s="11"/>
      <c r="G547" s="12"/>
      <c r="H547" s="12"/>
      <c r="I547" s="10"/>
      <c r="J547" s="12"/>
      <c r="K547" s="13" t="str">
        <f aca="false">IF(ISNUMBER(B547),YEAR(B547),"")</f>
        <v/>
      </c>
      <c r="L547" s="13" t="str">
        <f aca="false">IF(ISNUMBER(B547),MONTH(B547),"")</f>
        <v/>
      </c>
      <c r="M547" s="13" t="str">
        <f aca="false">IF(AND(ISNUMBER(B547),ISNUMBER(I547)),B547-I547+1,"")</f>
        <v/>
      </c>
      <c r="N547" s="14" t="str">
        <f aca="false">IF(B547="","",IF(M547="","시작일 미입력",IF(M547&lt;1,"시작일 이전(확인)",IF(M547=1,"1일째",IF(M547=2,"2일째",IF(M547=3,"3일째",IF(M547&lt;=7,"일주일 이내",IF(M547&lt;=14,"이주일 이내","15일 이후"))))))))</f>
        <v/>
      </c>
      <c r="O547" s="0" t="str">
        <f aca="false">IF(AND(COUNTA($A547:$J547)&gt;0,OR(클레임조회!$C$4="",AND(ISNUMBER($B547),$B547&gt;=클레임조회!$C$4)),OR(클레임조회!$C$5="",AND(ISNUMBER($B547),$B547&lt;=클레임조회!$C$5)),OR(클레임조회!$C$6="",$C547=클레임조회!$C$6),OR(클레임조회!$C$7="",$D547=클레임조회!$C$7),OR(클레임조회!$C$8="",$E547=클레임조회!$C$8),OR(클레임조회!$C$9="",$F547=클레임조회!$C$9),OR(클레임조회!$C$10="",ISNUMBER(SEARCH(클레임조회!$C$10,$C547&amp;" "&amp;$F547&amp;" "&amp;$G547&amp;" "&amp;$H547)))),COUNT(O$1:O546)+1,"")</f>
        <v/>
      </c>
      <c r="P547" s="0" t="str">
        <f aca="false">IF(AND(TRIM(C547)&lt;&gt;"",COUNTIF(C$2:C547,C547)=1),MAX(P$1:P546)+1,"")</f>
        <v/>
      </c>
      <c r="Q547" s="0" t="str">
        <f aca="false">IF(AND(TRIM(F547)&lt;&gt;"",COUNTIF(F$2:F547,F547)=1),MAX(Q$1:Q546)+1,"")</f>
        <v/>
      </c>
    </row>
    <row r="548" customFormat="false" ht="15" hidden="false" customHeight="false" outlineLevel="0" collapsed="false">
      <c r="A548" s="9"/>
      <c r="B548" s="10"/>
      <c r="C548" s="11"/>
      <c r="D548" s="11"/>
      <c r="E548" s="11"/>
      <c r="F548" s="11"/>
      <c r="G548" s="12"/>
      <c r="H548" s="12"/>
      <c r="I548" s="10"/>
      <c r="J548" s="12"/>
      <c r="K548" s="13" t="str">
        <f aca="false">IF(ISNUMBER(B548),YEAR(B548),"")</f>
        <v/>
      </c>
      <c r="L548" s="13" t="str">
        <f aca="false">IF(ISNUMBER(B548),MONTH(B548),"")</f>
        <v/>
      </c>
      <c r="M548" s="13" t="str">
        <f aca="false">IF(AND(ISNUMBER(B548),ISNUMBER(I548)),B548-I548+1,"")</f>
        <v/>
      </c>
      <c r="N548" s="14" t="str">
        <f aca="false">IF(B548="","",IF(M548="","시작일 미입력",IF(M548&lt;1,"시작일 이전(확인)",IF(M548=1,"1일째",IF(M548=2,"2일째",IF(M548=3,"3일째",IF(M548&lt;=7,"일주일 이내",IF(M548&lt;=14,"이주일 이내","15일 이후"))))))))</f>
        <v/>
      </c>
      <c r="O548" s="0" t="str">
        <f aca="false">IF(AND(COUNTA($A548:$J548)&gt;0,OR(클레임조회!$C$4="",AND(ISNUMBER($B548),$B548&gt;=클레임조회!$C$4)),OR(클레임조회!$C$5="",AND(ISNUMBER($B548),$B548&lt;=클레임조회!$C$5)),OR(클레임조회!$C$6="",$C548=클레임조회!$C$6),OR(클레임조회!$C$7="",$D548=클레임조회!$C$7),OR(클레임조회!$C$8="",$E548=클레임조회!$C$8),OR(클레임조회!$C$9="",$F548=클레임조회!$C$9),OR(클레임조회!$C$10="",ISNUMBER(SEARCH(클레임조회!$C$10,$C548&amp;" "&amp;$F548&amp;" "&amp;$G548&amp;" "&amp;$H548)))),COUNT(O$1:O547)+1,"")</f>
        <v/>
      </c>
      <c r="P548" s="0" t="str">
        <f aca="false">IF(AND(TRIM(C548)&lt;&gt;"",COUNTIF(C$2:C548,C548)=1),MAX(P$1:P547)+1,"")</f>
        <v/>
      </c>
      <c r="Q548" s="0" t="str">
        <f aca="false">IF(AND(TRIM(F548)&lt;&gt;"",COUNTIF(F$2:F548,F548)=1),MAX(Q$1:Q547)+1,"")</f>
        <v/>
      </c>
    </row>
    <row r="549" customFormat="false" ht="15" hidden="false" customHeight="false" outlineLevel="0" collapsed="false">
      <c r="A549" s="9"/>
      <c r="B549" s="10"/>
      <c r="C549" s="11"/>
      <c r="D549" s="11"/>
      <c r="E549" s="11"/>
      <c r="F549" s="11"/>
      <c r="G549" s="12"/>
      <c r="H549" s="12"/>
      <c r="I549" s="10"/>
      <c r="J549" s="12"/>
      <c r="K549" s="13" t="str">
        <f aca="false">IF(ISNUMBER(B549),YEAR(B549),"")</f>
        <v/>
      </c>
      <c r="L549" s="13" t="str">
        <f aca="false">IF(ISNUMBER(B549),MONTH(B549),"")</f>
        <v/>
      </c>
      <c r="M549" s="13" t="str">
        <f aca="false">IF(AND(ISNUMBER(B549),ISNUMBER(I549)),B549-I549+1,"")</f>
        <v/>
      </c>
      <c r="N549" s="14" t="str">
        <f aca="false">IF(B549="","",IF(M549="","시작일 미입력",IF(M549&lt;1,"시작일 이전(확인)",IF(M549=1,"1일째",IF(M549=2,"2일째",IF(M549=3,"3일째",IF(M549&lt;=7,"일주일 이내",IF(M549&lt;=14,"이주일 이내","15일 이후"))))))))</f>
        <v/>
      </c>
      <c r="O549" s="0" t="str">
        <f aca="false">IF(AND(COUNTA($A549:$J549)&gt;0,OR(클레임조회!$C$4="",AND(ISNUMBER($B549),$B549&gt;=클레임조회!$C$4)),OR(클레임조회!$C$5="",AND(ISNUMBER($B549),$B549&lt;=클레임조회!$C$5)),OR(클레임조회!$C$6="",$C549=클레임조회!$C$6),OR(클레임조회!$C$7="",$D549=클레임조회!$C$7),OR(클레임조회!$C$8="",$E549=클레임조회!$C$8),OR(클레임조회!$C$9="",$F549=클레임조회!$C$9),OR(클레임조회!$C$10="",ISNUMBER(SEARCH(클레임조회!$C$10,$C549&amp;" "&amp;$F549&amp;" "&amp;$G549&amp;" "&amp;$H549)))),COUNT(O$1:O548)+1,"")</f>
        <v/>
      </c>
      <c r="P549" s="0" t="str">
        <f aca="false">IF(AND(TRIM(C549)&lt;&gt;"",COUNTIF(C$2:C549,C549)=1),MAX(P$1:P548)+1,"")</f>
        <v/>
      </c>
      <c r="Q549" s="0" t="str">
        <f aca="false">IF(AND(TRIM(F549)&lt;&gt;"",COUNTIF(F$2:F549,F549)=1),MAX(Q$1:Q548)+1,"")</f>
        <v/>
      </c>
    </row>
    <row r="550" customFormat="false" ht="15" hidden="false" customHeight="false" outlineLevel="0" collapsed="false">
      <c r="A550" s="9"/>
      <c r="B550" s="10"/>
      <c r="C550" s="11"/>
      <c r="D550" s="11"/>
      <c r="E550" s="11"/>
      <c r="F550" s="11"/>
      <c r="G550" s="12"/>
      <c r="H550" s="12"/>
      <c r="I550" s="10"/>
      <c r="J550" s="12"/>
      <c r="K550" s="13" t="str">
        <f aca="false">IF(ISNUMBER(B550),YEAR(B550),"")</f>
        <v/>
      </c>
      <c r="L550" s="13" t="str">
        <f aca="false">IF(ISNUMBER(B550),MONTH(B550),"")</f>
        <v/>
      </c>
      <c r="M550" s="13" t="str">
        <f aca="false">IF(AND(ISNUMBER(B550),ISNUMBER(I550)),B550-I550+1,"")</f>
        <v/>
      </c>
      <c r="N550" s="14" t="str">
        <f aca="false">IF(B550="","",IF(M550="","시작일 미입력",IF(M550&lt;1,"시작일 이전(확인)",IF(M550=1,"1일째",IF(M550=2,"2일째",IF(M550=3,"3일째",IF(M550&lt;=7,"일주일 이내",IF(M550&lt;=14,"이주일 이내","15일 이후"))))))))</f>
        <v/>
      </c>
      <c r="O550" s="0" t="str">
        <f aca="false">IF(AND(COUNTA($A550:$J550)&gt;0,OR(클레임조회!$C$4="",AND(ISNUMBER($B550),$B550&gt;=클레임조회!$C$4)),OR(클레임조회!$C$5="",AND(ISNUMBER($B550),$B550&lt;=클레임조회!$C$5)),OR(클레임조회!$C$6="",$C550=클레임조회!$C$6),OR(클레임조회!$C$7="",$D550=클레임조회!$C$7),OR(클레임조회!$C$8="",$E550=클레임조회!$C$8),OR(클레임조회!$C$9="",$F550=클레임조회!$C$9),OR(클레임조회!$C$10="",ISNUMBER(SEARCH(클레임조회!$C$10,$C550&amp;" "&amp;$F550&amp;" "&amp;$G550&amp;" "&amp;$H550)))),COUNT(O$1:O549)+1,"")</f>
        <v/>
      </c>
      <c r="P550" s="0" t="str">
        <f aca="false">IF(AND(TRIM(C550)&lt;&gt;"",COUNTIF(C$2:C550,C550)=1),MAX(P$1:P549)+1,"")</f>
        <v/>
      </c>
      <c r="Q550" s="0" t="str">
        <f aca="false">IF(AND(TRIM(F550)&lt;&gt;"",COUNTIF(F$2:F550,F550)=1),MAX(Q$1:Q549)+1,"")</f>
        <v/>
      </c>
    </row>
    <row r="551" customFormat="false" ht="15" hidden="false" customHeight="false" outlineLevel="0" collapsed="false">
      <c r="A551" s="9"/>
      <c r="B551" s="10"/>
      <c r="C551" s="11"/>
      <c r="D551" s="11"/>
      <c r="E551" s="11"/>
      <c r="F551" s="11"/>
      <c r="G551" s="12"/>
      <c r="H551" s="12"/>
      <c r="I551" s="10"/>
      <c r="J551" s="12"/>
      <c r="K551" s="13" t="str">
        <f aca="false">IF(ISNUMBER(B551),YEAR(B551),"")</f>
        <v/>
      </c>
      <c r="L551" s="13" t="str">
        <f aca="false">IF(ISNUMBER(B551),MONTH(B551),"")</f>
        <v/>
      </c>
      <c r="M551" s="13" t="str">
        <f aca="false">IF(AND(ISNUMBER(B551),ISNUMBER(I551)),B551-I551+1,"")</f>
        <v/>
      </c>
      <c r="N551" s="14" t="str">
        <f aca="false">IF(B551="","",IF(M551="","시작일 미입력",IF(M551&lt;1,"시작일 이전(확인)",IF(M551=1,"1일째",IF(M551=2,"2일째",IF(M551=3,"3일째",IF(M551&lt;=7,"일주일 이내",IF(M551&lt;=14,"이주일 이내","15일 이후"))))))))</f>
        <v/>
      </c>
      <c r="O551" s="0" t="str">
        <f aca="false">IF(AND(COUNTA($A551:$J551)&gt;0,OR(클레임조회!$C$4="",AND(ISNUMBER($B551),$B551&gt;=클레임조회!$C$4)),OR(클레임조회!$C$5="",AND(ISNUMBER($B551),$B551&lt;=클레임조회!$C$5)),OR(클레임조회!$C$6="",$C551=클레임조회!$C$6),OR(클레임조회!$C$7="",$D551=클레임조회!$C$7),OR(클레임조회!$C$8="",$E551=클레임조회!$C$8),OR(클레임조회!$C$9="",$F551=클레임조회!$C$9),OR(클레임조회!$C$10="",ISNUMBER(SEARCH(클레임조회!$C$10,$C551&amp;" "&amp;$F551&amp;" "&amp;$G551&amp;" "&amp;$H551)))),COUNT(O$1:O550)+1,"")</f>
        <v/>
      </c>
      <c r="P551" s="0" t="str">
        <f aca="false">IF(AND(TRIM(C551)&lt;&gt;"",COUNTIF(C$2:C551,C551)=1),MAX(P$1:P550)+1,"")</f>
        <v/>
      </c>
      <c r="Q551" s="0" t="str">
        <f aca="false">IF(AND(TRIM(F551)&lt;&gt;"",COUNTIF(F$2:F551,F551)=1),MAX(Q$1:Q550)+1,"")</f>
        <v/>
      </c>
    </row>
    <row r="552" customFormat="false" ht="15" hidden="false" customHeight="false" outlineLevel="0" collapsed="false">
      <c r="A552" s="9"/>
      <c r="B552" s="10"/>
      <c r="C552" s="11"/>
      <c r="D552" s="11"/>
      <c r="E552" s="11"/>
      <c r="F552" s="11"/>
      <c r="G552" s="12"/>
      <c r="H552" s="12"/>
      <c r="I552" s="10"/>
      <c r="J552" s="12"/>
      <c r="K552" s="13" t="str">
        <f aca="false">IF(ISNUMBER(B552),YEAR(B552),"")</f>
        <v/>
      </c>
      <c r="L552" s="13" t="str">
        <f aca="false">IF(ISNUMBER(B552),MONTH(B552),"")</f>
        <v/>
      </c>
      <c r="M552" s="13" t="str">
        <f aca="false">IF(AND(ISNUMBER(B552),ISNUMBER(I552)),B552-I552+1,"")</f>
        <v/>
      </c>
      <c r="N552" s="14" t="str">
        <f aca="false">IF(B552="","",IF(M552="","시작일 미입력",IF(M552&lt;1,"시작일 이전(확인)",IF(M552=1,"1일째",IF(M552=2,"2일째",IF(M552=3,"3일째",IF(M552&lt;=7,"일주일 이내",IF(M552&lt;=14,"이주일 이내","15일 이후"))))))))</f>
        <v/>
      </c>
      <c r="O552" s="0" t="str">
        <f aca="false">IF(AND(COUNTA($A552:$J552)&gt;0,OR(클레임조회!$C$4="",AND(ISNUMBER($B552),$B552&gt;=클레임조회!$C$4)),OR(클레임조회!$C$5="",AND(ISNUMBER($B552),$B552&lt;=클레임조회!$C$5)),OR(클레임조회!$C$6="",$C552=클레임조회!$C$6),OR(클레임조회!$C$7="",$D552=클레임조회!$C$7),OR(클레임조회!$C$8="",$E552=클레임조회!$C$8),OR(클레임조회!$C$9="",$F552=클레임조회!$C$9),OR(클레임조회!$C$10="",ISNUMBER(SEARCH(클레임조회!$C$10,$C552&amp;" "&amp;$F552&amp;" "&amp;$G552&amp;" "&amp;$H552)))),COUNT(O$1:O551)+1,"")</f>
        <v/>
      </c>
      <c r="P552" s="0" t="str">
        <f aca="false">IF(AND(TRIM(C552)&lt;&gt;"",COUNTIF(C$2:C552,C552)=1),MAX(P$1:P551)+1,"")</f>
        <v/>
      </c>
      <c r="Q552" s="0" t="str">
        <f aca="false">IF(AND(TRIM(F552)&lt;&gt;"",COUNTIF(F$2:F552,F552)=1),MAX(Q$1:Q551)+1,"")</f>
        <v/>
      </c>
    </row>
    <row r="553" customFormat="false" ht="15" hidden="false" customHeight="false" outlineLevel="0" collapsed="false">
      <c r="A553" s="9"/>
      <c r="B553" s="10"/>
      <c r="C553" s="11"/>
      <c r="D553" s="11"/>
      <c r="E553" s="11"/>
      <c r="F553" s="11"/>
      <c r="G553" s="12"/>
      <c r="H553" s="12"/>
      <c r="I553" s="10"/>
      <c r="J553" s="12"/>
      <c r="K553" s="13" t="str">
        <f aca="false">IF(ISNUMBER(B553),YEAR(B553),"")</f>
        <v/>
      </c>
      <c r="L553" s="13" t="str">
        <f aca="false">IF(ISNUMBER(B553),MONTH(B553),"")</f>
        <v/>
      </c>
      <c r="M553" s="13" t="str">
        <f aca="false">IF(AND(ISNUMBER(B553),ISNUMBER(I553)),B553-I553+1,"")</f>
        <v/>
      </c>
      <c r="N553" s="14" t="str">
        <f aca="false">IF(B553="","",IF(M553="","시작일 미입력",IF(M553&lt;1,"시작일 이전(확인)",IF(M553=1,"1일째",IF(M553=2,"2일째",IF(M553=3,"3일째",IF(M553&lt;=7,"일주일 이내",IF(M553&lt;=14,"이주일 이내","15일 이후"))))))))</f>
        <v/>
      </c>
      <c r="O553" s="0" t="str">
        <f aca="false">IF(AND(COUNTA($A553:$J553)&gt;0,OR(클레임조회!$C$4="",AND(ISNUMBER($B553),$B553&gt;=클레임조회!$C$4)),OR(클레임조회!$C$5="",AND(ISNUMBER($B553),$B553&lt;=클레임조회!$C$5)),OR(클레임조회!$C$6="",$C553=클레임조회!$C$6),OR(클레임조회!$C$7="",$D553=클레임조회!$C$7),OR(클레임조회!$C$8="",$E553=클레임조회!$C$8),OR(클레임조회!$C$9="",$F553=클레임조회!$C$9),OR(클레임조회!$C$10="",ISNUMBER(SEARCH(클레임조회!$C$10,$C553&amp;" "&amp;$F553&amp;" "&amp;$G553&amp;" "&amp;$H553)))),COUNT(O$1:O552)+1,"")</f>
        <v/>
      </c>
      <c r="P553" s="0" t="str">
        <f aca="false">IF(AND(TRIM(C553)&lt;&gt;"",COUNTIF(C$2:C553,C553)=1),MAX(P$1:P552)+1,"")</f>
        <v/>
      </c>
      <c r="Q553" s="0" t="str">
        <f aca="false">IF(AND(TRIM(F553)&lt;&gt;"",COUNTIF(F$2:F553,F553)=1),MAX(Q$1:Q552)+1,"")</f>
        <v/>
      </c>
    </row>
    <row r="554" customFormat="false" ht="15" hidden="false" customHeight="false" outlineLevel="0" collapsed="false">
      <c r="A554" s="9"/>
      <c r="B554" s="10"/>
      <c r="C554" s="11"/>
      <c r="D554" s="11"/>
      <c r="E554" s="11"/>
      <c r="F554" s="11"/>
      <c r="G554" s="12"/>
      <c r="H554" s="12"/>
      <c r="I554" s="10"/>
      <c r="J554" s="12"/>
      <c r="K554" s="13" t="str">
        <f aca="false">IF(ISNUMBER(B554),YEAR(B554),"")</f>
        <v/>
      </c>
      <c r="L554" s="13" t="str">
        <f aca="false">IF(ISNUMBER(B554),MONTH(B554),"")</f>
        <v/>
      </c>
      <c r="M554" s="13" t="str">
        <f aca="false">IF(AND(ISNUMBER(B554),ISNUMBER(I554)),B554-I554+1,"")</f>
        <v/>
      </c>
      <c r="N554" s="14" t="str">
        <f aca="false">IF(B554="","",IF(M554="","시작일 미입력",IF(M554&lt;1,"시작일 이전(확인)",IF(M554=1,"1일째",IF(M554=2,"2일째",IF(M554=3,"3일째",IF(M554&lt;=7,"일주일 이내",IF(M554&lt;=14,"이주일 이내","15일 이후"))))))))</f>
        <v/>
      </c>
      <c r="O554" s="0" t="str">
        <f aca="false">IF(AND(COUNTA($A554:$J554)&gt;0,OR(클레임조회!$C$4="",AND(ISNUMBER($B554),$B554&gt;=클레임조회!$C$4)),OR(클레임조회!$C$5="",AND(ISNUMBER($B554),$B554&lt;=클레임조회!$C$5)),OR(클레임조회!$C$6="",$C554=클레임조회!$C$6),OR(클레임조회!$C$7="",$D554=클레임조회!$C$7),OR(클레임조회!$C$8="",$E554=클레임조회!$C$8),OR(클레임조회!$C$9="",$F554=클레임조회!$C$9),OR(클레임조회!$C$10="",ISNUMBER(SEARCH(클레임조회!$C$10,$C554&amp;" "&amp;$F554&amp;" "&amp;$G554&amp;" "&amp;$H554)))),COUNT(O$1:O553)+1,"")</f>
        <v/>
      </c>
      <c r="P554" s="0" t="str">
        <f aca="false">IF(AND(TRIM(C554)&lt;&gt;"",COUNTIF(C$2:C554,C554)=1),MAX(P$1:P553)+1,"")</f>
        <v/>
      </c>
      <c r="Q554" s="0" t="str">
        <f aca="false">IF(AND(TRIM(F554)&lt;&gt;"",COUNTIF(F$2:F554,F554)=1),MAX(Q$1:Q553)+1,"")</f>
        <v/>
      </c>
    </row>
    <row r="555" customFormat="false" ht="15" hidden="false" customHeight="false" outlineLevel="0" collapsed="false">
      <c r="A555" s="9"/>
      <c r="B555" s="10"/>
      <c r="C555" s="11"/>
      <c r="D555" s="11"/>
      <c r="E555" s="11"/>
      <c r="F555" s="11"/>
      <c r="G555" s="12"/>
      <c r="H555" s="12"/>
      <c r="I555" s="10"/>
      <c r="J555" s="12"/>
      <c r="K555" s="13" t="str">
        <f aca="false">IF(ISNUMBER(B555),YEAR(B555),"")</f>
        <v/>
      </c>
      <c r="L555" s="13" t="str">
        <f aca="false">IF(ISNUMBER(B555),MONTH(B555),"")</f>
        <v/>
      </c>
      <c r="M555" s="13" t="str">
        <f aca="false">IF(AND(ISNUMBER(B555),ISNUMBER(I555)),B555-I555+1,"")</f>
        <v/>
      </c>
      <c r="N555" s="14" t="str">
        <f aca="false">IF(B555="","",IF(M555="","시작일 미입력",IF(M555&lt;1,"시작일 이전(확인)",IF(M555=1,"1일째",IF(M555=2,"2일째",IF(M555=3,"3일째",IF(M555&lt;=7,"일주일 이내",IF(M555&lt;=14,"이주일 이내","15일 이후"))))))))</f>
        <v/>
      </c>
      <c r="O555" s="0" t="str">
        <f aca="false">IF(AND(COUNTA($A555:$J555)&gt;0,OR(클레임조회!$C$4="",AND(ISNUMBER($B555),$B555&gt;=클레임조회!$C$4)),OR(클레임조회!$C$5="",AND(ISNUMBER($B555),$B555&lt;=클레임조회!$C$5)),OR(클레임조회!$C$6="",$C555=클레임조회!$C$6),OR(클레임조회!$C$7="",$D555=클레임조회!$C$7),OR(클레임조회!$C$8="",$E555=클레임조회!$C$8),OR(클레임조회!$C$9="",$F555=클레임조회!$C$9),OR(클레임조회!$C$10="",ISNUMBER(SEARCH(클레임조회!$C$10,$C555&amp;" "&amp;$F555&amp;" "&amp;$G555&amp;" "&amp;$H555)))),COUNT(O$1:O554)+1,"")</f>
        <v/>
      </c>
      <c r="P555" s="0" t="str">
        <f aca="false">IF(AND(TRIM(C555)&lt;&gt;"",COUNTIF(C$2:C555,C555)=1),MAX(P$1:P554)+1,"")</f>
        <v/>
      </c>
      <c r="Q555" s="0" t="str">
        <f aca="false">IF(AND(TRIM(F555)&lt;&gt;"",COUNTIF(F$2:F555,F555)=1),MAX(Q$1:Q554)+1,"")</f>
        <v/>
      </c>
    </row>
    <row r="556" customFormat="false" ht="15" hidden="false" customHeight="false" outlineLevel="0" collapsed="false">
      <c r="A556" s="9"/>
      <c r="B556" s="10"/>
      <c r="C556" s="11"/>
      <c r="D556" s="11"/>
      <c r="E556" s="11"/>
      <c r="F556" s="11"/>
      <c r="G556" s="12"/>
      <c r="H556" s="12"/>
      <c r="I556" s="10"/>
      <c r="J556" s="12"/>
      <c r="K556" s="13" t="str">
        <f aca="false">IF(ISNUMBER(B556),YEAR(B556),"")</f>
        <v/>
      </c>
      <c r="L556" s="13" t="str">
        <f aca="false">IF(ISNUMBER(B556),MONTH(B556),"")</f>
        <v/>
      </c>
      <c r="M556" s="13" t="str">
        <f aca="false">IF(AND(ISNUMBER(B556),ISNUMBER(I556)),B556-I556+1,"")</f>
        <v/>
      </c>
      <c r="N556" s="14" t="str">
        <f aca="false">IF(B556="","",IF(M556="","시작일 미입력",IF(M556&lt;1,"시작일 이전(확인)",IF(M556=1,"1일째",IF(M556=2,"2일째",IF(M556=3,"3일째",IF(M556&lt;=7,"일주일 이내",IF(M556&lt;=14,"이주일 이내","15일 이후"))))))))</f>
        <v/>
      </c>
      <c r="O556" s="0" t="str">
        <f aca="false">IF(AND(COUNTA($A556:$J556)&gt;0,OR(클레임조회!$C$4="",AND(ISNUMBER($B556),$B556&gt;=클레임조회!$C$4)),OR(클레임조회!$C$5="",AND(ISNUMBER($B556),$B556&lt;=클레임조회!$C$5)),OR(클레임조회!$C$6="",$C556=클레임조회!$C$6),OR(클레임조회!$C$7="",$D556=클레임조회!$C$7),OR(클레임조회!$C$8="",$E556=클레임조회!$C$8),OR(클레임조회!$C$9="",$F556=클레임조회!$C$9),OR(클레임조회!$C$10="",ISNUMBER(SEARCH(클레임조회!$C$10,$C556&amp;" "&amp;$F556&amp;" "&amp;$G556&amp;" "&amp;$H556)))),COUNT(O$1:O555)+1,"")</f>
        <v/>
      </c>
      <c r="P556" s="0" t="str">
        <f aca="false">IF(AND(TRIM(C556)&lt;&gt;"",COUNTIF(C$2:C556,C556)=1),MAX(P$1:P555)+1,"")</f>
        <v/>
      </c>
      <c r="Q556" s="0" t="str">
        <f aca="false">IF(AND(TRIM(F556)&lt;&gt;"",COUNTIF(F$2:F556,F556)=1),MAX(Q$1:Q555)+1,"")</f>
        <v/>
      </c>
    </row>
    <row r="557" customFormat="false" ht="15" hidden="false" customHeight="false" outlineLevel="0" collapsed="false">
      <c r="A557" s="9"/>
      <c r="B557" s="10"/>
      <c r="C557" s="11"/>
      <c r="D557" s="11"/>
      <c r="E557" s="11"/>
      <c r="F557" s="11"/>
      <c r="G557" s="12"/>
      <c r="H557" s="12"/>
      <c r="I557" s="10"/>
      <c r="J557" s="12"/>
      <c r="K557" s="13" t="str">
        <f aca="false">IF(ISNUMBER(B557),YEAR(B557),"")</f>
        <v/>
      </c>
      <c r="L557" s="13" t="str">
        <f aca="false">IF(ISNUMBER(B557),MONTH(B557),"")</f>
        <v/>
      </c>
      <c r="M557" s="13" t="str">
        <f aca="false">IF(AND(ISNUMBER(B557),ISNUMBER(I557)),B557-I557+1,"")</f>
        <v/>
      </c>
      <c r="N557" s="14" t="str">
        <f aca="false">IF(B557="","",IF(M557="","시작일 미입력",IF(M557&lt;1,"시작일 이전(확인)",IF(M557=1,"1일째",IF(M557=2,"2일째",IF(M557=3,"3일째",IF(M557&lt;=7,"일주일 이내",IF(M557&lt;=14,"이주일 이내","15일 이후"))))))))</f>
        <v/>
      </c>
      <c r="O557" s="0" t="str">
        <f aca="false">IF(AND(COUNTA($A557:$J557)&gt;0,OR(클레임조회!$C$4="",AND(ISNUMBER($B557),$B557&gt;=클레임조회!$C$4)),OR(클레임조회!$C$5="",AND(ISNUMBER($B557),$B557&lt;=클레임조회!$C$5)),OR(클레임조회!$C$6="",$C557=클레임조회!$C$6),OR(클레임조회!$C$7="",$D557=클레임조회!$C$7),OR(클레임조회!$C$8="",$E557=클레임조회!$C$8),OR(클레임조회!$C$9="",$F557=클레임조회!$C$9),OR(클레임조회!$C$10="",ISNUMBER(SEARCH(클레임조회!$C$10,$C557&amp;" "&amp;$F557&amp;" "&amp;$G557&amp;" "&amp;$H557)))),COUNT(O$1:O556)+1,"")</f>
        <v/>
      </c>
      <c r="P557" s="0" t="str">
        <f aca="false">IF(AND(TRIM(C557)&lt;&gt;"",COUNTIF(C$2:C557,C557)=1),MAX(P$1:P556)+1,"")</f>
        <v/>
      </c>
      <c r="Q557" s="0" t="str">
        <f aca="false">IF(AND(TRIM(F557)&lt;&gt;"",COUNTIF(F$2:F557,F557)=1),MAX(Q$1:Q556)+1,"")</f>
        <v/>
      </c>
    </row>
    <row r="558" customFormat="false" ht="15" hidden="false" customHeight="false" outlineLevel="0" collapsed="false">
      <c r="A558" s="9"/>
      <c r="B558" s="10"/>
      <c r="C558" s="11"/>
      <c r="D558" s="11"/>
      <c r="E558" s="11"/>
      <c r="F558" s="11"/>
      <c r="G558" s="12"/>
      <c r="H558" s="12"/>
      <c r="I558" s="10"/>
      <c r="J558" s="12"/>
      <c r="K558" s="13" t="str">
        <f aca="false">IF(ISNUMBER(B558),YEAR(B558),"")</f>
        <v/>
      </c>
      <c r="L558" s="13" t="str">
        <f aca="false">IF(ISNUMBER(B558),MONTH(B558),"")</f>
        <v/>
      </c>
      <c r="M558" s="13" t="str">
        <f aca="false">IF(AND(ISNUMBER(B558),ISNUMBER(I558)),B558-I558+1,"")</f>
        <v/>
      </c>
      <c r="N558" s="14" t="str">
        <f aca="false">IF(B558="","",IF(M558="","시작일 미입력",IF(M558&lt;1,"시작일 이전(확인)",IF(M558=1,"1일째",IF(M558=2,"2일째",IF(M558=3,"3일째",IF(M558&lt;=7,"일주일 이내",IF(M558&lt;=14,"이주일 이내","15일 이후"))))))))</f>
        <v/>
      </c>
      <c r="O558" s="0" t="str">
        <f aca="false">IF(AND(COUNTA($A558:$J558)&gt;0,OR(클레임조회!$C$4="",AND(ISNUMBER($B558),$B558&gt;=클레임조회!$C$4)),OR(클레임조회!$C$5="",AND(ISNUMBER($B558),$B558&lt;=클레임조회!$C$5)),OR(클레임조회!$C$6="",$C558=클레임조회!$C$6),OR(클레임조회!$C$7="",$D558=클레임조회!$C$7),OR(클레임조회!$C$8="",$E558=클레임조회!$C$8),OR(클레임조회!$C$9="",$F558=클레임조회!$C$9),OR(클레임조회!$C$10="",ISNUMBER(SEARCH(클레임조회!$C$10,$C558&amp;" "&amp;$F558&amp;" "&amp;$G558&amp;" "&amp;$H558)))),COUNT(O$1:O557)+1,"")</f>
        <v/>
      </c>
      <c r="P558" s="0" t="str">
        <f aca="false">IF(AND(TRIM(C558)&lt;&gt;"",COUNTIF(C$2:C558,C558)=1),MAX(P$1:P557)+1,"")</f>
        <v/>
      </c>
      <c r="Q558" s="0" t="str">
        <f aca="false">IF(AND(TRIM(F558)&lt;&gt;"",COUNTIF(F$2:F558,F558)=1),MAX(Q$1:Q557)+1,"")</f>
        <v/>
      </c>
    </row>
    <row r="559" customFormat="false" ht="15" hidden="false" customHeight="false" outlineLevel="0" collapsed="false">
      <c r="A559" s="9"/>
      <c r="B559" s="10"/>
      <c r="C559" s="11"/>
      <c r="D559" s="11"/>
      <c r="E559" s="11"/>
      <c r="F559" s="11"/>
      <c r="G559" s="12"/>
      <c r="H559" s="12"/>
      <c r="I559" s="10"/>
      <c r="J559" s="12"/>
      <c r="K559" s="13" t="str">
        <f aca="false">IF(ISNUMBER(B559),YEAR(B559),"")</f>
        <v/>
      </c>
      <c r="L559" s="13" t="str">
        <f aca="false">IF(ISNUMBER(B559),MONTH(B559),"")</f>
        <v/>
      </c>
      <c r="M559" s="13" t="str">
        <f aca="false">IF(AND(ISNUMBER(B559),ISNUMBER(I559)),B559-I559+1,"")</f>
        <v/>
      </c>
      <c r="N559" s="14" t="str">
        <f aca="false">IF(B559="","",IF(M559="","시작일 미입력",IF(M559&lt;1,"시작일 이전(확인)",IF(M559=1,"1일째",IF(M559=2,"2일째",IF(M559=3,"3일째",IF(M559&lt;=7,"일주일 이내",IF(M559&lt;=14,"이주일 이내","15일 이후"))))))))</f>
        <v/>
      </c>
      <c r="O559" s="0" t="str">
        <f aca="false">IF(AND(COUNTA($A559:$J559)&gt;0,OR(클레임조회!$C$4="",AND(ISNUMBER($B559),$B559&gt;=클레임조회!$C$4)),OR(클레임조회!$C$5="",AND(ISNUMBER($B559),$B559&lt;=클레임조회!$C$5)),OR(클레임조회!$C$6="",$C559=클레임조회!$C$6),OR(클레임조회!$C$7="",$D559=클레임조회!$C$7),OR(클레임조회!$C$8="",$E559=클레임조회!$C$8),OR(클레임조회!$C$9="",$F559=클레임조회!$C$9),OR(클레임조회!$C$10="",ISNUMBER(SEARCH(클레임조회!$C$10,$C559&amp;" "&amp;$F559&amp;" "&amp;$G559&amp;" "&amp;$H559)))),COUNT(O$1:O558)+1,"")</f>
        <v/>
      </c>
      <c r="P559" s="0" t="str">
        <f aca="false">IF(AND(TRIM(C559)&lt;&gt;"",COUNTIF(C$2:C559,C559)=1),MAX(P$1:P558)+1,"")</f>
        <v/>
      </c>
      <c r="Q559" s="0" t="str">
        <f aca="false">IF(AND(TRIM(F559)&lt;&gt;"",COUNTIF(F$2:F559,F559)=1),MAX(Q$1:Q558)+1,"")</f>
        <v/>
      </c>
    </row>
    <row r="560" customFormat="false" ht="15" hidden="false" customHeight="false" outlineLevel="0" collapsed="false">
      <c r="A560" s="9"/>
      <c r="B560" s="10"/>
      <c r="C560" s="11"/>
      <c r="D560" s="11"/>
      <c r="E560" s="11"/>
      <c r="F560" s="11"/>
      <c r="G560" s="12"/>
      <c r="H560" s="12"/>
      <c r="I560" s="10"/>
      <c r="J560" s="12"/>
      <c r="K560" s="13" t="str">
        <f aca="false">IF(ISNUMBER(B560),YEAR(B560),"")</f>
        <v/>
      </c>
      <c r="L560" s="13" t="str">
        <f aca="false">IF(ISNUMBER(B560),MONTH(B560),"")</f>
        <v/>
      </c>
      <c r="M560" s="13" t="str">
        <f aca="false">IF(AND(ISNUMBER(B560),ISNUMBER(I560)),B560-I560+1,"")</f>
        <v/>
      </c>
      <c r="N560" s="14" t="str">
        <f aca="false">IF(B560="","",IF(M560="","시작일 미입력",IF(M560&lt;1,"시작일 이전(확인)",IF(M560=1,"1일째",IF(M560=2,"2일째",IF(M560=3,"3일째",IF(M560&lt;=7,"일주일 이내",IF(M560&lt;=14,"이주일 이내","15일 이후"))))))))</f>
        <v/>
      </c>
      <c r="O560" s="0" t="str">
        <f aca="false">IF(AND(COUNTA($A560:$J560)&gt;0,OR(클레임조회!$C$4="",AND(ISNUMBER($B560),$B560&gt;=클레임조회!$C$4)),OR(클레임조회!$C$5="",AND(ISNUMBER($B560),$B560&lt;=클레임조회!$C$5)),OR(클레임조회!$C$6="",$C560=클레임조회!$C$6),OR(클레임조회!$C$7="",$D560=클레임조회!$C$7),OR(클레임조회!$C$8="",$E560=클레임조회!$C$8),OR(클레임조회!$C$9="",$F560=클레임조회!$C$9),OR(클레임조회!$C$10="",ISNUMBER(SEARCH(클레임조회!$C$10,$C560&amp;" "&amp;$F560&amp;" "&amp;$G560&amp;" "&amp;$H560)))),COUNT(O$1:O559)+1,"")</f>
        <v/>
      </c>
      <c r="P560" s="0" t="str">
        <f aca="false">IF(AND(TRIM(C560)&lt;&gt;"",COUNTIF(C$2:C560,C560)=1),MAX(P$1:P559)+1,"")</f>
        <v/>
      </c>
      <c r="Q560" s="0" t="str">
        <f aca="false">IF(AND(TRIM(F560)&lt;&gt;"",COUNTIF(F$2:F560,F560)=1),MAX(Q$1:Q559)+1,"")</f>
        <v/>
      </c>
    </row>
    <row r="561" customFormat="false" ht="15" hidden="false" customHeight="false" outlineLevel="0" collapsed="false">
      <c r="A561" s="9"/>
      <c r="B561" s="10"/>
      <c r="C561" s="11"/>
      <c r="D561" s="11"/>
      <c r="E561" s="11"/>
      <c r="F561" s="11"/>
      <c r="G561" s="12"/>
      <c r="H561" s="12"/>
      <c r="I561" s="10"/>
      <c r="J561" s="12"/>
      <c r="K561" s="13" t="str">
        <f aca="false">IF(ISNUMBER(B561),YEAR(B561),"")</f>
        <v/>
      </c>
      <c r="L561" s="13" t="str">
        <f aca="false">IF(ISNUMBER(B561),MONTH(B561),"")</f>
        <v/>
      </c>
      <c r="M561" s="13" t="str">
        <f aca="false">IF(AND(ISNUMBER(B561),ISNUMBER(I561)),B561-I561+1,"")</f>
        <v/>
      </c>
      <c r="N561" s="14" t="str">
        <f aca="false">IF(B561="","",IF(M561="","시작일 미입력",IF(M561&lt;1,"시작일 이전(확인)",IF(M561=1,"1일째",IF(M561=2,"2일째",IF(M561=3,"3일째",IF(M561&lt;=7,"일주일 이내",IF(M561&lt;=14,"이주일 이내","15일 이후"))))))))</f>
        <v/>
      </c>
      <c r="O561" s="0" t="str">
        <f aca="false">IF(AND(COUNTA($A561:$J561)&gt;0,OR(클레임조회!$C$4="",AND(ISNUMBER($B561),$B561&gt;=클레임조회!$C$4)),OR(클레임조회!$C$5="",AND(ISNUMBER($B561),$B561&lt;=클레임조회!$C$5)),OR(클레임조회!$C$6="",$C561=클레임조회!$C$6),OR(클레임조회!$C$7="",$D561=클레임조회!$C$7),OR(클레임조회!$C$8="",$E561=클레임조회!$C$8),OR(클레임조회!$C$9="",$F561=클레임조회!$C$9),OR(클레임조회!$C$10="",ISNUMBER(SEARCH(클레임조회!$C$10,$C561&amp;" "&amp;$F561&amp;" "&amp;$G561&amp;" "&amp;$H561)))),COUNT(O$1:O560)+1,"")</f>
        <v/>
      </c>
      <c r="P561" s="0" t="str">
        <f aca="false">IF(AND(TRIM(C561)&lt;&gt;"",COUNTIF(C$2:C561,C561)=1),MAX(P$1:P560)+1,"")</f>
        <v/>
      </c>
      <c r="Q561" s="0" t="str">
        <f aca="false">IF(AND(TRIM(F561)&lt;&gt;"",COUNTIF(F$2:F561,F561)=1),MAX(Q$1:Q560)+1,"")</f>
        <v/>
      </c>
    </row>
    <row r="562" customFormat="false" ht="15" hidden="false" customHeight="false" outlineLevel="0" collapsed="false">
      <c r="A562" s="9"/>
      <c r="B562" s="10"/>
      <c r="C562" s="11"/>
      <c r="D562" s="11"/>
      <c r="E562" s="11"/>
      <c r="F562" s="11"/>
      <c r="G562" s="12"/>
      <c r="H562" s="12"/>
      <c r="I562" s="10"/>
      <c r="J562" s="12"/>
      <c r="K562" s="13" t="str">
        <f aca="false">IF(ISNUMBER(B562),YEAR(B562),"")</f>
        <v/>
      </c>
      <c r="L562" s="13" t="str">
        <f aca="false">IF(ISNUMBER(B562),MONTH(B562),"")</f>
        <v/>
      </c>
      <c r="M562" s="13" t="str">
        <f aca="false">IF(AND(ISNUMBER(B562),ISNUMBER(I562)),B562-I562+1,"")</f>
        <v/>
      </c>
      <c r="N562" s="14" t="str">
        <f aca="false">IF(B562="","",IF(M562="","시작일 미입력",IF(M562&lt;1,"시작일 이전(확인)",IF(M562=1,"1일째",IF(M562=2,"2일째",IF(M562=3,"3일째",IF(M562&lt;=7,"일주일 이내",IF(M562&lt;=14,"이주일 이내","15일 이후"))))))))</f>
        <v/>
      </c>
      <c r="O562" s="0" t="str">
        <f aca="false">IF(AND(COUNTA($A562:$J562)&gt;0,OR(클레임조회!$C$4="",AND(ISNUMBER($B562),$B562&gt;=클레임조회!$C$4)),OR(클레임조회!$C$5="",AND(ISNUMBER($B562),$B562&lt;=클레임조회!$C$5)),OR(클레임조회!$C$6="",$C562=클레임조회!$C$6),OR(클레임조회!$C$7="",$D562=클레임조회!$C$7),OR(클레임조회!$C$8="",$E562=클레임조회!$C$8),OR(클레임조회!$C$9="",$F562=클레임조회!$C$9),OR(클레임조회!$C$10="",ISNUMBER(SEARCH(클레임조회!$C$10,$C562&amp;" "&amp;$F562&amp;" "&amp;$G562&amp;" "&amp;$H562)))),COUNT(O$1:O561)+1,"")</f>
        <v/>
      </c>
      <c r="P562" s="0" t="str">
        <f aca="false">IF(AND(TRIM(C562)&lt;&gt;"",COUNTIF(C$2:C562,C562)=1),MAX(P$1:P561)+1,"")</f>
        <v/>
      </c>
      <c r="Q562" s="0" t="str">
        <f aca="false">IF(AND(TRIM(F562)&lt;&gt;"",COUNTIF(F$2:F562,F562)=1),MAX(Q$1:Q561)+1,"")</f>
        <v/>
      </c>
    </row>
    <row r="563" customFormat="false" ht="15" hidden="false" customHeight="false" outlineLevel="0" collapsed="false">
      <c r="A563" s="9"/>
      <c r="B563" s="10"/>
      <c r="C563" s="11"/>
      <c r="D563" s="11"/>
      <c r="E563" s="11"/>
      <c r="F563" s="11"/>
      <c r="G563" s="12"/>
      <c r="H563" s="12"/>
      <c r="I563" s="10"/>
      <c r="J563" s="12"/>
      <c r="K563" s="13" t="str">
        <f aca="false">IF(ISNUMBER(B563),YEAR(B563),"")</f>
        <v/>
      </c>
      <c r="L563" s="13" t="str">
        <f aca="false">IF(ISNUMBER(B563),MONTH(B563),"")</f>
        <v/>
      </c>
      <c r="M563" s="13" t="str">
        <f aca="false">IF(AND(ISNUMBER(B563),ISNUMBER(I563)),B563-I563+1,"")</f>
        <v/>
      </c>
      <c r="N563" s="14" t="str">
        <f aca="false">IF(B563="","",IF(M563="","시작일 미입력",IF(M563&lt;1,"시작일 이전(확인)",IF(M563=1,"1일째",IF(M563=2,"2일째",IF(M563=3,"3일째",IF(M563&lt;=7,"일주일 이내",IF(M563&lt;=14,"이주일 이내","15일 이후"))))))))</f>
        <v/>
      </c>
      <c r="O563" s="0" t="str">
        <f aca="false">IF(AND(COUNTA($A563:$J563)&gt;0,OR(클레임조회!$C$4="",AND(ISNUMBER($B563),$B563&gt;=클레임조회!$C$4)),OR(클레임조회!$C$5="",AND(ISNUMBER($B563),$B563&lt;=클레임조회!$C$5)),OR(클레임조회!$C$6="",$C563=클레임조회!$C$6),OR(클레임조회!$C$7="",$D563=클레임조회!$C$7),OR(클레임조회!$C$8="",$E563=클레임조회!$C$8),OR(클레임조회!$C$9="",$F563=클레임조회!$C$9),OR(클레임조회!$C$10="",ISNUMBER(SEARCH(클레임조회!$C$10,$C563&amp;" "&amp;$F563&amp;" "&amp;$G563&amp;" "&amp;$H563)))),COUNT(O$1:O562)+1,"")</f>
        <v/>
      </c>
      <c r="P563" s="0" t="str">
        <f aca="false">IF(AND(TRIM(C563)&lt;&gt;"",COUNTIF(C$2:C563,C563)=1),MAX(P$1:P562)+1,"")</f>
        <v/>
      </c>
      <c r="Q563" s="0" t="str">
        <f aca="false">IF(AND(TRIM(F563)&lt;&gt;"",COUNTIF(F$2:F563,F563)=1),MAX(Q$1:Q562)+1,"")</f>
        <v/>
      </c>
    </row>
    <row r="564" customFormat="false" ht="15" hidden="false" customHeight="false" outlineLevel="0" collapsed="false">
      <c r="A564" s="9"/>
      <c r="B564" s="10"/>
      <c r="C564" s="11"/>
      <c r="D564" s="11"/>
      <c r="E564" s="11"/>
      <c r="F564" s="11"/>
      <c r="G564" s="12"/>
      <c r="H564" s="12"/>
      <c r="I564" s="10"/>
      <c r="J564" s="12"/>
      <c r="K564" s="13" t="str">
        <f aca="false">IF(ISNUMBER(B564),YEAR(B564),"")</f>
        <v/>
      </c>
      <c r="L564" s="13" t="str">
        <f aca="false">IF(ISNUMBER(B564),MONTH(B564),"")</f>
        <v/>
      </c>
      <c r="M564" s="13" t="str">
        <f aca="false">IF(AND(ISNUMBER(B564),ISNUMBER(I564)),B564-I564+1,"")</f>
        <v/>
      </c>
      <c r="N564" s="14" t="str">
        <f aca="false">IF(B564="","",IF(M564="","시작일 미입력",IF(M564&lt;1,"시작일 이전(확인)",IF(M564=1,"1일째",IF(M564=2,"2일째",IF(M564=3,"3일째",IF(M564&lt;=7,"일주일 이내",IF(M564&lt;=14,"이주일 이내","15일 이후"))))))))</f>
        <v/>
      </c>
      <c r="O564" s="0" t="str">
        <f aca="false">IF(AND(COUNTA($A564:$J564)&gt;0,OR(클레임조회!$C$4="",AND(ISNUMBER($B564),$B564&gt;=클레임조회!$C$4)),OR(클레임조회!$C$5="",AND(ISNUMBER($B564),$B564&lt;=클레임조회!$C$5)),OR(클레임조회!$C$6="",$C564=클레임조회!$C$6),OR(클레임조회!$C$7="",$D564=클레임조회!$C$7),OR(클레임조회!$C$8="",$E564=클레임조회!$C$8),OR(클레임조회!$C$9="",$F564=클레임조회!$C$9),OR(클레임조회!$C$10="",ISNUMBER(SEARCH(클레임조회!$C$10,$C564&amp;" "&amp;$F564&amp;" "&amp;$G564&amp;" "&amp;$H564)))),COUNT(O$1:O563)+1,"")</f>
        <v/>
      </c>
      <c r="P564" s="0" t="str">
        <f aca="false">IF(AND(TRIM(C564)&lt;&gt;"",COUNTIF(C$2:C564,C564)=1),MAX(P$1:P563)+1,"")</f>
        <v/>
      </c>
      <c r="Q564" s="0" t="str">
        <f aca="false">IF(AND(TRIM(F564)&lt;&gt;"",COUNTIF(F$2:F564,F564)=1),MAX(Q$1:Q563)+1,"")</f>
        <v/>
      </c>
    </row>
    <row r="565" customFormat="false" ht="15" hidden="false" customHeight="false" outlineLevel="0" collapsed="false">
      <c r="A565" s="9"/>
      <c r="B565" s="10"/>
      <c r="C565" s="11"/>
      <c r="D565" s="11"/>
      <c r="E565" s="11"/>
      <c r="F565" s="11"/>
      <c r="G565" s="12"/>
      <c r="H565" s="12"/>
      <c r="I565" s="10"/>
      <c r="J565" s="12"/>
      <c r="K565" s="13" t="str">
        <f aca="false">IF(ISNUMBER(B565),YEAR(B565),"")</f>
        <v/>
      </c>
      <c r="L565" s="13" t="str">
        <f aca="false">IF(ISNUMBER(B565),MONTH(B565),"")</f>
        <v/>
      </c>
      <c r="M565" s="13" t="str">
        <f aca="false">IF(AND(ISNUMBER(B565),ISNUMBER(I565)),B565-I565+1,"")</f>
        <v/>
      </c>
      <c r="N565" s="14" t="str">
        <f aca="false">IF(B565="","",IF(M565="","시작일 미입력",IF(M565&lt;1,"시작일 이전(확인)",IF(M565=1,"1일째",IF(M565=2,"2일째",IF(M565=3,"3일째",IF(M565&lt;=7,"일주일 이내",IF(M565&lt;=14,"이주일 이내","15일 이후"))))))))</f>
        <v/>
      </c>
      <c r="O565" s="0" t="str">
        <f aca="false">IF(AND(COUNTA($A565:$J565)&gt;0,OR(클레임조회!$C$4="",AND(ISNUMBER($B565),$B565&gt;=클레임조회!$C$4)),OR(클레임조회!$C$5="",AND(ISNUMBER($B565),$B565&lt;=클레임조회!$C$5)),OR(클레임조회!$C$6="",$C565=클레임조회!$C$6),OR(클레임조회!$C$7="",$D565=클레임조회!$C$7),OR(클레임조회!$C$8="",$E565=클레임조회!$C$8),OR(클레임조회!$C$9="",$F565=클레임조회!$C$9),OR(클레임조회!$C$10="",ISNUMBER(SEARCH(클레임조회!$C$10,$C565&amp;" "&amp;$F565&amp;" "&amp;$G565&amp;" "&amp;$H565)))),COUNT(O$1:O564)+1,"")</f>
        <v/>
      </c>
      <c r="P565" s="0" t="str">
        <f aca="false">IF(AND(TRIM(C565)&lt;&gt;"",COUNTIF(C$2:C565,C565)=1),MAX(P$1:P564)+1,"")</f>
        <v/>
      </c>
      <c r="Q565" s="0" t="str">
        <f aca="false">IF(AND(TRIM(F565)&lt;&gt;"",COUNTIF(F$2:F565,F565)=1),MAX(Q$1:Q564)+1,"")</f>
        <v/>
      </c>
    </row>
    <row r="566" customFormat="false" ht="15" hidden="false" customHeight="false" outlineLevel="0" collapsed="false">
      <c r="A566" s="9"/>
      <c r="B566" s="10"/>
      <c r="C566" s="11"/>
      <c r="D566" s="11"/>
      <c r="E566" s="11"/>
      <c r="F566" s="11"/>
      <c r="G566" s="12"/>
      <c r="H566" s="12"/>
      <c r="I566" s="10"/>
      <c r="J566" s="12"/>
      <c r="K566" s="13" t="str">
        <f aca="false">IF(ISNUMBER(B566),YEAR(B566),"")</f>
        <v/>
      </c>
      <c r="L566" s="13" t="str">
        <f aca="false">IF(ISNUMBER(B566),MONTH(B566),"")</f>
        <v/>
      </c>
      <c r="M566" s="13" t="str">
        <f aca="false">IF(AND(ISNUMBER(B566),ISNUMBER(I566)),B566-I566+1,"")</f>
        <v/>
      </c>
      <c r="N566" s="14" t="str">
        <f aca="false">IF(B566="","",IF(M566="","시작일 미입력",IF(M566&lt;1,"시작일 이전(확인)",IF(M566=1,"1일째",IF(M566=2,"2일째",IF(M566=3,"3일째",IF(M566&lt;=7,"일주일 이내",IF(M566&lt;=14,"이주일 이내","15일 이후"))))))))</f>
        <v/>
      </c>
      <c r="O566" s="0" t="str">
        <f aca="false">IF(AND(COUNTA($A566:$J566)&gt;0,OR(클레임조회!$C$4="",AND(ISNUMBER($B566),$B566&gt;=클레임조회!$C$4)),OR(클레임조회!$C$5="",AND(ISNUMBER($B566),$B566&lt;=클레임조회!$C$5)),OR(클레임조회!$C$6="",$C566=클레임조회!$C$6),OR(클레임조회!$C$7="",$D566=클레임조회!$C$7),OR(클레임조회!$C$8="",$E566=클레임조회!$C$8),OR(클레임조회!$C$9="",$F566=클레임조회!$C$9),OR(클레임조회!$C$10="",ISNUMBER(SEARCH(클레임조회!$C$10,$C566&amp;" "&amp;$F566&amp;" "&amp;$G566&amp;" "&amp;$H566)))),COUNT(O$1:O565)+1,"")</f>
        <v/>
      </c>
      <c r="P566" s="0" t="str">
        <f aca="false">IF(AND(TRIM(C566)&lt;&gt;"",COUNTIF(C$2:C566,C566)=1),MAX(P$1:P565)+1,"")</f>
        <v/>
      </c>
      <c r="Q566" s="0" t="str">
        <f aca="false">IF(AND(TRIM(F566)&lt;&gt;"",COUNTIF(F$2:F566,F566)=1),MAX(Q$1:Q565)+1,"")</f>
        <v/>
      </c>
    </row>
    <row r="567" customFormat="false" ht="15" hidden="false" customHeight="false" outlineLevel="0" collapsed="false">
      <c r="A567" s="9"/>
      <c r="B567" s="10"/>
      <c r="C567" s="11"/>
      <c r="D567" s="11"/>
      <c r="E567" s="11"/>
      <c r="F567" s="11"/>
      <c r="G567" s="12"/>
      <c r="H567" s="12"/>
      <c r="I567" s="10"/>
      <c r="J567" s="12"/>
      <c r="K567" s="13" t="str">
        <f aca="false">IF(ISNUMBER(B567),YEAR(B567),"")</f>
        <v/>
      </c>
      <c r="L567" s="13" t="str">
        <f aca="false">IF(ISNUMBER(B567),MONTH(B567),"")</f>
        <v/>
      </c>
      <c r="M567" s="13" t="str">
        <f aca="false">IF(AND(ISNUMBER(B567),ISNUMBER(I567)),B567-I567+1,"")</f>
        <v/>
      </c>
      <c r="N567" s="14" t="str">
        <f aca="false">IF(B567="","",IF(M567="","시작일 미입력",IF(M567&lt;1,"시작일 이전(확인)",IF(M567=1,"1일째",IF(M567=2,"2일째",IF(M567=3,"3일째",IF(M567&lt;=7,"일주일 이내",IF(M567&lt;=14,"이주일 이내","15일 이후"))))))))</f>
        <v/>
      </c>
      <c r="O567" s="0" t="str">
        <f aca="false">IF(AND(COUNTA($A567:$J567)&gt;0,OR(클레임조회!$C$4="",AND(ISNUMBER($B567),$B567&gt;=클레임조회!$C$4)),OR(클레임조회!$C$5="",AND(ISNUMBER($B567),$B567&lt;=클레임조회!$C$5)),OR(클레임조회!$C$6="",$C567=클레임조회!$C$6),OR(클레임조회!$C$7="",$D567=클레임조회!$C$7),OR(클레임조회!$C$8="",$E567=클레임조회!$C$8),OR(클레임조회!$C$9="",$F567=클레임조회!$C$9),OR(클레임조회!$C$10="",ISNUMBER(SEARCH(클레임조회!$C$10,$C567&amp;" "&amp;$F567&amp;" "&amp;$G567&amp;" "&amp;$H567)))),COUNT(O$1:O566)+1,"")</f>
        <v/>
      </c>
      <c r="P567" s="0" t="str">
        <f aca="false">IF(AND(TRIM(C567)&lt;&gt;"",COUNTIF(C$2:C567,C567)=1),MAX(P$1:P566)+1,"")</f>
        <v/>
      </c>
      <c r="Q567" s="0" t="str">
        <f aca="false">IF(AND(TRIM(F567)&lt;&gt;"",COUNTIF(F$2:F567,F567)=1),MAX(Q$1:Q566)+1,"")</f>
        <v/>
      </c>
    </row>
    <row r="568" customFormat="false" ht="15" hidden="false" customHeight="false" outlineLevel="0" collapsed="false">
      <c r="A568" s="9"/>
      <c r="B568" s="10"/>
      <c r="C568" s="11"/>
      <c r="D568" s="11"/>
      <c r="E568" s="11"/>
      <c r="F568" s="11"/>
      <c r="G568" s="12"/>
      <c r="H568" s="12"/>
      <c r="I568" s="10"/>
      <c r="J568" s="12"/>
      <c r="K568" s="13" t="str">
        <f aca="false">IF(ISNUMBER(B568),YEAR(B568),"")</f>
        <v/>
      </c>
      <c r="L568" s="13" t="str">
        <f aca="false">IF(ISNUMBER(B568),MONTH(B568),"")</f>
        <v/>
      </c>
      <c r="M568" s="13" t="str">
        <f aca="false">IF(AND(ISNUMBER(B568),ISNUMBER(I568)),B568-I568+1,"")</f>
        <v/>
      </c>
      <c r="N568" s="14" t="str">
        <f aca="false">IF(B568="","",IF(M568="","시작일 미입력",IF(M568&lt;1,"시작일 이전(확인)",IF(M568=1,"1일째",IF(M568=2,"2일째",IF(M568=3,"3일째",IF(M568&lt;=7,"일주일 이내",IF(M568&lt;=14,"이주일 이내","15일 이후"))))))))</f>
        <v/>
      </c>
      <c r="O568" s="0" t="str">
        <f aca="false">IF(AND(COUNTA($A568:$J568)&gt;0,OR(클레임조회!$C$4="",AND(ISNUMBER($B568),$B568&gt;=클레임조회!$C$4)),OR(클레임조회!$C$5="",AND(ISNUMBER($B568),$B568&lt;=클레임조회!$C$5)),OR(클레임조회!$C$6="",$C568=클레임조회!$C$6),OR(클레임조회!$C$7="",$D568=클레임조회!$C$7),OR(클레임조회!$C$8="",$E568=클레임조회!$C$8),OR(클레임조회!$C$9="",$F568=클레임조회!$C$9),OR(클레임조회!$C$10="",ISNUMBER(SEARCH(클레임조회!$C$10,$C568&amp;" "&amp;$F568&amp;" "&amp;$G568&amp;" "&amp;$H568)))),COUNT(O$1:O567)+1,"")</f>
        <v/>
      </c>
      <c r="P568" s="0" t="str">
        <f aca="false">IF(AND(TRIM(C568)&lt;&gt;"",COUNTIF(C$2:C568,C568)=1),MAX(P$1:P567)+1,"")</f>
        <v/>
      </c>
      <c r="Q568" s="0" t="str">
        <f aca="false">IF(AND(TRIM(F568)&lt;&gt;"",COUNTIF(F$2:F568,F568)=1),MAX(Q$1:Q567)+1,"")</f>
        <v/>
      </c>
    </row>
    <row r="569" customFormat="false" ht="15" hidden="false" customHeight="false" outlineLevel="0" collapsed="false">
      <c r="A569" s="9"/>
      <c r="B569" s="10"/>
      <c r="C569" s="11"/>
      <c r="D569" s="11"/>
      <c r="E569" s="11"/>
      <c r="F569" s="11"/>
      <c r="G569" s="12"/>
      <c r="H569" s="12"/>
      <c r="I569" s="10"/>
      <c r="J569" s="12"/>
      <c r="K569" s="13" t="str">
        <f aca="false">IF(ISNUMBER(B569),YEAR(B569),"")</f>
        <v/>
      </c>
      <c r="L569" s="13" t="str">
        <f aca="false">IF(ISNUMBER(B569),MONTH(B569),"")</f>
        <v/>
      </c>
      <c r="M569" s="13" t="str">
        <f aca="false">IF(AND(ISNUMBER(B569),ISNUMBER(I569)),B569-I569+1,"")</f>
        <v/>
      </c>
      <c r="N569" s="14" t="str">
        <f aca="false">IF(B569="","",IF(M569="","시작일 미입력",IF(M569&lt;1,"시작일 이전(확인)",IF(M569=1,"1일째",IF(M569=2,"2일째",IF(M569=3,"3일째",IF(M569&lt;=7,"일주일 이내",IF(M569&lt;=14,"이주일 이내","15일 이후"))))))))</f>
        <v/>
      </c>
      <c r="O569" s="0" t="str">
        <f aca="false">IF(AND(COUNTA($A569:$J569)&gt;0,OR(클레임조회!$C$4="",AND(ISNUMBER($B569),$B569&gt;=클레임조회!$C$4)),OR(클레임조회!$C$5="",AND(ISNUMBER($B569),$B569&lt;=클레임조회!$C$5)),OR(클레임조회!$C$6="",$C569=클레임조회!$C$6),OR(클레임조회!$C$7="",$D569=클레임조회!$C$7),OR(클레임조회!$C$8="",$E569=클레임조회!$C$8),OR(클레임조회!$C$9="",$F569=클레임조회!$C$9),OR(클레임조회!$C$10="",ISNUMBER(SEARCH(클레임조회!$C$10,$C569&amp;" "&amp;$F569&amp;" "&amp;$G569&amp;" "&amp;$H569)))),COUNT(O$1:O568)+1,"")</f>
        <v/>
      </c>
      <c r="P569" s="0" t="str">
        <f aca="false">IF(AND(TRIM(C569)&lt;&gt;"",COUNTIF(C$2:C569,C569)=1),MAX(P$1:P568)+1,"")</f>
        <v/>
      </c>
      <c r="Q569" s="0" t="str">
        <f aca="false">IF(AND(TRIM(F569)&lt;&gt;"",COUNTIF(F$2:F569,F569)=1),MAX(Q$1:Q568)+1,"")</f>
        <v/>
      </c>
    </row>
    <row r="570" customFormat="false" ht="15" hidden="false" customHeight="false" outlineLevel="0" collapsed="false">
      <c r="A570" s="9"/>
      <c r="B570" s="10"/>
      <c r="C570" s="11"/>
      <c r="D570" s="11"/>
      <c r="E570" s="11"/>
      <c r="F570" s="11"/>
      <c r="G570" s="12"/>
      <c r="H570" s="12"/>
      <c r="I570" s="10"/>
      <c r="J570" s="12"/>
      <c r="K570" s="13" t="str">
        <f aca="false">IF(ISNUMBER(B570),YEAR(B570),"")</f>
        <v/>
      </c>
      <c r="L570" s="13" t="str">
        <f aca="false">IF(ISNUMBER(B570),MONTH(B570),"")</f>
        <v/>
      </c>
      <c r="M570" s="13" t="str">
        <f aca="false">IF(AND(ISNUMBER(B570),ISNUMBER(I570)),B570-I570+1,"")</f>
        <v/>
      </c>
      <c r="N570" s="14" t="str">
        <f aca="false">IF(B570="","",IF(M570="","시작일 미입력",IF(M570&lt;1,"시작일 이전(확인)",IF(M570=1,"1일째",IF(M570=2,"2일째",IF(M570=3,"3일째",IF(M570&lt;=7,"일주일 이내",IF(M570&lt;=14,"이주일 이내","15일 이후"))))))))</f>
        <v/>
      </c>
      <c r="O570" s="0" t="str">
        <f aca="false">IF(AND(COUNTA($A570:$J570)&gt;0,OR(클레임조회!$C$4="",AND(ISNUMBER($B570),$B570&gt;=클레임조회!$C$4)),OR(클레임조회!$C$5="",AND(ISNUMBER($B570),$B570&lt;=클레임조회!$C$5)),OR(클레임조회!$C$6="",$C570=클레임조회!$C$6),OR(클레임조회!$C$7="",$D570=클레임조회!$C$7),OR(클레임조회!$C$8="",$E570=클레임조회!$C$8),OR(클레임조회!$C$9="",$F570=클레임조회!$C$9),OR(클레임조회!$C$10="",ISNUMBER(SEARCH(클레임조회!$C$10,$C570&amp;" "&amp;$F570&amp;" "&amp;$G570&amp;" "&amp;$H570)))),COUNT(O$1:O569)+1,"")</f>
        <v/>
      </c>
      <c r="P570" s="0" t="str">
        <f aca="false">IF(AND(TRIM(C570)&lt;&gt;"",COUNTIF(C$2:C570,C570)=1),MAX(P$1:P569)+1,"")</f>
        <v/>
      </c>
      <c r="Q570" s="0" t="str">
        <f aca="false">IF(AND(TRIM(F570)&lt;&gt;"",COUNTIF(F$2:F570,F570)=1),MAX(Q$1:Q569)+1,"")</f>
        <v/>
      </c>
    </row>
    <row r="571" customFormat="false" ht="15" hidden="false" customHeight="false" outlineLevel="0" collapsed="false">
      <c r="A571" s="9"/>
      <c r="B571" s="10"/>
      <c r="C571" s="11"/>
      <c r="D571" s="11"/>
      <c r="E571" s="11"/>
      <c r="F571" s="11"/>
      <c r="G571" s="12"/>
      <c r="H571" s="12"/>
      <c r="I571" s="10"/>
      <c r="J571" s="12"/>
      <c r="K571" s="13" t="str">
        <f aca="false">IF(ISNUMBER(B571),YEAR(B571),"")</f>
        <v/>
      </c>
      <c r="L571" s="13" t="str">
        <f aca="false">IF(ISNUMBER(B571),MONTH(B571),"")</f>
        <v/>
      </c>
      <c r="M571" s="13" t="str">
        <f aca="false">IF(AND(ISNUMBER(B571),ISNUMBER(I571)),B571-I571+1,"")</f>
        <v/>
      </c>
      <c r="N571" s="14" t="str">
        <f aca="false">IF(B571="","",IF(M571="","시작일 미입력",IF(M571&lt;1,"시작일 이전(확인)",IF(M571=1,"1일째",IF(M571=2,"2일째",IF(M571=3,"3일째",IF(M571&lt;=7,"일주일 이내",IF(M571&lt;=14,"이주일 이내","15일 이후"))))))))</f>
        <v/>
      </c>
      <c r="O571" s="0" t="str">
        <f aca="false">IF(AND(COUNTA($A571:$J571)&gt;0,OR(클레임조회!$C$4="",AND(ISNUMBER($B571),$B571&gt;=클레임조회!$C$4)),OR(클레임조회!$C$5="",AND(ISNUMBER($B571),$B571&lt;=클레임조회!$C$5)),OR(클레임조회!$C$6="",$C571=클레임조회!$C$6),OR(클레임조회!$C$7="",$D571=클레임조회!$C$7),OR(클레임조회!$C$8="",$E571=클레임조회!$C$8),OR(클레임조회!$C$9="",$F571=클레임조회!$C$9),OR(클레임조회!$C$10="",ISNUMBER(SEARCH(클레임조회!$C$10,$C571&amp;" "&amp;$F571&amp;" "&amp;$G571&amp;" "&amp;$H571)))),COUNT(O$1:O570)+1,"")</f>
        <v/>
      </c>
      <c r="P571" s="0" t="str">
        <f aca="false">IF(AND(TRIM(C571)&lt;&gt;"",COUNTIF(C$2:C571,C571)=1),MAX(P$1:P570)+1,"")</f>
        <v/>
      </c>
      <c r="Q571" s="0" t="str">
        <f aca="false">IF(AND(TRIM(F571)&lt;&gt;"",COUNTIF(F$2:F571,F571)=1),MAX(Q$1:Q570)+1,"")</f>
        <v/>
      </c>
    </row>
    <row r="572" customFormat="false" ht="15" hidden="false" customHeight="false" outlineLevel="0" collapsed="false">
      <c r="A572" s="9"/>
      <c r="B572" s="10"/>
      <c r="C572" s="11"/>
      <c r="D572" s="11"/>
      <c r="E572" s="11"/>
      <c r="F572" s="11"/>
      <c r="G572" s="12"/>
      <c r="H572" s="12"/>
      <c r="I572" s="10"/>
      <c r="J572" s="12"/>
      <c r="K572" s="13" t="str">
        <f aca="false">IF(ISNUMBER(B572),YEAR(B572),"")</f>
        <v/>
      </c>
      <c r="L572" s="13" t="str">
        <f aca="false">IF(ISNUMBER(B572),MONTH(B572),"")</f>
        <v/>
      </c>
      <c r="M572" s="13" t="str">
        <f aca="false">IF(AND(ISNUMBER(B572),ISNUMBER(I572)),B572-I572+1,"")</f>
        <v/>
      </c>
      <c r="N572" s="14" t="str">
        <f aca="false">IF(B572="","",IF(M572="","시작일 미입력",IF(M572&lt;1,"시작일 이전(확인)",IF(M572=1,"1일째",IF(M572=2,"2일째",IF(M572=3,"3일째",IF(M572&lt;=7,"일주일 이내",IF(M572&lt;=14,"이주일 이내","15일 이후"))))))))</f>
        <v/>
      </c>
      <c r="O572" s="0" t="str">
        <f aca="false">IF(AND(COUNTA($A572:$J572)&gt;0,OR(클레임조회!$C$4="",AND(ISNUMBER($B572),$B572&gt;=클레임조회!$C$4)),OR(클레임조회!$C$5="",AND(ISNUMBER($B572),$B572&lt;=클레임조회!$C$5)),OR(클레임조회!$C$6="",$C572=클레임조회!$C$6),OR(클레임조회!$C$7="",$D572=클레임조회!$C$7),OR(클레임조회!$C$8="",$E572=클레임조회!$C$8),OR(클레임조회!$C$9="",$F572=클레임조회!$C$9),OR(클레임조회!$C$10="",ISNUMBER(SEARCH(클레임조회!$C$10,$C572&amp;" "&amp;$F572&amp;" "&amp;$G572&amp;" "&amp;$H572)))),COUNT(O$1:O571)+1,"")</f>
        <v/>
      </c>
      <c r="P572" s="0" t="str">
        <f aca="false">IF(AND(TRIM(C572)&lt;&gt;"",COUNTIF(C$2:C572,C572)=1),MAX(P$1:P571)+1,"")</f>
        <v/>
      </c>
      <c r="Q572" s="0" t="str">
        <f aca="false">IF(AND(TRIM(F572)&lt;&gt;"",COUNTIF(F$2:F572,F572)=1),MAX(Q$1:Q571)+1,"")</f>
        <v/>
      </c>
    </row>
    <row r="573" customFormat="false" ht="15" hidden="false" customHeight="false" outlineLevel="0" collapsed="false">
      <c r="A573" s="9"/>
      <c r="B573" s="10"/>
      <c r="C573" s="11"/>
      <c r="D573" s="11"/>
      <c r="E573" s="11"/>
      <c r="F573" s="11"/>
      <c r="G573" s="12"/>
      <c r="H573" s="12"/>
      <c r="I573" s="10"/>
      <c r="J573" s="12"/>
      <c r="K573" s="13" t="str">
        <f aca="false">IF(ISNUMBER(B573),YEAR(B573),"")</f>
        <v/>
      </c>
      <c r="L573" s="13" t="str">
        <f aca="false">IF(ISNUMBER(B573),MONTH(B573),"")</f>
        <v/>
      </c>
      <c r="M573" s="13" t="str">
        <f aca="false">IF(AND(ISNUMBER(B573),ISNUMBER(I573)),B573-I573+1,"")</f>
        <v/>
      </c>
      <c r="N573" s="14" t="str">
        <f aca="false">IF(B573="","",IF(M573="","시작일 미입력",IF(M573&lt;1,"시작일 이전(확인)",IF(M573=1,"1일째",IF(M573=2,"2일째",IF(M573=3,"3일째",IF(M573&lt;=7,"일주일 이내",IF(M573&lt;=14,"이주일 이내","15일 이후"))))))))</f>
        <v/>
      </c>
      <c r="O573" s="0" t="str">
        <f aca="false">IF(AND(COUNTA($A573:$J573)&gt;0,OR(클레임조회!$C$4="",AND(ISNUMBER($B573),$B573&gt;=클레임조회!$C$4)),OR(클레임조회!$C$5="",AND(ISNUMBER($B573),$B573&lt;=클레임조회!$C$5)),OR(클레임조회!$C$6="",$C573=클레임조회!$C$6),OR(클레임조회!$C$7="",$D573=클레임조회!$C$7),OR(클레임조회!$C$8="",$E573=클레임조회!$C$8),OR(클레임조회!$C$9="",$F573=클레임조회!$C$9),OR(클레임조회!$C$10="",ISNUMBER(SEARCH(클레임조회!$C$10,$C573&amp;" "&amp;$F573&amp;" "&amp;$G573&amp;" "&amp;$H573)))),COUNT(O$1:O572)+1,"")</f>
        <v/>
      </c>
      <c r="P573" s="0" t="str">
        <f aca="false">IF(AND(TRIM(C573)&lt;&gt;"",COUNTIF(C$2:C573,C573)=1),MAX(P$1:P572)+1,"")</f>
        <v/>
      </c>
      <c r="Q573" s="0" t="str">
        <f aca="false">IF(AND(TRIM(F573)&lt;&gt;"",COUNTIF(F$2:F573,F573)=1),MAX(Q$1:Q572)+1,"")</f>
        <v/>
      </c>
    </row>
    <row r="574" customFormat="false" ht="15" hidden="false" customHeight="false" outlineLevel="0" collapsed="false">
      <c r="A574" s="9"/>
      <c r="B574" s="10"/>
      <c r="C574" s="11"/>
      <c r="D574" s="11"/>
      <c r="E574" s="11"/>
      <c r="F574" s="11"/>
      <c r="G574" s="12"/>
      <c r="H574" s="12"/>
      <c r="I574" s="10"/>
      <c r="J574" s="12"/>
      <c r="K574" s="13" t="str">
        <f aca="false">IF(ISNUMBER(B574),YEAR(B574),"")</f>
        <v/>
      </c>
      <c r="L574" s="13" t="str">
        <f aca="false">IF(ISNUMBER(B574),MONTH(B574),"")</f>
        <v/>
      </c>
      <c r="M574" s="13" t="str">
        <f aca="false">IF(AND(ISNUMBER(B574),ISNUMBER(I574)),B574-I574+1,"")</f>
        <v/>
      </c>
      <c r="N574" s="14" t="str">
        <f aca="false">IF(B574="","",IF(M574="","시작일 미입력",IF(M574&lt;1,"시작일 이전(확인)",IF(M574=1,"1일째",IF(M574=2,"2일째",IF(M574=3,"3일째",IF(M574&lt;=7,"일주일 이내",IF(M574&lt;=14,"이주일 이내","15일 이후"))))))))</f>
        <v/>
      </c>
      <c r="O574" s="0" t="str">
        <f aca="false">IF(AND(COUNTA($A574:$J574)&gt;0,OR(클레임조회!$C$4="",AND(ISNUMBER($B574),$B574&gt;=클레임조회!$C$4)),OR(클레임조회!$C$5="",AND(ISNUMBER($B574),$B574&lt;=클레임조회!$C$5)),OR(클레임조회!$C$6="",$C574=클레임조회!$C$6),OR(클레임조회!$C$7="",$D574=클레임조회!$C$7),OR(클레임조회!$C$8="",$E574=클레임조회!$C$8),OR(클레임조회!$C$9="",$F574=클레임조회!$C$9),OR(클레임조회!$C$10="",ISNUMBER(SEARCH(클레임조회!$C$10,$C574&amp;" "&amp;$F574&amp;" "&amp;$G574&amp;" "&amp;$H574)))),COUNT(O$1:O573)+1,"")</f>
        <v/>
      </c>
      <c r="P574" s="0" t="str">
        <f aca="false">IF(AND(TRIM(C574)&lt;&gt;"",COUNTIF(C$2:C574,C574)=1),MAX(P$1:P573)+1,"")</f>
        <v/>
      </c>
      <c r="Q574" s="0" t="str">
        <f aca="false">IF(AND(TRIM(F574)&lt;&gt;"",COUNTIF(F$2:F574,F574)=1),MAX(Q$1:Q573)+1,"")</f>
        <v/>
      </c>
    </row>
    <row r="575" customFormat="false" ht="15" hidden="false" customHeight="false" outlineLevel="0" collapsed="false">
      <c r="A575" s="9"/>
      <c r="B575" s="10"/>
      <c r="C575" s="11"/>
      <c r="D575" s="11"/>
      <c r="E575" s="11"/>
      <c r="F575" s="11"/>
      <c r="G575" s="12"/>
      <c r="H575" s="12"/>
      <c r="I575" s="10"/>
      <c r="J575" s="12"/>
      <c r="K575" s="13" t="str">
        <f aca="false">IF(ISNUMBER(B575),YEAR(B575),"")</f>
        <v/>
      </c>
      <c r="L575" s="13" t="str">
        <f aca="false">IF(ISNUMBER(B575),MONTH(B575),"")</f>
        <v/>
      </c>
      <c r="M575" s="13" t="str">
        <f aca="false">IF(AND(ISNUMBER(B575),ISNUMBER(I575)),B575-I575+1,"")</f>
        <v/>
      </c>
      <c r="N575" s="14" t="str">
        <f aca="false">IF(B575="","",IF(M575="","시작일 미입력",IF(M575&lt;1,"시작일 이전(확인)",IF(M575=1,"1일째",IF(M575=2,"2일째",IF(M575=3,"3일째",IF(M575&lt;=7,"일주일 이내",IF(M575&lt;=14,"이주일 이내","15일 이후"))))))))</f>
        <v/>
      </c>
      <c r="O575" s="0" t="str">
        <f aca="false">IF(AND(COUNTA($A575:$J575)&gt;0,OR(클레임조회!$C$4="",AND(ISNUMBER($B575),$B575&gt;=클레임조회!$C$4)),OR(클레임조회!$C$5="",AND(ISNUMBER($B575),$B575&lt;=클레임조회!$C$5)),OR(클레임조회!$C$6="",$C575=클레임조회!$C$6),OR(클레임조회!$C$7="",$D575=클레임조회!$C$7),OR(클레임조회!$C$8="",$E575=클레임조회!$C$8),OR(클레임조회!$C$9="",$F575=클레임조회!$C$9),OR(클레임조회!$C$10="",ISNUMBER(SEARCH(클레임조회!$C$10,$C575&amp;" "&amp;$F575&amp;" "&amp;$G575&amp;" "&amp;$H575)))),COUNT(O$1:O574)+1,"")</f>
        <v/>
      </c>
      <c r="P575" s="0" t="str">
        <f aca="false">IF(AND(TRIM(C575)&lt;&gt;"",COUNTIF(C$2:C575,C575)=1),MAX(P$1:P574)+1,"")</f>
        <v/>
      </c>
      <c r="Q575" s="0" t="str">
        <f aca="false">IF(AND(TRIM(F575)&lt;&gt;"",COUNTIF(F$2:F575,F575)=1),MAX(Q$1:Q574)+1,"")</f>
        <v/>
      </c>
    </row>
    <row r="576" customFormat="false" ht="15" hidden="false" customHeight="false" outlineLevel="0" collapsed="false">
      <c r="A576" s="9"/>
      <c r="B576" s="10"/>
      <c r="C576" s="11"/>
      <c r="D576" s="11"/>
      <c r="E576" s="11"/>
      <c r="F576" s="11"/>
      <c r="G576" s="12"/>
      <c r="H576" s="12"/>
      <c r="I576" s="10"/>
      <c r="J576" s="12"/>
      <c r="K576" s="13" t="str">
        <f aca="false">IF(ISNUMBER(B576),YEAR(B576),"")</f>
        <v/>
      </c>
      <c r="L576" s="13" t="str">
        <f aca="false">IF(ISNUMBER(B576),MONTH(B576),"")</f>
        <v/>
      </c>
      <c r="M576" s="13" t="str">
        <f aca="false">IF(AND(ISNUMBER(B576),ISNUMBER(I576)),B576-I576+1,"")</f>
        <v/>
      </c>
      <c r="N576" s="14" t="str">
        <f aca="false">IF(B576="","",IF(M576="","시작일 미입력",IF(M576&lt;1,"시작일 이전(확인)",IF(M576=1,"1일째",IF(M576=2,"2일째",IF(M576=3,"3일째",IF(M576&lt;=7,"일주일 이내",IF(M576&lt;=14,"이주일 이내","15일 이후"))))))))</f>
        <v/>
      </c>
      <c r="O576" s="0" t="str">
        <f aca="false">IF(AND(COUNTA($A576:$J576)&gt;0,OR(클레임조회!$C$4="",AND(ISNUMBER($B576),$B576&gt;=클레임조회!$C$4)),OR(클레임조회!$C$5="",AND(ISNUMBER($B576),$B576&lt;=클레임조회!$C$5)),OR(클레임조회!$C$6="",$C576=클레임조회!$C$6),OR(클레임조회!$C$7="",$D576=클레임조회!$C$7),OR(클레임조회!$C$8="",$E576=클레임조회!$C$8),OR(클레임조회!$C$9="",$F576=클레임조회!$C$9),OR(클레임조회!$C$10="",ISNUMBER(SEARCH(클레임조회!$C$10,$C576&amp;" "&amp;$F576&amp;" "&amp;$G576&amp;" "&amp;$H576)))),COUNT(O$1:O575)+1,"")</f>
        <v/>
      </c>
      <c r="P576" s="0" t="str">
        <f aca="false">IF(AND(TRIM(C576)&lt;&gt;"",COUNTIF(C$2:C576,C576)=1),MAX(P$1:P575)+1,"")</f>
        <v/>
      </c>
      <c r="Q576" s="0" t="str">
        <f aca="false">IF(AND(TRIM(F576)&lt;&gt;"",COUNTIF(F$2:F576,F576)=1),MAX(Q$1:Q575)+1,"")</f>
        <v/>
      </c>
    </row>
    <row r="577" customFormat="false" ht="15" hidden="false" customHeight="false" outlineLevel="0" collapsed="false">
      <c r="A577" s="9"/>
      <c r="B577" s="10"/>
      <c r="C577" s="11"/>
      <c r="D577" s="11"/>
      <c r="E577" s="11"/>
      <c r="F577" s="11"/>
      <c r="G577" s="12"/>
      <c r="H577" s="12"/>
      <c r="I577" s="10"/>
      <c r="J577" s="12"/>
      <c r="K577" s="13" t="str">
        <f aca="false">IF(ISNUMBER(B577),YEAR(B577),"")</f>
        <v/>
      </c>
      <c r="L577" s="13" t="str">
        <f aca="false">IF(ISNUMBER(B577),MONTH(B577),"")</f>
        <v/>
      </c>
      <c r="M577" s="13" t="str">
        <f aca="false">IF(AND(ISNUMBER(B577),ISNUMBER(I577)),B577-I577+1,"")</f>
        <v/>
      </c>
      <c r="N577" s="14" t="str">
        <f aca="false">IF(B577="","",IF(M577="","시작일 미입력",IF(M577&lt;1,"시작일 이전(확인)",IF(M577=1,"1일째",IF(M577=2,"2일째",IF(M577=3,"3일째",IF(M577&lt;=7,"일주일 이내",IF(M577&lt;=14,"이주일 이내","15일 이후"))))))))</f>
        <v/>
      </c>
      <c r="O577" s="0" t="str">
        <f aca="false">IF(AND(COUNTA($A577:$J577)&gt;0,OR(클레임조회!$C$4="",AND(ISNUMBER($B577),$B577&gt;=클레임조회!$C$4)),OR(클레임조회!$C$5="",AND(ISNUMBER($B577),$B577&lt;=클레임조회!$C$5)),OR(클레임조회!$C$6="",$C577=클레임조회!$C$6),OR(클레임조회!$C$7="",$D577=클레임조회!$C$7),OR(클레임조회!$C$8="",$E577=클레임조회!$C$8),OR(클레임조회!$C$9="",$F577=클레임조회!$C$9),OR(클레임조회!$C$10="",ISNUMBER(SEARCH(클레임조회!$C$10,$C577&amp;" "&amp;$F577&amp;" "&amp;$G577&amp;" "&amp;$H577)))),COUNT(O$1:O576)+1,"")</f>
        <v/>
      </c>
      <c r="P577" s="0" t="str">
        <f aca="false">IF(AND(TRIM(C577)&lt;&gt;"",COUNTIF(C$2:C577,C577)=1),MAX(P$1:P576)+1,"")</f>
        <v/>
      </c>
      <c r="Q577" s="0" t="str">
        <f aca="false">IF(AND(TRIM(F577)&lt;&gt;"",COUNTIF(F$2:F577,F577)=1),MAX(Q$1:Q576)+1,"")</f>
        <v/>
      </c>
    </row>
    <row r="578" customFormat="false" ht="15" hidden="false" customHeight="false" outlineLevel="0" collapsed="false">
      <c r="A578" s="9"/>
      <c r="B578" s="10"/>
      <c r="C578" s="11"/>
      <c r="D578" s="11"/>
      <c r="E578" s="11"/>
      <c r="F578" s="11"/>
      <c r="G578" s="12"/>
      <c r="H578" s="12"/>
      <c r="I578" s="10"/>
      <c r="J578" s="12"/>
      <c r="K578" s="13" t="str">
        <f aca="false">IF(ISNUMBER(B578),YEAR(B578),"")</f>
        <v/>
      </c>
      <c r="L578" s="13" t="str">
        <f aca="false">IF(ISNUMBER(B578),MONTH(B578),"")</f>
        <v/>
      </c>
      <c r="M578" s="13" t="str">
        <f aca="false">IF(AND(ISNUMBER(B578),ISNUMBER(I578)),B578-I578+1,"")</f>
        <v/>
      </c>
      <c r="N578" s="14" t="str">
        <f aca="false">IF(B578="","",IF(M578="","시작일 미입력",IF(M578&lt;1,"시작일 이전(확인)",IF(M578=1,"1일째",IF(M578=2,"2일째",IF(M578=3,"3일째",IF(M578&lt;=7,"일주일 이내",IF(M578&lt;=14,"이주일 이내","15일 이후"))))))))</f>
        <v/>
      </c>
      <c r="O578" s="0" t="str">
        <f aca="false">IF(AND(COUNTA($A578:$J578)&gt;0,OR(클레임조회!$C$4="",AND(ISNUMBER($B578),$B578&gt;=클레임조회!$C$4)),OR(클레임조회!$C$5="",AND(ISNUMBER($B578),$B578&lt;=클레임조회!$C$5)),OR(클레임조회!$C$6="",$C578=클레임조회!$C$6),OR(클레임조회!$C$7="",$D578=클레임조회!$C$7),OR(클레임조회!$C$8="",$E578=클레임조회!$C$8),OR(클레임조회!$C$9="",$F578=클레임조회!$C$9),OR(클레임조회!$C$10="",ISNUMBER(SEARCH(클레임조회!$C$10,$C578&amp;" "&amp;$F578&amp;" "&amp;$G578&amp;" "&amp;$H578)))),COUNT(O$1:O577)+1,"")</f>
        <v/>
      </c>
      <c r="P578" s="0" t="str">
        <f aca="false">IF(AND(TRIM(C578)&lt;&gt;"",COUNTIF(C$2:C578,C578)=1),MAX(P$1:P577)+1,"")</f>
        <v/>
      </c>
      <c r="Q578" s="0" t="str">
        <f aca="false">IF(AND(TRIM(F578)&lt;&gt;"",COUNTIF(F$2:F578,F578)=1),MAX(Q$1:Q577)+1,"")</f>
        <v/>
      </c>
    </row>
    <row r="579" customFormat="false" ht="15" hidden="false" customHeight="false" outlineLevel="0" collapsed="false">
      <c r="A579" s="9"/>
      <c r="B579" s="10"/>
      <c r="C579" s="11"/>
      <c r="D579" s="11"/>
      <c r="E579" s="11"/>
      <c r="F579" s="11"/>
      <c r="G579" s="12"/>
      <c r="H579" s="12"/>
      <c r="I579" s="10"/>
      <c r="J579" s="12"/>
      <c r="K579" s="13" t="str">
        <f aca="false">IF(ISNUMBER(B579),YEAR(B579),"")</f>
        <v/>
      </c>
      <c r="L579" s="13" t="str">
        <f aca="false">IF(ISNUMBER(B579),MONTH(B579),"")</f>
        <v/>
      </c>
      <c r="M579" s="13" t="str">
        <f aca="false">IF(AND(ISNUMBER(B579),ISNUMBER(I579)),B579-I579+1,"")</f>
        <v/>
      </c>
      <c r="N579" s="14" t="str">
        <f aca="false">IF(B579="","",IF(M579="","시작일 미입력",IF(M579&lt;1,"시작일 이전(확인)",IF(M579=1,"1일째",IF(M579=2,"2일째",IF(M579=3,"3일째",IF(M579&lt;=7,"일주일 이내",IF(M579&lt;=14,"이주일 이내","15일 이후"))))))))</f>
        <v/>
      </c>
      <c r="O579" s="0" t="str">
        <f aca="false">IF(AND(COUNTA($A579:$J579)&gt;0,OR(클레임조회!$C$4="",AND(ISNUMBER($B579),$B579&gt;=클레임조회!$C$4)),OR(클레임조회!$C$5="",AND(ISNUMBER($B579),$B579&lt;=클레임조회!$C$5)),OR(클레임조회!$C$6="",$C579=클레임조회!$C$6),OR(클레임조회!$C$7="",$D579=클레임조회!$C$7),OR(클레임조회!$C$8="",$E579=클레임조회!$C$8),OR(클레임조회!$C$9="",$F579=클레임조회!$C$9),OR(클레임조회!$C$10="",ISNUMBER(SEARCH(클레임조회!$C$10,$C579&amp;" "&amp;$F579&amp;" "&amp;$G579&amp;" "&amp;$H579)))),COUNT(O$1:O578)+1,"")</f>
        <v/>
      </c>
      <c r="P579" s="0" t="str">
        <f aca="false">IF(AND(TRIM(C579)&lt;&gt;"",COUNTIF(C$2:C579,C579)=1),MAX(P$1:P578)+1,"")</f>
        <v/>
      </c>
      <c r="Q579" s="0" t="str">
        <f aca="false">IF(AND(TRIM(F579)&lt;&gt;"",COUNTIF(F$2:F579,F579)=1),MAX(Q$1:Q578)+1,"")</f>
        <v/>
      </c>
    </row>
    <row r="580" customFormat="false" ht="15" hidden="false" customHeight="false" outlineLevel="0" collapsed="false">
      <c r="A580" s="9"/>
      <c r="B580" s="10"/>
      <c r="C580" s="11"/>
      <c r="D580" s="11"/>
      <c r="E580" s="11"/>
      <c r="F580" s="11"/>
      <c r="G580" s="12"/>
      <c r="H580" s="12"/>
      <c r="I580" s="10"/>
      <c r="J580" s="12"/>
      <c r="K580" s="13" t="str">
        <f aca="false">IF(ISNUMBER(B580),YEAR(B580),"")</f>
        <v/>
      </c>
      <c r="L580" s="13" t="str">
        <f aca="false">IF(ISNUMBER(B580),MONTH(B580),"")</f>
        <v/>
      </c>
      <c r="M580" s="13" t="str">
        <f aca="false">IF(AND(ISNUMBER(B580),ISNUMBER(I580)),B580-I580+1,"")</f>
        <v/>
      </c>
      <c r="N580" s="14" t="str">
        <f aca="false">IF(B580="","",IF(M580="","시작일 미입력",IF(M580&lt;1,"시작일 이전(확인)",IF(M580=1,"1일째",IF(M580=2,"2일째",IF(M580=3,"3일째",IF(M580&lt;=7,"일주일 이내",IF(M580&lt;=14,"이주일 이내","15일 이후"))))))))</f>
        <v/>
      </c>
      <c r="O580" s="0" t="str">
        <f aca="false">IF(AND(COUNTA($A580:$J580)&gt;0,OR(클레임조회!$C$4="",AND(ISNUMBER($B580),$B580&gt;=클레임조회!$C$4)),OR(클레임조회!$C$5="",AND(ISNUMBER($B580),$B580&lt;=클레임조회!$C$5)),OR(클레임조회!$C$6="",$C580=클레임조회!$C$6),OR(클레임조회!$C$7="",$D580=클레임조회!$C$7),OR(클레임조회!$C$8="",$E580=클레임조회!$C$8),OR(클레임조회!$C$9="",$F580=클레임조회!$C$9),OR(클레임조회!$C$10="",ISNUMBER(SEARCH(클레임조회!$C$10,$C580&amp;" "&amp;$F580&amp;" "&amp;$G580&amp;" "&amp;$H580)))),COUNT(O$1:O579)+1,"")</f>
        <v/>
      </c>
      <c r="P580" s="0" t="str">
        <f aca="false">IF(AND(TRIM(C580)&lt;&gt;"",COUNTIF(C$2:C580,C580)=1),MAX(P$1:P579)+1,"")</f>
        <v/>
      </c>
      <c r="Q580" s="0" t="str">
        <f aca="false">IF(AND(TRIM(F580)&lt;&gt;"",COUNTIF(F$2:F580,F580)=1),MAX(Q$1:Q579)+1,"")</f>
        <v/>
      </c>
    </row>
    <row r="581" customFormat="false" ht="15" hidden="false" customHeight="false" outlineLevel="0" collapsed="false">
      <c r="A581" s="9"/>
      <c r="B581" s="10"/>
      <c r="C581" s="11"/>
      <c r="D581" s="11"/>
      <c r="E581" s="11"/>
      <c r="F581" s="11"/>
      <c r="G581" s="12"/>
      <c r="H581" s="12"/>
      <c r="I581" s="10"/>
      <c r="J581" s="12"/>
      <c r="K581" s="13" t="str">
        <f aca="false">IF(ISNUMBER(B581),YEAR(B581),"")</f>
        <v/>
      </c>
      <c r="L581" s="13" t="str">
        <f aca="false">IF(ISNUMBER(B581),MONTH(B581),"")</f>
        <v/>
      </c>
      <c r="M581" s="13" t="str">
        <f aca="false">IF(AND(ISNUMBER(B581),ISNUMBER(I581)),B581-I581+1,"")</f>
        <v/>
      </c>
      <c r="N581" s="14" t="str">
        <f aca="false">IF(B581="","",IF(M581="","시작일 미입력",IF(M581&lt;1,"시작일 이전(확인)",IF(M581=1,"1일째",IF(M581=2,"2일째",IF(M581=3,"3일째",IF(M581&lt;=7,"일주일 이내",IF(M581&lt;=14,"이주일 이내","15일 이후"))))))))</f>
        <v/>
      </c>
      <c r="O581" s="0" t="str">
        <f aca="false">IF(AND(COUNTA($A581:$J581)&gt;0,OR(클레임조회!$C$4="",AND(ISNUMBER($B581),$B581&gt;=클레임조회!$C$4)),OR(클레임조회!$C$5="",AND(ISNUMBER($B581),$B581&lt;=클레임조회!$C$5)),OR(클레임조회!$C$6="",$C581=클레임조회!$C$6),OR(클레임조회!$C$7="",$D581=클레임조회!$C$7),OR(클레임조회!$C$8="",$E581=클레임조회!$C$8),OR(클레임조회!$C$9="",$F581=클레임조회!$C$9),OR(클레임조회!$C$10="",ISNUMBER(SEARCH(클레임조회!$C$10,$C581&amp;" "&amp;$F581&amp;" "&amp;$G581&amp;" "&amp;$H581)))),COUNT(O$1:O580)+1,"")</f>
        <v/>
      </c>
      <c r="P581" s="0" t="str">
        <f aca="false">IF(AND(TRIM(C581)&lt;&gt;"",COUNTIF(C$2:C581,C581)=1),MAX(P$1:P580)+1,"")</f>
        <v/>
      </c>
      <c r="Q581" s="0" t="str">
        <f aca="false">IF(AND(TRIM(F581)&lt;&gt;"",COUNTIF(F$2:F581,F581)=1),MAX(Q$1:Q580)+1,"")</f>
        <v/>
      </c>
    </row>
    <row r="582" customFormat="false" ht="15" hidden="false" customHeight="false" outlineLevel="0" collapsed="false">
      <c r="A582" s="9"/>
      <c r="B582" s="10"/>
      <c r="C582" s="11"/>
      <c r="D582" s="11"/>
      <c r="E582" s="11"/>
      <c r="F582" s="11"/>
      <c r="G582" s="12"/>
      <c r="H582" s="12"/>
      <c r="I582" s="10"/>
      <c r="J582" s="12"/>
      <c r="K582" s="13" t="str">
        <f aca="false">IF(ISNUMBER(B582),YEAR(B582),"")</f>
        <v/>
      </c>
      <c r="L582" s="13" t="str">
        <f aca="false">IF(ISNUMBER(B582),MONTH(B582),"")</f>
        <v/>
      </c>
      <c r="M582" s="13" t="str">
        <f aca="false">IF(AND(ISNUMBER(B582),ISNUMBER(I582)),B582-I582+1,"")</f>
        <v/>
      </c>
      <c r="N582" s="14" t="str">
        <f aca="false">IF(B582="","",IF(M582="","시작일 미입력",IF(M582&lt;1,"시작일 이전(확인)",IF(M582=1,"1일째",IF(M582=2,"2일째",IF(M582=3,"3일째",IF(M582&lt;=7,"일주일 이내",IF(M582&lt;=14,"이주일 이내","15일 이후"))))))))</f>
        <v/>
      </c>
      <c r="O582" s="0" t="str">
        <f aca="false">IF(AND(COUNTA($A582:$J582)&gt;0,OR(클레임조회!$C$4="",AND(ISNUMBER($B582),$B582&gt;=클레임조회!$C$4)),OR(클레임조회!$C$5="",AND(ISNUMBER($B582),$B582&lt;=클레임조회!$C$5)),OR(클레임조회!$C$6="",$C582=클레임조회!$C$6),OR(클레임조회!$C$7="",$D582=클레임조회!$C$7),OR(클레임조회!$C$8="",$E582=클레임조회!$C$8),OR(클레임조회!$C$9="",$F582=클레임조회!$C$9),OR(클레임조회!$C$10="",ISNUMBER(SEARCH(클레임조회!$C$10,$C582&amp;" "&amp;$F582&amp;" "&amp;$G582&amp;" "&amp;$H582)))),COUNT(O$1:O581)+1,"")</f>
        <v/>
      </c>
      <c r="P582" s="0" t="str">
        <f aca="false">IF(AND(TRIM(C582)&lt;&gt;"",COUNTIF(C$2:C582,C582)=1),MAX(P$1:P581)+1,"")</f>
        <v/>
      </c>
      <c r="Q582" s="0" t="str">
        <f aca="false">IF(AND(TRIM(F582)&lt;&gt;"",COUNTIF(F$2:F582,F582)=1),MAX(Q$1:Q581)+1,"")</f>
        <v/>
      </c>
    </row>
    <row r="583" customFormat="false" ht="15" hidden="false" customHeight="false" outlineLevel="0" collapsed="false">
      <c r="A583" s="9"/>
      <c r="B583" s="10"/>
      <c r="C583" s="11"/>
      <c r="D583" s="11"/>
      <c r="E583" s="11"/>
      <c r="F583" s="11"/>
      <c r="G583" s="12"/>
      <c r="H583" s="12"/>
      <c r="I583" s="10"/>
      <c r="J583" s="12"/>
      <c r="K583" s="13" t="str">
        <f aca="false">IF(ISNUMBER(B583),YEAR(B583),"")</f>
        <v/>
      </c>
      <c r="L583" s="13" t="str">
        <f aca="false">IF(ISNUMBER(B583),MONTH(B583),"")</f>
        <v/>
      </c>
      <c r="M583" s="13" t="str">
        <f aca="false">IF(AND(ISNUMBER(B583),ISNUMBER(I583)),B583-I583+1,"")</f>
        <v/>
      </c>
      <c r="N583" s="14" t="str">
        <f aca="false">IF(B583="","",IF(M583="","시작일 미입력",IF(M583&lt;1,"시작일 이전(확인)",IF(M583=1,"1일째",IF(M583=2,"2일째",IF(M583=3,"3일째",IF(M583&lt;=7,"일주일 이내",IF(M583&lt;=14,"이주일 이내","15일 이후"))))))))</f>
        <v/>
      </c>
      <c r="O583" s="0" t="str">
        <f aca="false">IF(AND(COUNTA($A583:$J583)&gt;0,OR(클레임조회!$C$4="",AND(ISNUMBER($B583),$B583&gt;=클레임조회!$C$4)),OR(클레임조회!$C$5="",AND(ISNUMBER($B583),$B583&lt;=클레임조회!$C$5)),OR(클레임조회!$C$6="",$C583=클레임조회!$C$6),OR(클레임조회!$C$7="",$D583=클레임조회!$C$7),OR(클레임조회!$C$8="",$E583=클레임조회!$C$8),OR(클레임조회!$C$9="",$F583=클레임조회!$C$9),OR(클레임조회!$C$10="",ISNUMBER(SEARCH(클레임조회!$C$10,$C583&amp;" "&amp;$F583&amp;" "&amp;$G583&amp;" "&amp;$H583)))),COUNT(O$1:O582)+1,"")</f>
        <v/>
      </c>
      <c r="P583" s="0" t="str">
        <f aca="false">IF(AND(TRIM(C583)&lt;&gt;"",COUNTIF(C$2:C583,C583)=1),MAX(P$1:P582)+1,"")</f>
        <v/>
      </c>
      <c r="Q583" s="0" t="str">
        <f aca="false">IF(AND(TRIM(F583)&lt;&gt;"",COUNTIF(F$2:F583,F583)=1),MAX(Q$1:Q582)+1,"")</f>
        <v/>
      </c>
    </row>
    <row r="584" customFormat="false" ht="15" hidden="false" customHeight="false" outlineLevel="0" collapsed="false">
      <c r="A584" s="9"/>
      <c r="B584" s="10"/>
      <c r="C584" s="11"/>
      <c r="D584" s="11"/>
      <c r="E584" s="11"/>
      <c r="F584" s="11"/>
      <c r="G584" s="12"/>
      <c r="H584" s="12"/>
      <c r="I584" s="10"/>
      <c r="J584" s="12"/>
      <c r="K584" s="13" t="str">
        <f aca="false">IF(ISNUMBER(B584),YEAR(B584),"")</f>
        <v/>
      </c>
      <c r="L584" s="13" t="str">
        <f aca="false">IF(ISNUMBER(B584),MONTH(B584),"")</f>
        <v/>
      </c>
      <c r="M584" s="13" t="str">
        <f aca="false">IF(AND(ISNUMBER(B584),ISNUMBER(I584)),B584-I584+1,"")</f>
        <v/>
      </c>
      <c r="N584" s="14" t="str">
        <f aca="false">IF(B584="","",IF(M584="","시작일 미입력",IF(M584&lt;1,"시작일 이전(확인)",IF(M584=1,"1일째",IF(M584=2,"2일째",IF(M584=3,"3일째",IF(M584&lt;=7,"일주일 이내",IF(M584&lt;=14,"이주일 이내","15일 이후"))))))))</f>
        <v/>
      </c>
      <c r="O584" s="0" t="str">
        <f aca="false">IF(AND(COUNTA($A584:$J584)&gt;0,OR(클레임조회!$C$4="",AND(ISNUMBER($B584),$B584&gt;=클레임조회!$C$4)),OR(클레임조회!$C$5="",AND(ISNUMBER($B584),$B584&lt;=클레임조회!$C$5)),OR(클레임조회!$C$6="",$C584=클레임조회!$C$6),OR(클레임조회!$C$7="",$D584=클레임조회!$C$7),OR(클레임조회!$C$8="",$E584=클레임조회!$C$8),OR(클레임조회!$C$9="",$F584=클레임조회!$C$9),OR(클레임조회!$C$10="",ISNUMBER(SEARCH(클레임조회!$C$10,$C584&amp;" "&amp;$F584&amp;" "&amp;$G584&amp;" "&amp;$H584)))),COUNT(O$1:O583)+1,"")</f>
        <v/>
      </c>
      <c r="P584" s="0" t="str">
        <f aca="false">IF(AND(TRIM(C584)&lt;&gt;"",COUNTIF(C$2:C584,C584)=1),MAX(P$1:P583)+1,"")</f>
        <v/>
      </c>
      <c r="Q584" s="0" t="str">
        <f aca="false">IF(AND(TRIM(F584)&lt;&gt;"",COUNTIF(F$2:F584,F584)=1),MAX(Q$1:Q583)+1,"")</f>
        <v/>
      </c>
    </row>
    <row r="585" customFormat="false" ht="15" hidden="false" customHeight="false" outlineLevel="0" collapsed="false">
      <c r="A585" s="9"/>
      <c r="B585" s="10"/>
      <c r="C585" s="11"/>
      <c r="D585" s="11"/>
      <c r="E585" s="11"/>
      <c r="F585" s="11"/>
      <c r="G585" s="12"/>
      <c r="H585" s="12"/>
      <c r="I585" s="10"/>
      <c r="J585" s="12"/>
      <c r="K585" s="13" t="str">
        <f aca="false">IF(ISNUMBER(B585),YEAR(B585),"")</f>
        <v/>
      </c>
      <c r="L585" s="13" t="str">
        <f aca="false">IF(ISNUMBER(B585),MONTH(B585),"")</f>
        <v/>
      </c>
      <c r="M585" s="13" t="str">
        <f aca="false">IF(AND(ISNUMBER(B585),ISNUMBER(I585)),B585-I585+1,"")</f>
        <v/>
      </c>
      <c r="N585" s="14" t="str">
        <f aca="false">IF(B585="","",IF(M585="","시작일 미입력",IF(M585&lt;1,"시작일 이전(확인)",IF(M585=1,"1일째",IF(M585=2,"2일째",IF(M585=3,"3일째",IF(M585&lt;=7,"일주일 이내",IF(M585&lt;=14,"이주일 이내","15일 이후"))))))))</f>
        <v/>
      </c>
      <c r="O585" s="0" t="str">
        <f aca="false">IF(AND(COUNTA($A585:$J585)&gt;0,OR(클레임조회!$C$4="",AND(ISNUMBER($B585),$B585&gt;=클레임조회!$C$4)),OR(클레임조회!$C$5="",AND(ISNUMBER($B585),$B585&lt;=클레임조회!$C$5)),OR(클레임조회!$C$6="",$C585=클레임조회!$C$6),OR(클레임조회!$C$7="",$D585=클레임조회!$C$7),OR(클레임조회!$C$8="",$E585=클레임조회!$C$8),OR(클레임조회!$C$9="",$F585=클레임조회!$C$9),OR(클레임조회!$C$10="",ISNUMBER(SEARCH(클레임조회!$C$10,$C585&amp;" "&amp;$F585&amp;" "&amp;$G585&amp;" "&amp;$H585)))),COUNT(O$1:O584)+1,"")</f>
        <v/>
      </c>
      <c r="P585" s="0" t="str">
        <f aca="false">IF(AND(TRIM(C585)&lt;&gt;"",COUNTIF(C$2:C585,C585)=1),MAX(P$1:P584)+1,"")</f>
        <v/>
      </c>
      <c r="Q585" s="0" t="str">
        <f aca="false">IF(AND(TRIM(F585)&lt;&gt;"",COUNTIF(F$2:F585,F585)=1),MAX(Q$1:Q584)+1,"")</f>
        <v/>
      </c>
    </row>
    <row r="586" customFormat="false" ht="15" hidden="false" customHeight="false" outlineLevel="0" collapsed="false">
      <c r="A586" s="9"/>
      <c r="B586" s="10"/>
      <c r="C586" s="11"/>
      <c r="D586" s="11"/>
      <c r="E586" s="11"/>
      <c r="F586" s="11"/>
      <c r="G586" s="12"/>
      <c r="H586" s="12"/>
      <c r="I586" s="10"/>
      <c r="J586" s="12"/>
      <c r="K586" s="13" t="str">
        <f aca="false">IF(ISNUMBER(B586),YEAR(B586),"")</f>
        <v/>
      </c>
      <c r="L586" s="13" t="str">
        <f aca="false">IF(ISNUMBER(B586),MONTH(B586),"")</f>
        <v/>
      </c>
      <c r="M586" s="13" t="str">
        <f aca="false">IF(AND(ISNUMBER(B586),ISNUMBER(I586)),B586-I586+1,"")</f>
        <v/>
      </c>
      <c r="N586" s="14" t="str">
        <f aca="false">IF(B586="","",IF(M586="","시작일 미입력",IF(M586&lt;1,"시작일 이전(확인)",IF(M586=1,"1일째",IF(M586=2,"2일째",IF(M586=3,"3일째",IF(M586&lt;=7,"일주일 이내",IF(M586&lt;=14,"이주일 이내","15일 이후"))))))))</f>
        <v/>
      </c>
      <c r="O586" s="0" t="str">
        <f aca="false">IF(AND(COUNTA($A586:$J586)&gt;0,OR(클레임조회!$C$4="",AND(ISNUMBER($B586),$B586&gt;=클레임조회!$C$4)),OR(클레임조회!$C$5="",AND(ISNUMBER($B586),$B586&lt;=클레임조회!$C$5)),OR(클레임조회!$C$6="",$C586=클레임조회!$C$6),OR(클레임조회!$C$7="",$D586=클레임조회!$C$7),OR(클레임조회!$C$8="",$E586=클레임조회!$C$8),OR(클레임조회!$C$9="",$F586=클레임조회!$C$9),OR(클레임조회!$C$10="",ISNUMBER(SEARCH(클레임조회!$C$10,$C586&amp;" "&amp;$F586&amp;" "&amp;$G586&amp;" "&amp;$H586)))),COUNT(O$1:O585)+1,"")</f>
        <v/>
      </c>
      <c r="P586" s="0" t="str">
        <f aca="false">IF(AND(TRIM(C586)&lt;&gt;"",COUNTIF(C$2:C586,C586)=1),MAX(P$1:P585)+1,"")</f>
        <v/>
      </c>
      <c r="Q586" s="0" t="str">
        <f aca="false">IF(AND(TRIM(F586)&lt;&gt;"",COUNTIF(F$2:F586,F586)=1),MAX(Q$1:Q585)+1,"")</f>
        <v/>
      </c>
    </row>
    <row r="587" customFormat="false" ht="15" hidden="false" customHeight="false" outlineLevel="0" collapsed="false">
      <c r="A587" s="9"/>
      <c r="B587" s="10"/>
      <c r="C587" s="11"/>
      <c r="D587" s="11"/>
      <c r="E587" s="11"/>
      <c r="F587" s="11"/>
      <c r="G587" s="12"/>
      <c r="H587" s="12"/>
      <c r="I587" s="10"/>
      <c r="J587" s="12"/>
      <c r="K587" s="13" t="str">
        <f aca="false">IF(ISNUMBER(B587),YEAR(B587),"")</f>
        <v/>
      </c>
      <c r="L587" s="13" t="str">
        <f aca="false">IF(ISNUMBER(B587),MONTH(B587),"")</f>
        <v/>
      </c>
      <c r="M587" s="13" t="str">
        <f aca="false">IF(AND(ISNUMBER(B587),ISNUMBER(I587)),B587-I587+1,"")</f>
        <v/>
      </c>
      <c r="N587" s="14" t="str">
        <f aca="false">IF(B587="","",IF(M587="","시작일 미입력",IF(M587&lt;1,"시작일 이전(확인)",IF(M587=1,"1일째",IF(M587=2,"2일째",IF(M587=3,"3일째",IF(M587&lt;=7,"일주일 이내",IF(M587&lt;=14,"이주일 이내","15일 이후"))))))))</f>
        <v/>
      </c>
      <c r="O587" s="0" t="str">
        <f aca="false">IF(AND(COUNTA($A587:$J587)&gt;0,OR(클레임조회!$C$4="",AND(ISNUMBER($B587),$B587&gt;=클레임조회!$C$4)),OR(클레임조회!$C$5="",AND(ISNUMBER($B587),$B587&lt;=클레임조회!$C$5)),OR(클레임조회!$C$6="",$C587=클레임조회!$C$6),OR(클레임조회!$C$7="",$D587=클레임조회!$C$7),OR(클레임조회!$C$8="",$E587=클레임조회!$C$8),OR(클레임조회!$C$9="",$F587=클레임조회!$C$9),OR(클레임조회!$C$10="",ISNUMBER(SEARCH(클레임조회!$C$10,$C587&amp;" "&amp;$F587&amp;" "&amp;$G587&amp;" "&amp;$H587)))),COUNT(O$1:O586)+1,"")</f>
        <v/>
      </c>
      <c r="P587" s="0" t="str">
        <f aca="false">IF(AND(TRIM(C587)&lt;&gt;"",COUNTIF(C$2:C587,C587)=1),MAX(P$1:P586)+1,"")</f>
        <v/>
      </c>
      <c r="Q587" s="0" t="str">
        <f aca="false">IF(AND(TRIM(F587)&lt;&gt;"",COUNTIF(F$2:F587,F587)=1),MAX(Q$1:Q586)+1,"")</f>
        <v/>
      </c>
    </row>
    <row r="588" customFormat="false" ht="15" hidden="false" customHeight="false" outlineLevel="0" collapsed="false">
      <c r="A588" s="9"/>
      <c r="B588" s="10"/>
      <c r="C588" s="11"/>
      <c r="D588" s="11"/>
      <c r="E588" s="11"/>
      <c r="F588" s="11"/>
      <c r="G588" s="12"/>
      <c r="H588" s="12"/>
      <c r="I588" s="10"/>
      <c r="J588" s="12"/>
      <c r="K588" s="13" t="str">
        <f aca="false">IF(ISNUMBER(B588),YEAR(B588),"")</f>
        <v/>
      </c>
      <c r="L588" s="13" t="str">
        <f aca="false">IF(ISNUMBER(B588),MONTH(B588),"")</f>
        <v/>
      </c>
      <c r="M588" s="13" t="str">
        <f aca="false">IF(AND(ISNUMBER(B588),ISNUMBER(I588)),B588-I588+1,"")</f>
        <v/>
      </c>
      <c r="N588" s="14" t="str">
        <f aca="false">IF(B588="","",IF(M588="","시작일 미입력",IF(M588&lt;1,"시작일 이전(확인)",IF(M588=1,"1일째",IF(M588=2,"2일째",IF(M588=3,"3일째",IF(M588&lt;=7,"일주일 이내",IF(M588&lt;=14,"이주일 이내","15일 이후"))))))))</f>
        <v/>
      </c>
      <c r="O588" s="0" t="str">
        <f aca="false">IF(AND(COUNTA($A588:$J588)&gt;0,OR(클레임조회!$C$4="",AND(ISNUMBER($B588),$B588&gt;=클레임조회!$C$4)),OR(클레임조회!$C$5="",AND(ISNUMBER($B588),$B588&lt;=클레임조회!$C$5)),OR(클레임조회!$C$6="",$C588=클레임조회!$C$6),OR(클레임조회!$C$7="",$D588=클레임조회!$C$7),OR(클레임조회!$C$8="",$E588=클레임조회!$C$8),OR(클레임조회!$C$9="",$F588=클레임조회!$C$9),OR(클레임조회!$C$10="",ISNUMBER(SEARCH(클레임조회!$C$10,$C588&amp;" "&amp;$F588&amp;" "&amp;$G588&amp;" "&amp;$H588)))),COUNT(O$1:O587)+1,"")</f>
        <v/>
      </c>
      <c r="P588" s="0" t="str">
        <f aca="false">IF(AND(TRIM(C588)&lt;&gt;"",COUNTIF(C$2:C588,C588)=1),MAX(P$1:P587)+1,"")</f>
        <v/>
      </c>
      <c r="Q588" s="0" t="str">
        <f aca="false">IF(AND(TRIM(F588)&lt;&gt;"",COUNTIF(F$2:F588,F588)=1),MAX(Q$1:Q587)+1,"")</f>
        <v/>
      </c>
    </row>
    <row r="589" customFormat="false" ht="15" hidden="false" customHeight="false" outlineLevel="0" collapsed="false">
      <c r="A589" s="9"/>
      <c r="B589" s="10"/>
      <c r="C589" s="11"/>
      <c r="D589" s="11"/>
      <c r="E589" s="11"/>
      <c r="F589" s="11"/>
      <c r="G589" s="12"/>
      <c r="H589" s="12"/>
      <c r="I589" s="10"/>
      <c r="J589" s="12"/>
      <c r="K589" s="13" t="str">
        <f aca="false">IF(ISNUMBER(B589),YEAR(B589),"")</f>
        <v/>
      </c>
      <c r="L589" s="13" t="str">
        <f aca="false">IF(ISNUMBER(B589),MONTH(B589),"")</f>
        <v/>
      </c>
      <c r="M589" s="13" t="str">
        <f aca="false">IF(AND(ISNUMBER(B589),ISNUMBER(I589)),B589-I589+1,"")</f>
        <v/>
      </c>
      <c r="N589" s="14" t="str">
        <f aca="false">IF(B589="","",IF(M589="","시작일 미입력",IF(M589&lt;1,"시작일 이전(확인)",IF(M589=1,"1일째",IF(M589=2,"2일째",IF(M589=3,"3일째",IF(M589&lt;=7,"일주일 이내",IF(M589&lt;=14,"이주일 이내","15일 이후"))))))))</f>
        <v/>
      </c>
      <c r="O589" s="0" t="str">
        <f aca="false">IF(AND(COUNTA($A589:$J589)&gt;0,OR(클레임조회!$C$4="",AND(ISNUMBER($B589),$B589&gt;=클레임조회!$C$4)),OR(클레임조회!$C$5="",AND(ISNUMBER($B589),$B589&lt;=클레임조회!$C$5)),OR(클레임조회!$C$6="",$C589=클레임조회!$C$6),OR(클레임조회!$C$7="",$D589=클레임조회!$C$7),OR(클레임조회!$C$8="",$E589=클레임조회!$C$8),OR(클레임조회!$C$9="",$F589=클레임조회!$C$9),OR(클레임조회!$C$10="",ISNUMBER(SEARCH(클레임조회!$C$10,$C589&amp;" "&amp;$F589&amp;" "&amp;$G589&amp;" "&amp;$H589)))),COUNT(O$1:O588)+1,"")</f>
        <v/>
      </c>
      <c r="P589" s="0" t="str">
        <f aca="false">IF(AND(TRIM(C589)&lt;&gt;"",COUNTIF(C$2:C589,C589)=1),MAX(P$1:P588)+1,"")</f>
        <v/>
      </c>
      <c r="Q589" s="0" t="str">
        <f aca="false">IF(AND(TRIM(F589)&lt;&gt;"",COUNTIF(F$2:F589,F589)=1),MAX(Q$1:Q588)+1,"")</f>
        <v/>
      </c>
    </row>
    <row r="590" customFormat="false" ht="15" hidden="false" customHeight="false" outlineLevel="0" collapsed="false">
      <c r="A590" s="9"/>
      <c r="B590" s="10"/>
      <c r="C590" s="11"/>
      <c r="D590" s="11"/>
      <c r="E590" s="11"/>
      <c r="F590" s="11"/>
      <c r="G590" s="12"/>
      <c r="H590" s="12"/>
      <c r="I590" s="10"/>
      <c r="J590" s="12"/>
      <c r="K590" s="13" t="str">
        <f aca="false">IF(ISNUMBER(B590),YEAR(B590),"")</f>
        <v/>
      </c>
      <c r="L590" s="13" t="str">
        <f aca="false">IF(ISNUMBER(B590),MONTH(B590),"")</f>
        <v/>
      </c>
      <c r="M590" s="13" t="str">
        <f aca="false">IF(AND(ISNUMBER(B590),ISNUMBER(I590)),B590-I590+1,"")</f>
        <v/>
      </c>
      <c r="N590" s="14" t="str">
        <f aca="false">IF(B590="","",IF(M590="","시작일 미입력",IF(M590&lt;1,"시작일 이전(확인)",IF(M590=1,"1일째",IF(M590=2,"2일째",IF(M590=3,"3일째",IF(M590&lt;=7,"일주일 이내",IF(M590&lt;=14,"이주일 이내","15일 이후"))))))))</f>
        <v/>
      </c>
      <c r="O590" s="0" t="str">
        <f aca="false">IF(AND(COUNTA($A590:$J590)&gt;0,OR(클레임조회!$C$4="",AND(ISNUMBER($B590),$B590&gt;=클레임조회!$C$4)),OR(클레임조회!$C$5="",AND(ISNUMBER($B590),$B590&lt;=클레임조회!$C$5)),OR(클레임조회!$C$6="",$C590=클레임조회!$C$6),OR(클레임조회!$C$7="",$D590=클레임조회!$C$7),OR(클레임조회!$C$8="",$E590=클레임조회!$C$8),OR(클레임조회!$C$9="",$F590=클레임조회!$C$9),OR(클레임조회!$C$10="",ISNUMBER(SEARCH(클레임조회!$C$10,$C590&amp;" "&amp;$F590&amp;" "&amp;$G590&amp;" "&amp;$H590)))),COUNT(O$1:O589)+1,"")</f>
        <v/>
      </c>
      <c r="P590" s="0" t="str">
        <f aca="false">IF(AND(TRIM(C590)&lt;&gt;"",COUNTIF(C$2:C590,C590)=1),MAX(P$1:P589)+1,"")</f>
        <v/>
      </c>
      <c r="Q590" s="0" t="str">
        <f aca="false">IF(AND(TRIM(F590)&lt;&gt;"",COUNTIF(F$2:F590,F590)=1),MAX(Q$1:Q589)+1,"")</f>
        <v/>
      </c>
    </row>
    <row r="591" customFormat="false" ht="15" hidden="false" customHeight="false" outlineLevel="0" collapsed="false">
      <c r="A591" s="9"/>
      <c r="B591" s="10"/>
      <c r="C591" s="11"/>
      <c r="D591" s="11"/>
      <c r="E591" s="11"/>
      <c r="F591" s="11"/>
      <c r="G591" s="12"/>
      <c r="H591" s="12"/>
      <c r="I591" s="10"/>
      <c r="J591" s="12"/>
      <c r="K591" s="13" t="str">
        <f aca="false">IF(ISNUMBER(B591),YEAR(B591),"")</f>
        <v/>
      </c>
      <c r="L591" s="13" t="str">
        <f aca="false">IF(ISNUMBER(B591),MONTH(B591),"")</f>
        <v/>
      </c>
      <c r="M591" s="13" t="str">
        <f aca="false">IF(AND(ISNUMBER(B591),ISNUMBER(I591)),B591-I591+1,"")</f>
        <v/>
      </c>
      <c r="N591" s="14" t="str">
        <f aca="false">IF(B591="","",IF(M591="","시작일 미입력",IF(M591&lt;1,"시작일 이전(확인)",IF(M591=1,"1일째",IF(M591=2,"2일째",IF(M591=3,"3일째",IF(M591&lt;=7,"일주일 이내",IF(M591&lt;=14,"이주일 이내","15일 이후"))))))))</f>
        <v/>
      </c>
      <c r="O591" s="0" t="str">
        <f aca="false">IF(AND(COUNTA($A591:$J591)&gt;0,OR(클레임조회!$C$4="",AND(ISNUMBER($B591),$B591&gt;=클레임조회!$C$4)),OR(클레임조회!$C$5="",AND(ISNUMBER($B591),$B591&lt;=클레임조회!$C$5)),OR(클레임조회!$C$6="",$C591=클레임조회!$C$6),OR(클레임조회!$C$7="",$D591=클레임조회!$C$7),OR(클레임조회!$C$8="",$E591=클레임조회!$C$8),OR(클레임조회!$C$9="",$F591=클레임조회!$C$9),OR(클레임조회!$C$10="",ISNUMBER(SEARCH(클레임조회!$C$10,$C591&amp;" "&amp;$F591&amp;" "&amp;$G591&amp;" "&amp;$H591)))),COUNT(O$1:O590)+1,"")</f>
        <v/>
      </c>
      <c r="P591" s="0" t="str">
        <f aca="false">IF(AND(TRIM(C591)&lt;&gt;"",COUNTIF(C$2:C591,C591)=1),MAX(P$1:P590)+1,"")</f>
        <v/>
      </c>
      <c r="Q591" s="0" t="str">
        <f aca="false">IF(AND(TRIM(F591)&lt;&gt;"",COUNTIF(F$2:F591,F591)=1),MAX(Q$1:Q590)+1,"")</f>
        <v/>
      </c>
    </row>
    <row r="592" customFormat="false" ht="15" hidden="false" customHeight="false" outlineLevel="0" collapsed="false">
      <c r="A592" s="9"/>
      <c r="B592" s="10"/>
      <c r="C592" s="11"/>
      <c r="D592" s="11"/>
      <c r="E592" s="11"/>
      <c r="F592" s="11"/>
      <c r="G592" s="12"/>
      <c r="H592" s="12"/>
      <c r="I592" s="10"/>
      <c r="J592" s="12"/>
      <c r="K592" s="13" t="str">
        <f aca="false">IF(ISNUMBER(B592),YEAR(B592),"")</f>
        <v/>
      </c>
      <c r="L592" s="13" t="str">
        <f aca="false">IF(ISNUMBER(B592),MONTH(B592),"")</f>
        <v/>
      </c>
      <c r="M592" s="13" t="str">
        <f aca="false">IF(AND(ISNUMBER(B592),ISNUMBER(I592)),B592-I592+1,"")</f>
        <v/>
      </c>
      <c r="N592" s="14" t="str">
        <f aca="false">IF(B592="","",IF(M592="","시작일 미입력",IF(M592&lt;1,"시작일 이전(확인)",IF(M592=1,"1일째",IF(M592=2,"2일째",IF(M592=3,"3일째",IF(M592&lt;=7,"일주일 이내",IF(M592&lt;=14,"이주일 이내","15일 이후"))))))))</f>
        <v/>
      </c>
      <c r="O592" s="0" t="str">
        <f aca="false">IF(AND(COUNTA($A592:$J592)&gt;0,OR(클레임조회!$C$4="",AND(ISNUMBER($B592),$B592&gt;=클레임조회!$C$4)),OR(클레임조회!$C$5="",AND(ISNUMBER($B592),$B592&lt;=클레임조회!$C$5)),OR(클레임조회!$C$6="",$C592=클레임조회!$C$6),OR(클레임조회!$C$7="",$D592=클레임조회!$C$7),OR(클레임조회!$C$8="",$E592=클레임조회!$C$8),OR(클레임조회!$C$9="",$F592=클레임조회!$C$9),OR(클레임조회!$C$10="",ISNUMBER(SEARCH(클레임조회!$C$10,$C592&amp;" "&amp;$F592&amp;" "&amp;$G592&amp;" "&amp;$H592)))),COUNT(O$1:O591)+1,"")</f>
        <v/>
      </c>
      <c r="P592" s="0" t="str">
        <f aca="false">IF(AND(TRIM(C592)&lt;&gt;"",COUNTIF(C$2:C592,C592)=1),MAX(P$1:P591)+1,"")</f>
        <v/>
      </c>
      <c r="Q592" s="0" t="str">
        <f aca="false">IF(AND(TRIM(F592)&lt;&gt;"",COUNTIF(F$2:F592,F592)=1),MAX(Q$1:Q591)+1,"")</f>
        <v/>
      </c>
    </row>
    <row r="593" customFormat="false" ht="15" hidden="false" customHeight="false" outlineLevel="0" collapsed="false">
      <c r="A593" s="9"/>
      <c r="B593" s="10"/>
      <c r="C593" s="11"/>
      <c r="D593" s="11"/>
      <c r="E593" s="11"/>
      <c r="F593" s="11"/>
      <c r="G593" s="12"/>
      <c r="H593" s="12"/>
      <c r="I593" s="10"/>
      <c r="J593" s="12"/>
      <c r="K593" s="13" t="str">
        <f aca="false">IF(ISNUMBER(B593),YEAR(B593),"")</f>
        <v/>
      </c>
      <c r="L593" s="13" t="str">
        <f aca="false">IF(ISNUMBER(B593),MONTH(B593),"")</f>
        <v/>
      </c>
      <c r="M593" s="13" t="str">
        <f aca="false">IF(AND(ISNUMBER(B593),ISNUMBER(I593)),B593-I593+1,"")</f>
        <v/>
      </c>
      <c r="N593" s="14" t="str">
        <f aca="false">IF(B593="","",IF(M593="","시작일 미입력",IF(M593&lt;1,"시작일 이전(확인)",IF(M593=1,"1일째",IF(M593=2,"2일째",IF(M593=3,"3일째",IF(M593&lt;=7,"일주일 이내",IF(M593&lt;=14,"이주일 이내","15일 이후"))))))))</f>
        <v/>
      </c>
      <c r="O593" s="0" t="str">
        <f aca="false">IF(AND(COUNTA($A593:$J593)&gt;0,OR(클레임조회!$C$4="",AND(ISNUMBER($B593),$B593&gt;=클레임조회!$C$4)),OR(클레임조회!$C$5="",AND(ISNUMBER($B593),$B593&lt;=클레임조회!$C$5)),OR(클레임조회!$C$6="",$C593=클레임조회!$C$6),OR(클레임조회!$C$7="",$D593=클레임조회!$C$7),OR(클레임조회!$C$8="",$E593=클레임조회!$C$8),OR(클레임조회!$C$9="",$F593=클레임조회!$C$9),OR(클레임조회!$C$10="",ISNUMBER(SEARCH(클레임조회!$C$10,$C593&amp;" "&amp;$F593&amp;" "&amp;$G593&amp;" "&amp;$H593)))),COUNT(O$1:O592)+1,"")</f>
        <v/>
      </c>
      <c r="P593" s="0" t="str">
        <f aca="false">IF(AND(TRIM(C593)&lt;&gt;"",COUNTIF(C$2:C593,C593)=1),MAX(P$1:P592)+1,"")</f>
        <v/>
      </c>
      <c r="Q593" s="0" t="str">
        <f aca="false">IF(AND(TRIM(F593)&lt;&gt;"",COUNTIF(F$2:F593,F593)=1),MAX(Q$1:Q592)+1,"")</f>
        <v/>
      </c>
    </row>
    <row r="594" customFormat="false" ht="15" hidden="false" customHeight="false" outlineLevel="0" collapsed="false">
      <c r="A594" s="9"/>
      <c r="B594" s="10"/>
      <c r="C594" s="11"/>
      <c r="D594" s="11"/>
      <c r="E594" s="11"/>
      <c r="F594" s="11"/>
      <c r="G594" s="12"/>
      <c r="H594" s="12"/>
      <c r="I594" s="10"/>
      <c r="J594" s="12"/>
      <c r="K594" s="13" t="str">
        <f aca="false">IF(ISNUMBER(B594),YEAR(B594),"")</f>
        <v/>
      </c>
      <c r="L594" s="13" t="str">
        <f aca="false">IF(ISNUMBER(B594),MONTH(B594),"")</f>
        <v/>
      </c>
      <c r="M594" s="13" t="str">
        <f aca="false">IF(AND(ISNUMBER(B594),ISNUMBER(I594)),B594-I594+1,"")</f>
        <v/>
      </c>
      <c r="N594" s="14" t="str">
        <f aca="false">IF(B594="","",IF(M594="","시작일 미입력",IF(M594&lt;1,"시작일 이전(확인)",IF(M594=1,"1일째",IF(M594=2,"2일째",IF(M594=3,"3일째",IF(M594&lt;=7,"일주일 이내",IF(M594&lt;=14,"이주일 이내","15일 이후"))))))))</f>
        <v/>
      </c>
      <c r="O594" s="0" t="str">
        <f aca="false">IF(AND(COUNTA($A594:$J594)&gt;0,OR(클레임조회!$C$4="",AND(ISNUMBER($B594),$B594&gt;=클레임조회!$C$4)),OR(클레임조회!$C$5="",AND(ISNUMBER($B594),$B594&lt;=클레임조회!$C$5)),OR(클레임조회!$C$6="",$C594=클레임조회!$C$6),OR(클레임조회!$C$7="",$D594=클레임조회!$C$7),OR(클레임조회!$C$8="",$E594=클레임조회!$C$8),OR(클레임조회!$C$9="",$F594=클레임조회!$C$9),OR(클레임조회!$C$10="",ISNUMBER(SEARCH(클레임조회!$C$10,$C594&amp;" "&amp;$F594&amp;" "&amp;$G594&amp;" "&amp;$H594)))),COUNT(O$1:O593)+1,"")</f>
        <v/>
      </c>
      <c r="P594" s="0" t="str">
        <f aca="false">IF(AND(TRIM(C594)&lt;&gt;"",COUNTIF(C$2:C594,C594)=1),MAX(P$1:P593)+1,"")</f>
        <v/>
      </c>
      <c r="Q594" s="0" t="str">
        <f aca="false">IF(AND(TRIM(F594)&lt;&gt;"",COUNTIF(F$2:F594,F594)=1),MAX(Q$1:Q593)+1,"")</f>
        <v/>
      </c>
    </row>
    <row r="595" customFormat="false" ht="15" hidden="false" customHeight="false" outlineLevel="0" collapsed="false">
      <c r="A595" s="9"/>
      <c r="B595" s="10"/>
      <c r="C595" s="11"/>
      <c r="D595" s="11"/>
      <c r="E595" s="11"/>
      <c r="F595" s="11"/>
      <c r="G595" s="12"/>
      <c r="H595" s="12"/>
      <c r="I595" s="10"/>
      <c r="J595" s="12"/>
      <c r="K595" s="13" t="str">
        <f aca="false">IF(ISNUMBER(B595),YEAR(B595),"")</f>
        <v/>
      </c>
      <c r="L595" s="13" t="str">
        <f aca="false">IF(ISNUMBER(B595),MONTH(B595),"")</f>
        <v/>
      </c>
      <c r="M595" s="13" t="str">
        <f aca="false">IF(AND(ISNUMBER(B595),ISNUMBER(I595)),B595-I595+1,"")</f>
        <v/>
      </c>
      <c r="N595" s="14" t="str">
        <f aca="false">IF(B595="","",IF(M595="","시작일 미입력",IF(M595&lt;1,"시작일 이전(확인)",IF(M595=1,"1일째",IF(M595=2,"2일째",IF(M595=3,"3일째",IF(M595&lt;=7,"일주일 이내",IF(M595&lt;=14,"이주일 이내","15일 이후"))))))))</f>
        <v/>
      </c>
      <c r="O595" s="0" t="str">
        <f aca="false">IF(AND(COUNTA($A595:$J595)&gt;0,OR(클레임조회!$C$4="",AND(ISNUMBER($B595),$B595&gt;=클레임조회!$C$4)),OR(클레임조회!$C$5="",AND(ISNUMBER($B595),$B595&lt;=클레임조회!$C$5)),OR(클레임조회!$C$6="",$C595=클레임조회!$C$6),OR(클레임조회!$C$7="",$D595=클레임조회!$C$7),OR(클레임조회!$C$8="",$E595=클레임조회!$C$8),OR(클레임조회!$C$9="",$F595=클레임조회!$C$9),OR(클레임조회!$C$10="",ISNUMBER(SEARCH(클레임조회!$C$10,$C595&amp;" "&amp;$F595&amp;" "&amp;$G595&amp;" "&amp;$H595)))),COUNT(O$1:O594)+1,"")</f>
        <v/>
      </c>
      <c r="P595" s="0" t="str">
        <f aca="false">IF(AND(TRIM(C595)&lt;&gt;"",COUNTIF(C$2:C595,C595)=1),MAX(P$1:P594)+1,"")</f>
        <v/>
      </c>
      <c r="Q595" s="0" t="str">
        <f aca="false">IF(AND(TRIM(F595)&lt;&gt;"",COUNTIF(F$2:F595,F595)=1),MAX(Q$1:Q594)+1,"")</f>
        <v/>
      </c>
    </row>
    <row r="596" customFormat="false" ht="15" hidden="false" customHeight="false" outlineLevel="0" collapsed="false">
      <c r="A596" s="9"/>
      <c r="B596" s="10"/>
      <c r="C596" s="11"/>
      <c r="D596" s="11"/>
      <c r="E596" s="11"/>
      <c r="F596" s="11"/>
      <c r="G596" s="12"/>
      <c r="H596" s="12"/>
      <c r="I596" s="10"/>
      <c r="J596" s="12"/>
      <c r="K596" s="13" t="str">
        <f aca="false">IF(ISNUMBER(B596),YEAR(B596),"")</f>
        <v/>
      </c>
      <c r="L596" s="13" t="str">
        <f aca="false">IF(ISNUMBER(B596),MONTH(B596),"")</f>
        <v/>
      </c>
      <c r="M596" s="13" t="str">
        <f aca="false">IF(AND(ISNUMBER(B596),ISNUMBER(I596)),B596-I596+1,"")</f>
        <v/>
      </c>
      <c r="N596" s="14" t="str">
        <f aca="false">IF(B596="","",IF(M596="","시작일 미입력",IF(M596&lt;1,"시작일 이전(확인)",IF(M596=1,"1일째",IF(M596=2,"2일째",IF(M596=3,"3일째",IF(M596&lt;=7,"일주일 이내",IF(M596&lt;=14,"이주일 이내","15일 이후"))))))))</f>
        <v/>
      </c>
      <c r="O596" s="0" t="str">
        <f aca="false">IF(AND(COUNTA($A596:$J596)&gt;0,OR(클레임조회!$C$4="",AND(ISNUMBER($B596),$B596&gt;=클레임조회!$C$4)),OR(클레임조회!$C$5="",AND(ISNUMBER($B596),$B596&lt;=클레임조회!$C$5)),OR(클레임조회!$C$6="",$C596=클레임조회!$C$6),OR(클레임조회!$C$7="",$D596=클레임조회!$C$7),OR(클레임조회!$C$8="",$E596=클레임조회!$C$8),OR(클레임조회!$C$9="",$F596=클레임조회!$C$9),OR(클레임조회!$C$10="",ISNUMBER(SEARCH(클레임조회!$C$10,$C596&amp;" "&amp;$F596&amp;" "&amp;$G596&amp;" "&amp;$H596)))),COUNT(O$1:O595)+1,"")</f>
        <v/>
      </c>
      <c r="P596" s="0" t="str">
        <f aca="false">IF(AND(TRIM(C596)&lt;&gt;"",COUNTIF(C$2:C596,C596)=1),MAX(P$1:P595)+1,"")</f>
        <v/>
      </c>
      <c r="Q596" s="0" t="str">
        <f aca="false">IF(AND(TRIM(F596)&lt;&gt;"",COUNTIF(F$2:F596,F596)=1),MAX(Q$1:Q595)+1,"")</f>
        <v/>
      </c>
    </row>
    <row r="597" customFormat="false" ht="15" hidden="false" customHeight="false" outlineLevel="0" collapsed="false">
      <c r="A597" s="9"/>
      <c r="B597" s="10"/>
      <c r="C597" s="11"/>
      <c r="D597" s="11"/>
      <c r="E597" s="11"/>
      <c r="F597" s="11"/>
      <c r="G597" s="12"/>
      <c r="H597" s="12"/>
      <c r="I597" s="10"/>
      <c r="J597" s="12"/>
      <c r="K597" s="13" t="str">
        <f aca="false">IF(ISNUMBER(B597),YEAR(B597),"")</f>
        <v/>
      </c>
      <c r="L597" s="13" t="str">
        <f aca="false">IF(ISNUMBER(B597),MONTH(B597),"")</f>
        <v/>
      </c>
      <c r="M597" s="13" t="str">
        <f aca="false">IF(AND(ISNUMBER(B597),ISNUMBER(I597)),B597-I597+1,"")</f>
        <v/>
      </c>
      <c r="N597" s="14" t="str">
        <f aca="false">IF(B597="","",IF(M597="","시작일 미입력",IF(M597&lt;1,"시작일 이전(확인)",IF(M597=1,"1일째",IF(M597=2,"2일째",IF(M597=3,"3일째",IF(M597&lt;=7,"일주일 이내",IF(M597&lt;=14,"이주일 이내","15일 이후"))))))))</f>
        <v/>
      </c>
      <c r="O597" s="0" t="str">
        <f aca="false">IF(AND(COUNTA($A597:$J597)&gt;0,OR(클레임조회!$C$4="",AND(ISNUMBER($B597),$B597&gt;=클레임조회!$C$4)),OR(클레임조회!$C$5="",AND(ISNUMBER($B597),$B597&lt;=클레임조회!$C$5)),OR(클레임조회!$C$6="",$C597=클레임조회!$C$6),OR(클레임조회!$C$7="",$D597=클레임조회!$C$7),OR(클레임조회!$C$8="",$E597=클레임조회!$C$8),OR(클레임조회!$C$9="",$F597=클레임조회!$C$9),OR(클레임조회!$C$10="",ISNUMBER(SEARCH(클레임조회!$C$10,$C597&amp;" "&amp;$F597&amp;" "&amp;$G597&amp;" "&amp;$H597)))),COUNT(O$1:O596)+1,"")</f>
        <v/>
      </c>
      <c r="P597" s="0" t="str">
        <f aca="false">IF(AND(TRIM(C597)&lt;&gt;"",COUNTIF(C$2:C597,C597)=1),MAX(P$1:P596)+1,"")</f>
        <v/>
      </c>
      <c r="Q597" s="0" t="str">
        <f aca="false">IF(AND(TRIM(F597)&lt;&gt;"",COUNTIF(F$2:F597,F597)=1),MAX(Q$1:Q596)+1,"")</f>
        <v/>
      </c>
    </row>
    <row r="598" customFormat="false" ht="15" hidden="false" customHeight="false" outlineLevel="0" collapsed="false">
      <c r="A598" s="9"/>
      <c r="B598" s="10"/>
      <c r="C598" s="11"/>
      <c r="D598" s="11"/>
      <c r="E598" s="11"/>
      <c r="F598" s="11"/>
      <c r="G598" s="12"/>
      <c r="H598" s="12"/>
      <c r="I598" s="10"/>
      <c r="J598" s="12"/>
      <c r="K598" s="13" t="str">
        <f aca="false">IF(ISNUMBER(B598),YEAR(B598),"")</f>
        <v/>
      </c>
      <c r="L598" s="13" t="str">
        <f aca="false">IF(ISNUMBER(B598),MONTH(B598),"")</f>
        <v/>
      </c>
      <c r="M598" s="13" t="str">
        <f aca="false">IF(AND(ISNUMBER(B598),ISNUMBER(I598)),B598-I598+1,"")</f>
        <v/>
      </c>
      <c r="N598" s="14" t="str">
        <f aca="false">IF(B598="","",IF(M598="","시작일 미입력",IF(M598&lt;1,"시작일 이전(확인)",IF(M598=1,"1일째",IF(M598=2,"2일째",IF(M598=3,"3일째",IF(M598&lt;=7,"일주일 이내",IF(M598&lt;=14,"이주일 이내","15일 이후"))))))))</f>
        <v/>
      </c>
      <c r="O598" s="0" t="str">
        <f aca="false">IF(AND(COUNTA($A598:$J598)&gt;0,OR(클레임조회!$C$4="",AND(ISNUMBER($B598),$B598&gt;=클레임조회!$C$4)),OR(클레임조회!$C$5="",AND(ISNUMBER($B598),$B598&lt;=클레임조회!$C$5)),OR(클레임조회!$C$6="",$C598=클레임조회!$C$6),OR(클레임조회!$C$7="",$D598=클레임조회!$C$7),OR(클레임조회!$C$8="",$E598=클레임조회!$C$8),OR(클레임조회!$C$9="",$F598=클레임조회!$C$9),OR(클레임조회!$C$10="",ISNUMBER(SEARCH(클레임조회!$C$10,$C598&amp;" "&amp;$F598&amp;" "&amp;$G598&amp;" "&amp;$H598)))),COUNT(O$1:O597)+1,"")</f>
        <v/>
      </c>
      <c r="P598" s="0" t="str">
        <f aca="false">IF(AND(TRIM(C598)&lt;&gt;"",COUNTIF(C$2:C598,C598)=1),MAX(P$1:P597)+1,"")</f>
        <v/>
      </c>
      <c r="Q598" s="0" t="str">
        <f aca="false">IF(AND(TRIM(F598)&lt;&gt;"",COUNTIF(F$2:F598,F598)=1),MAX(Q$1:Q597)+1,"")</f>
        <v/>
      </c>
    </row>
    <row r="599" customFormat="false" ht="15" hidden="false" customHeight="false" outlineLevel="0" collapsed="false">
      <c r="A599" s="9"/>
      <c r="B599" s="10"/>
      <c r="C599" s="11"/>
      <c r="D599" s="11"/>
      <c r="E599" s="11"/>
      <c r="F599" s="11"/>
      <c r="G599" s="12"/>
      <c r="H599" s="12"/>
      <c r="I599" s="10"/>
      <c r="J599" s="12"/>
      <c r="K599" s="13" t="str">
        <f aca="false">IF(ISNUMBER(B599),YEAR(B599),"")</f>
        <v/>
      </c>
      <c r="L599" s="13" t="str">
        <f aca="false">IF(ISNUMBER(B599),MONTH(B599),"")</f>
        <v/>
      </c>
      <c r="M599" s="13" t="str">
        <f aca="false">IF(AND(ISNUMBER(B599),ISNUMBER(I599)),B599-I599+1,"")</f>
        <v/>
      </c>
      <c r="N599" s="14" t="str">
        <f aca="false">IF(B599="","",IF(M599="","시작일 미입력",IF(M599&lt;1,"시작일 이전(확인)",IF(M599=1,"1일째",IF(M599=2,"2일째",IF(M599=3,"3일째",IF(M599&lt;=7,"일주일 이내",IF(M599&lt;=14,"이주일 이내","15일 이후"))))))))</f>
        <v/>
      </c>
      <c r="O599" s="0" t="str">
        <f aca="false">IF(AND(COUNTA($A599:$J599)&gt;0,OR(클레임조회!$C$4="",AND(ISNUMBER($B599),$B599&gt;=클레임조회!$C$4)),OR(클레임조회!$C$5="",AND(ISNUMBER($B599),$B599&lt;=클레임조회!$C$5)),OR(클레임조회!$C$6="",$C599=클레임조회!$C$6),OR(클레임조회!$C$7="",$D599=클레임조회!$C$7),OR(클레임조회!$C$8="",$E599=클레임조회!$C$8),OR(클레임조회!$C$9="",$F599=클레임조회!$C$9),OR(클레임조회!$C$10="",ISNUMBER(SEARCH(클레임조회!$C$10,$C599&amp;" "&amp;$F599&amp;" "&amp;$G599&amp;" "&amp;$H599)))),COUNT(O$1:O598)+1,"")</f>
        <v/>
      </c>
      <c r="P599" s="0" t="str">
        <f aca="false">IF(AND(TRIM(C599)&lt;&gt;"",COUNTIF(C$2:C599,C599)=1),MAX(P$1:P598)+1,"")</f>
        <v/>
      </c>
      <c r="Q599" s="0" t="str">
        <f aca="false">IF(AND(TRIM(F599)&lt;&gt;"",COUNTIF(F$2:F599,F599)=1),MAX(Q$1:Q598)+1,"")</f>
        <v/>
      </c>
    </row>
    <row r="600" customFormat="false" ht="15" hidden="false" customHeight="false" outlineLevel="0" collapsed="false">
      <c r="A600" s="9"/>
      <c r="B600" s="10"/>
      <c r="C600" s="11"/>
      <c r="D600" s="11"/>
      <c r="E600" s="11"/>
      <c r="F600" s="11"/>
      <c r="G600" s="12"/>
      <c r="H600" s="12"/>
      <c r="I600" s="10"/>
      <c r="J600" s="12"/>
      <c r="K600" s="13" t="str">
        <f aca="false">IF(ISNUMBER(B600),YEAR(B600),"")</f>
        <v/>
      </c>
      <c r="L600" s="13" t="str">
        <f aca="false">IF(ISNUMBER(B600),MONTH(B600),"")</f>
        <v/>
      </c>
      <c r="M600" s="13" t="str">
        <f aca="false">IF(AND(ISNUMBER(B600),ISNUMBER(I600)),B600-I600+1,"")</f>
        <v/>
      </c>
      <c r="N600" s="14" t="str">
        <f aca="false">IF(B600="","",IF(M600="","시작일 미입력",IF(M600&lt;1,"시작일 이전(확인)",IF(M600=1,"1일째",IF(M600=2,"2일째",IF(M600=3,"3일째",IF(M600&lt;=7,"일주일 이내",IF(M600&lt;=14,"이주일 이내","15일 이후"))))))))</f>
        <v/>
      </c>
      <c r="O600" s="0" t="str">
        <f aca="false">IF(AND(COUNTA($A600:$J600)&gt;0,OR(클레임조회!$C$4="",AND(ISNUMBER($B600),$B600&gt;=클레임조회!$C$4)),OR(클레임조회!$C$5="",AND(ISNUMBER($B600),$B600&lt;=클레임조회!$C$5)),OR(클레임조회!$C$6="",$C600=클레임조회!$C$6),OR(클레임조회!$C$7="",$D600=클레임조회!$C$7),OR(클레임조회!$C$8="",$E600=클레임조회!$C$8),OR(클레임조회!$C$9="",$F600=클레임조회!$C$9),OR(클레임조회!$C$10="",ISNUMBER(SEARCH(클레임조회!$C$10,$C600&amp;" "&amp;$F600&amp;" "&amp;$G600&amp;" "&amp;$H600)))),COUNT(O$1:O599)+1,"")</f>
        <v/>
      </c>
      <c r="P600" s="0" t="str">
        <f aca="false">IF(AND(TRIM(C600)&lt;&gt;"",COUNTIF(C$2:C600,C600)=1),MAX(P$1:P599)+1,"")</f>
        <v/>
      </c>
      <c r="Q600" s="0" t="str">
        <f aca="false">IF(AND(TRIM(F600)&lt;&gt;"",COUNTIF(F$2:F600,F600)=1),MAX(Q$1:Q599)+1,"")</f>
        <v/>
      </c>
    </row>
    <row r="601" customFormat="false" ht="15" hidden="false" customHeight="false" outlineLevel="0" collapsed="false">
      <c r="A601" s="9"/>
      <c r="B601" s="10"/>
      <c r="C601" s="11"/>
      <c r="D601" s="11"/>
      <c r="E601" s="11"/>
      <c r="F601" s="11"/>
      <c r="G601" s="12"/>
      <c r="H601" s="12"/>
      <c r="I601" s="10"/>
      <c r="J601" s="12"/>
      <c r="K601" s="13" t="str">
        <f aca="false">IF(ISNUMBER(B601),YEAR(B601),"")</f>
        <v/>
      </c>
      <c r="L601" s="13" t="str">
        <f aca="false">IF(ISNUMBER(B601),MONTH(B601),"")</f>
        <v/>
      </c>
      <c r="M601" s="13" t="str">
        <f aca="false">IF(AND(ISNUMBER(B601),ISNUMBER(I601)),B601-I601+1,"")</f>
        <v/>
      </c>
      <c r="N601" s="14" t="str">
        <f aca="false">IF(B601="","",IF(M601="","시작일 미입력",IF(M601&lt;1,"시작일 이전(확인)",IF(M601=1,"1일째",IF(M601=2,"2일째",IF(M601=3,"3일째",IF(M601&lt;=7,"일주일 이내",IF(M601&lt;=14,"이주일 이내","15일 이후"))))))))</f>
        <v/>
      </c>
      <c r="O601" s="0" t="str">
        <f aca="false">IF(AND(COUNTA($A601:$J601)&gt;0,OR(클레임조회!$C$4="",AND(ISNUMBER($B601),$B601&gt;=클레임조회!$C$4)),OR(클레임조회!$C$5="",AND(ISNUMBER($B601),$B601&lt;=클레임조회!$C$5)),OR(클레임조회!$C$6="",$C601=클레임조회!$C$6),OR(클레임조회!$C$7="",$D601=클레임조회!$C$7),OR(클레임조회!$C$8="",$E601=클레임조회!$C$8),OR(클레임조회!$C$9="",$F601=클레임조회!$C$9),OR(클레임조회!$C$10="",ISNUMBER(SEARCH(클레임조회!$C$10,$C601&amp;" "&amp;$F601&amp;" "&amp;$G601&amp;" "&amp;$H601)))),COUNT(O$1:O600)+1,"")</f>
        <v/>
      </c>
      <c r="P601" s="0" t="str">
        <f aca="false">IF(AND(TRIM(C601)&lt;&gt;"",COUNTIF(C$2:C601,C601)=1),MAX(P$1:P600)+1,"")</f>
        <v/>
      </c>
      <c r="Q601" s="0" t="str">
        <f aca="false">IF(AND(TRIM(F601)&lt;&gt;"",COUNTIF(F$2:F601,F601)=1),MAX(Q$1:Q600)+1,"")</f>
        <v/>
      </c>
    </row>
    <row r="602" customFormat="false" ht="15" hidden="false" customHeight="false" outlineLevel="0" collapsed="false">
      <c r="A602" s="9"/>
      <c r="B602" s="10"/>
      <c r="C602" s="11"/>
      <c r="D602" s="11"/>
      <c r="E602" s="11"/>
      <c r="F602" s="11"/>
      <c r="G602" s="12"/>
      <c r="H602" s="12"/>
      <c r="I602" s="10"/>
      <c r="J602" s="12"/>
      <c r="K602" s="13" t="str">
        <f aca="false">IF(ISNUMBER(B602),YEAR(B602),"")</f>
        <v/>
      </c>
      <c r="L602" s="13" t="str">
        <f aca="false">IF(ISNUMBER(B602),MONTH(B602),"")</f>
        <v/>
      </c>
      <c r="M602" s="13" t="str">
        <f aca="false">IF(AND(ISNUMBER(B602),ISNUMBER(I602)),B602-I602+1,"")</f>
        <v/>
      </c>
      <c r="N602" s="14" t="str">
        <f aca="false">IF(B602="","",IF(M602="","시작일 미입력",IF(M602&lt;1,"시작일 이전(확인)",IF(M602=1,"1일째",IF(M602=2,"2일째",IF(M602=3,"3일째",IF(M602&lt;=7,"일주일 이내",IF(M602&lt;=14,"이주일 이내","15일 이후"))))))))</f>
        <v/>
      </c>
      <c r="O602" s="0" t="str">
        <f aca="false">IF(AND(COUNTA($A602:$J602)&gt;0,OR(클레임조회!$C$4="",AND(ISNUMBER($B602),$B602&gt;=클레임조회!$C$4)),OR(클레임조회!$C$5="",AND(ISNUMBER($B602),$B602&lt;=클레임조회!$C$5)),OR(클레임조회!$C$6="",$C602=클레임조회!$C$6),OR(클레임조회!$C$7="",$D602=클레임조회!$C$7),OR(클레임조회!$C$8="",$E602=클레임조회!$C$8),OR(클레임조회!$C$9="",$F602=클레임조회!$C$9),OR(클레임조회!$C$10="",ISNUMBER(SEARCH(클레임조회!$C$10,$C602&amp;" "&amp;$F602&amp;" "&amp;$G602&amp;" "&amp;$H602)))),COUNT(O$1:O601)+1,"")</f>
        <v/>
      </c>
      <c r="P602" s="0" t="str">
        <f aca="false">IF(AND(TRIM(C602)&lt;&gt;"",COUNTIF(C$2:C602,C602)=1),MAX(P$1:P601)+1,"")</f>
        <v/>
      </c>
      <c r="Q602" s="0" t="str">
        <f aca="false">IF(AND(TRIM(F602)&lt;&gt;"",COUNTIF(F$2:F602,F602)=1),MAX(Q$1:Q601)+1,"")</f>
        <v/>
      </c>
    </row>
    <row r="603" customFormat="false" ht="15" hidden="false" customHeight="false" outlineLevel="0" collapsed="false">
      <c r="A603" s="9"/>
      <c r="B603" s="10"/>
      <c r="C603" s="11"/>
      <c r="D603" s="11"/>
      <c r="E603" s="11"/>
      <c r="F603" s="11"/>
      <c r="G603" s="12"/>
      <c r="H603" s="12"/>
      <c r="I603" s="10"/>
      <c r="J603" s="12"/>
      <c r="K603" s="13" t="str">
        <f aca="false">IF(ISNUMBER(B603),YEAR(B603),"")</f>
        <v/>
      </c>
      <c r="L603" s="13" t="str">
        <f aca="false">IF(ISNUMBER(B603),MONTH(B603),"")</f>
        <v/>
      </c>
      <c r="M603" s="13" t="str">
        <f aca="false">IF(AND(ISNUMBER(B603),ISNUMBER(I603)),B603-I603+1,"")</f>
        <v/>
      </c>
      <c r="N603" s="14" t="str">
        <f aca="false">IF(B603="","",IF(M603="","시작일 미입력",IF(M603&lt;1,"시작일 이전(확인)",IF(M603=1,"1일째",IF(M603=2,"2일째",IF(M603=3,"3일째",IF(M603&lt;=7,"일주일 이내",IF(M603&lt;=14,"이주일 이내","15일 이후"))))))))</f>
        <v/>
      </c>
      <c r="O603" s="0" t="str">
        <f aca="false">IF(AND(COUNTA($A603:$J603)&gt;0,OR(클레임조회!$C$4="",AND(ISNUMBER($B603),$B603&gt;=클레임조회!$C$4)),OR(클레임조회!$C$5="",AND(ISNUMBER($B603),$B603&lt;=클레임조회!$C$5)),OR(클레임조회!$C$6="",$C603=클레임조회!$C$6),OR(클레임조회!$C$7="",$D603=클레임조회!$C$7),OR(클레임조회!$C$8="",$E603=클레임조회!$C$8),OR(클레임조회!$C$9="",$F603=클레임조회!$C$9),OR(클레임조회!$C$10="",ISNUMBER(SEARCH(클레임조회!$C$10,$C603&amp;" "&amp;$F603&amp;" "&amp;$G603&amp;" "&amp;$H603)))),COUNT(O$1:O602)+1,"")</f>
        <v/>
      </c>
      <c r="P603" s="0" t="str">
        <f aca="false">IF(AND(TRIM(C603)&lt;&gt;"",COUNTIF(C$2:C603,C603)=1),MAX(P$1:P602)+1,"")</f>
        <v/>
      </c>
      <c r="Q603" s="0" t="str">
        <f aca="false">IF(AND(TRIM(F603)&lt;&gt;"",COUNTIF(F$2:F603,F603)=1),MAX(Q$1:Q602)+1,"")</f>
        <v/>
      </c>
    </row>
    <row r="604" customFormat="false" ht="15" hidden="false" customHeight="false" outlineLevel="0" collapsed="false">
      <c r="A604" s="9"/>
      <c r="B604" s="10"/>
      <c r="C604" s="11"/>
      <c r="D604" s="11"/>
      <c r="E604" s="11"/>
      <c r="F604" s="11"/>
      <c r="G604" s="12"/>
      <c r="H604" s="12"/>
      <c r="I604" s="10"/>
      <c r="J604" s="12"/>
      <c r="K604" s="13" t="str">
        <f aca="false">IF(ISNUMBER(B604),YEAR(B604),"")</f>
        <v/>
      </c>
      <c r="L604" s="13" t="str">
        <f aca="false">IF(ISNUMBER(B604),MONTH(B604),"")</f>
        <v/>
      </c>
      <c r="M604" s="13" t="str">
        <f aca="false">IF(AND(ISNUMBER(B604),ISNUMBER(I604)),B604-I604+1,"")</f>
        <v/>
      </c>
      <c r="N604" s="14" t="str">
        <f aca="false">IF(B604="","",IF(M604="","시작일 미입력",IF(M604&lt;1,"시작일 이전(확인)",IF(M604=1,"1일째",IF(M604=2,"2일째",IF(M604=3,"3일째",IF(M604&lt;=7,"일주일 이내",IF(M604&lt;=14,"이주일 이내","15일 이후"))))))))</f>
        <v/>
      </c>
      <c r="O604" s="0" t="str">
        <f aca="false">IF(AND(COUNTA($A604:$J604)&gt;0,OR(클레임조회!$C$4="",AND(ISNUMBER($B604),$B604&gt;=클레임조회!$C$4)),OR(클레임조회!$C$5="",AND(ISNUMBER($B604),$B604&lt;=클레임조회!$C$5)),OR(클레임조회!$C$6="",$C604=클레임조회!$C$6),OR(클레임조회!$C$7="",$D604=클레임조회!$C$7),OR(클레임조회!$C$8="",$E604=클레임조회!$C$8),OR(클레임조회!$C$9="",$F604=클레임조회!$C$9),OR(클레임조회!$C$10="",ISNUMBER(SEARCH(클레임조회!$C$10,$C604&amp;" "&amp;$F604&amp;" "&amp;$G604&amp;" "&amp;$H604)))),COUNT(O$1:O603)+1,"")</f>
        <v/>
      </c>
      <c r="P604" s="0" t="str">
        <f aca="false">IF(AND(TRIM(C604)&lt;&gt;"",COUNTIF(C$2:C604,C604)=1),MAX(P$1:P603)+1,"")</f>
        <v/>
      </c>
      <c r="Q604" s="0" t="str">
        <f aca="false">IF(AND(TRIM(F604)&lt;&gt;"",COUNTIF(F$2:F604,F604)=1),MAX(Q$1:Q603)+1,"")</f>
        <v/>
      </c>
    </row>
    <row r="605" customFormat="false" ht="15" hidden="false" customHeight="false" outlineLevel="0" collapsed="false">
      <c r="A605" s="9"/>
      <c r="B605" s="10"/>
      <c r="C605" s="11"/>
      <c r="D605" s="11"/>
      <c r="E605" s="11"/>
      <c r="F605" s="11"/>
      <c r="G605" s="12"/>
      <c r="H605" s="12"/>
      <c r="I605" s="10"/>
      <c r="J605" s="12"/>
      <c r="K605" s="13" t="str">
        <f aca="false">IF(ISNUMBER(B605),YEAR(B605),"")</f>
        <v/>
      </c>
      <c r="L605" s="13" t="str">
        <f aca="false">IF(ISNUMBER(B605),MONTH(B605),"")</f>
        <v/>
      </c>
      <c r="M605" s="13" t="str">
        <f aca="false">IF(AND(ISNUMBER(B605),ISNUMBER(I605)),B605-I605+1,"")</f>
        <v/>
      </c>
      <c r="N605" s="14" t="str">
        <f aca="false">IF(B605="","",IF(M605="","시작일 미입력",IF(M605&lt;1,"시작일 이전(확인)",IF(M605=1,"1일째",IF(M605=2,"2일째",IF(M605=3,"3일째",IF(M605&lt;=7,"일주일 이내",IF(M605&lt;=14,"이주일 이내","15일 이후"))))))))</f>
        <v/>
      </c>
      <c r="O605" s="0" t="str">
        <f aca="false">IF(AND(COUNTA($A605:$J605)&gt;0,OR(클레임조회!$C$4="",AND(ISNUMBER($B605),$B605&gt;=클레임조회!$C$4)),OR(클레임조회!$C$5="",AND(ISNUMBER($B605),$B605&lt;=클레임조회!$C$5)),OR(클레임조회!$C$6="",$C605=클레임조회!$C$6),OR(클레임조회!$C$7="",$D605=클레임조회!$C$7),OR(클레임조회!$C$8="",$E605=클레임조회!$C$8),OR(클레임조회!$C$9="",$F605=클레임조회!$C$9),OR(클레임조회!$C$10="",ISNUMBER(SEARCH(클레임조회!$C$10,$C605&amp;" "&amp;$F605&amp;" "&amp;$G605&amp;" "&amp;$H605)))),COUNT(O$1:O604)+1,"")</f>
        <v/>
      </c>
      <c r="P605" s="0" t="str">
        <f aca="false">IF(AND(TRIM(C605)&lt;&gt;"",COUNTIF(C$2:C605,C605)=1),MAX(P$1:P604)+1,"")</f>
        <v/>
      </c>
      <c r="Q605" s="0" t="str">
        <f aca="false">IF(AND(TRIM(F605)&lt;&gt;"",COUNTIF(F$2:F605,F605)=1),MAX(Q$1:Q604)+1,"")</f>
        <v/>
      </c>
    </row>
    <row r="606" customFormat="false" ht="15" hidden="false" customHeight="false" outlineLevel="0" collapsed="false">
      <c r="A606" s="9"/>
      <c r="B606" s="10"/>
      <c r="C606" s="11"/>
      <c r="D606" s="11"/>
      <c r="E606" s="11"/>
      <c r="F606" s="11"/>
      <c r="G606" s="12"/>
      <c r="H606" s="12"/>
      <c r="I606" s="10"/>
      <c r="J606" s="12"/>
      <c r="K606" s="13" t="str">
        <f aca="false">IF(ISNUMBER(B606),YEAR(B606),"")</f>
        <v/>
      </c>
      <c r="L606" s="13" t="str">
        <f aca="false">IF(ISNUMBER(B606),MONTH(B606),"")</f>
        <v/>
      </c>
      <c r="M606" s="13" t="str">
        <f aca="false">IF(AND(ISNUMBER(B606),ISNUMBER(I606)),B606-I606+1,"")</f>
        <v/>
      </c>
      <c r="N606" s="14" t="str">
        <f aca="false">IF(B606="","",IF(M606="","시작일 미입력",IF(M606&lt;1,"시작일 이전(확인)",IF(M606=1,"1일째",IF(M606=2,"2일째",IF(M606=3,"3일째",IF(M606&lt;=7,"일주일 이내",IF(M606&lt;=14,"이주일 이내","15일 이후"))))))))</f>
        <v/>
      </c>
      <c r="O606" s="0" t="str">
        <f aca="false">IF(AND(COUNTA($A606:$J606)&gt;0,OR(클레임조회!$C$4="",AND(ISNUMBER($B606),$B606&gt;=클레임조회!$C$4)),OR(클레임조회!$C$5="",AND(ISNUMBER($B606),$B606&lt;=클레임조회!$C$5)),OR(클레임조회!$C$6="",$C606=클레임조회!$C$6),OR(클레임조회!$C$7="",$D606=클레임조회!$C$7),OR(클레임조회!$C$8="",$E606=클레임조회!$C$8),OR(클레임조회!$C$9="",$F606=클레임조회!$C$9),OR(클레임조회!$C$10="",ISNUMBER(SEARCH(클레임조회!$C$10,$C606&amp;" "&amp;$F606&amp;" "&amp;$G606&amp;" "&amp;$H606)))),COUNT(O$1:O605)+1,"")</f>
        <v/>
      </c>
      <c r="P606" s="0" t="str">
        <f aca="false">IF(AND(TRIM(C606)&lt;&gt;"",COUNTIF(C$2:C606,C606)=1),MAX(P$1:P605)+1,"")</f>
        <v/>
      </c>
      <c r="Q606" s="0" t="str">
        <f aca="false">IF(AND(TRIM(F606)&lt;&gt;"",COUNTIF(F$2:F606,F606)=1),MAX(Q$1:Q605)+1,"")</f>
        <v/>
      </c>
    </row>
    <row r="607" customFormat="false" ht="15" hidden="false" customHeight="false" outlineLevel="0" collapsed="false">
      <c r="A607" s="9"/>
      <c r="B607" s="10"/>
      <c r="C607" s="11"/>
      <c r="D607" s="11"/>
      <c r="E607" s="11"/>
      <c r="F607" s="11"/>
      <c r="G607" s="12"/>
      <c r="H607" s="12"/>
      <c r="I607" s="10"/>
      <c r="J607" s="12"/>
      <c r="K607" s="13" t="str">
        <f aca="false">IF(ISNUMBER(B607),YEAR(B607),"")</f>
        <v/>
      </c>
      <c r="L607" s="13" t="str">
        <f aca="false">IF(ISNUMBER(B607),MONTH(B607),"")</f>
        <v/>
      </c>
      <c r="M607" s="13" t="str">
        <f aca="false">IF(AND(ISNUMBER(B607),ISNUMBER(I607)),B607-I607+1,"")</f>
        <v/>
      </c>
      <c r="N607" s="14" t="str">
        <f aca="false">IF(B607="","",IF(M607="","시작일 미입력",IF(M607&lt;1,"시작일 이전(확인)",IF(M607=1,"1일째",IF(M607=2,"2일째",IF(M607=3,"3일째",IF(M607&lt;=7,"일주일 이내",IF(M607&lt;=14,"이주일 이내","15일 이후"))))))))</f>
        <v/>
      </c>
      <c r="O607" s="0" t="str">
        <f aca="false">IF(AND(COUNTA($A607:$J607)&gt;0,OR(클레임조회!$C$4="",AND(ISNUMBER($B607),$B607&gt;=클레임조회!$C$4)),OR(클레임조회!$C$5="",AND(ISNUMBER($B607),$B607&lt;=클레임조회!$C$5)),OR(클레임조회!$C$6="",$C607=클레임조회!$C$6),OR(클레임조회!$C$7="",$D607=클레임조회!$C$7),OR(클레임조회!$C$8="",$E607=클레임조회!$C$8),OR(클레임조회!$C$9="",$F607=클레임조회!$C$9),OR(클레임조회!$C$10="",ISNUMBER(SEARCH(클레임조회!$C$10,$C607&amp;" "&amp;$F607&amp;" "&amp;$G607&amp;" "&amp;$H607)))),COUNT(O$1:O606)+1,"")</f>
        <v/>
      </c>
      <c r="P607" s="0" t="str">
        <f aca="false">IF(AND(TRIM(C607)&lt;&gt;"",COUNTIF(C$2:C607,C607)=1),MAX(P$1:P606)+1,"")</f>
        <v/>
      </c>
      <c r="Q607" s="0" t="str">
        <f aca="false">IF(AND(TRIM(F607)&lt;&gt;"",COUNTIF(F$2:F607,F607)=1),MAX(Q$1:Q606)+1,"")</f>
        <v/>
      </c>
    </row>
    <row r="608" customFormat="false" ht="15" hidden="false" customHeight="false" outlineLevel="0" collapsed="false">
      <c r="A608" s="9"/>
      <c r="B608" s="10"/>
      <c r="C608" s="11"/>
      <c r="D608" s="11"/>
      <c r="E608" s="11"/>
      <c r="F608" s="11"/>
      <c r="G608" s="12"/>
      <c r="H608" s="12"/>
      <c r="I608" s="10"/>
      <c r="J608" s="12"/>
      <c r="K608" s="13" t="str">
        <f aca="false">IF(ISNUMBER(B608),YEAR(B608),"")</f>
        <v/>
      </c>
      <c r="L608" s="13" t="str">
        <f aca="false">IF(ISNUMBER(B608),MONTH(B608),"")</f>
        <v/>
      </c>
      <c r="M608" s="13" t="str">
        <f aca="false">IF(AND(ISNUMBER(B608),ISNUMBER(I608)),B608-I608+1,"")</f>
        <v/>
      </c>
      <c r="N608" s="14" t="str">
        <f aca="false">IF(B608="","",IF(M608="","시작일 미입력",IF(M608&lt;1,"시작일 이전(확인)",IF(M608=1,"1일째",IF(M608=2,"2일째",IF(M608=3,"3일째",IF(M608&lt;=7,"일주일 이내",IF(M608&lt;=14,"이주일 이내","15일 이후"))))))))</f>
        <v/>
      </c>
      <c r="O608" s="0" t="str">
        <f aca="false">IF(AND(COUNTA($A608:$J608)&gt;0,OR(클레임조회!$C$4="",AND(ISNUMBER($B608),$B608&gt;=클레임조회!$C$4)),OR(클레임조회!$C$5="",AND(ISNUMBER($B608),$B608&lt;=클레임조회!$C$5)),OR(클레임조회!$C$6="",$C608=클레임조회!$C$6),OR(클레임조회!$C$7="",$D608=클레임조회!$C$7),OR(클레임조회!$C$8="",$E608=클레임조회!$C$8),OR(클레임조회!$C$9="",$F608=클레임조회!$C$9),OR(클레임조회!$C$10="",ISNUMBER(SEARCH(클레임조회!$C$10,$C608&amp;" "&amp;$F608&amp;" "&amp;$G608&amp;" "&amp;$H608)))),COUNT(O$1:O607)+1,"")</f>
        <v/>
      </c>
      <c r="P608" s="0" t="str">
        <f aca="false">IF(AND(TRIM(C608)&lt;&gt;"",COUNTIF(C$2:C608,C608)=1),MAX(P$1:P607)+1,"")</f>
        <v/>
      </c>
      <c r="Q608" s="0" t="str">
        <f aca="false">IF(AND(TRIM(F608)&lt;&gt;"",COUNTIF(F$2:F608,F608)=1),MAX(Q$1:Q607)+1,"")</f>
        <v/>
      </c>
    </row>
    <row r="609" customFormat="false" ht="15" hidden="false" customHeight="false" outlineLevel="0" collapsed="false">
      <c r="A609" s="9"/>
      <c r="B609" s="10"/>
      <c r="C609" s="11"/>
      <c r="D609" s="11"/>
      <c r="E609" s="11"/>
      <c r="F609" s="11"/>
      <c r="G609" s="12"/>
      <c r="H609" s="12"/>
      <c r="I609" s="10"/>
      <c r="J609" s="12"/>
      <c r="K609" s="13" t="str">
        <f aca="false">IF(ISNUMBER(B609),YEAR(B609),"")</f>
        <v/>
      </c>
      <c r="L609" s="13" t="str">
        <f aca="false">IF(ISNUMBER(B609),MONTH(B609),"")</f>
        <v/>
      </c>
      <c r="M609" s="13" t="str">
        <f aca="false">IF(AND(ISNUMBER(B609),ISNUMBER(I609)),B609-I609+1,"")</f>
        <v/>
      </c>
      <c r="N609" s="14" t="str">
        <f aca="false">IF(B609="","",IF(M609="","시작일 미입력",IF(M609&lt;1,"시작일 이전(확인)",IF(M609=1,"1일째",IF(M609=2,"2일째",IF(M609=3,"3일째",IF(M609&lt;=7,"일주일 이내",IF(M609&lt;=14,"이주일 이내","15일 이후"))))))))</f>
        <v/>
      </c>
      <c r="O609" s="0" t="str">
        <f aca="false">IF(AND(COUNTA($A609:$J609)&gt;0,OR(클레임조회!$C$4="",AND(ISNUMBER($B609),$B609&gt;=클레임조회!$C$4)),OR(클레임조회!$C$5="",AND(ISNUMBER($B609),$B609&lt;=클레임조회!$C$5)),OR(클레임조회!$C$6="",$C609=클레임조회!$C$6),OR(클레임조회!$C$7="",$D609=클레임조회!$C$7),OR(클레임조회!$C$8="",$E609=클레임조회!$C$8),OR(클레임조회!$C$9="",$F609=클레임조회!$C$9),OR(클레임조회!$C$10="",ISNUMBER(SEARCH(클레임조회!$C$10,$C609&amp;" "&amp;$F609&amp;" "&amp;$G609&amp;" "&amp;$H609)))),COUNT(O$1:O608)+1,"")</f>
        <v/>
      </c>
      <c r="P609" s="0" t="str">
        <f aca="false">IF(AND(TRIM(C609)&lt;&gt;"",COUNTIF(C$2:C609,C609)=1),MAX(P$1:P608)+1,"")</f>
        <v/>
      </c>
      <c r="Q609" s="0" t="str">
        <f aca="false">IF(AND(TRIM(F609)&lt;&gt;"",COUNTIF(F$2:F609,F609)=1),MAX(Q$1:Q608)+1,"")</f>
        <v/>
      </c>
    </row>
    <row r="610" customFormat="false" ht="15" hidden="false" customHeight="false" outlineLevel="0" collapsed="false">
      <c r="A610" s="9"/>
      <c r="B610" s="10"/>
      <c r="C610" s="11"/>
      <c r="D610" s="11"/>
      <c r="E610" s="11"/>
      <c r="F610" s="11"/>
      <c r="G610" s="12"/>
      <c r="H610" s="12"/>
      <c r="I610" s="10"/>
      <c r="J610" s="12"/>
      <c r="K610" s="13" t="str">
        <f aca="false">IF(ISNUMBER(B610),YEAR(B610),"")</f>
        <v/>
      </c>
      <c r="L610" s="13" t="str">
        <f aca="false">IF(ISNUMBER(B610),MONTH(B610),"")</f>
        <v/>
      </c>
      <c r="M610" s="13" t="str">
        <f aca="false">IF(AND(ISNUMBER(B610),ISNUMBER(I610)),B610-I610+1,"")</f>
        <v/>
      </c>
      <c r="N610" s="14" t="str">
        <f aca="false">IF(B610="","",IF(M610="","시작일 미입력",IF(M610&lt;1,"시작일 이전(확인)",IF(M610=1,"1일째",IF(M610=2,"2일째",IF(M610=3,"3일째",IF(M610&lt;=7,"일주일 이내",IF(M610&lt;=14,"이주일 이내","15일 이후"))))))))</f>
        <v/>
      </c>
      <c r="O610" s="0" t="str">
        <f aca="false">IF(AND(COUNTA($A610:$J610)&gt;0,OR(클레임조회!$C$4="",AND(ISNUMBER($B610),$B610&gt;=클레임조회!$C$4)),OR(클레임조회!$C$5="",AND(ISNUMBER($B610),$B610&lt;=클레임조회!$C$5)),OR(클레임조회!$C$6="",$C610=클레임조회!$C$6),OR(클레임조회!$C$7="",$D610=클레임조회!$C$7),OR(클레임조회!$C$8="",$E610=클레임조회!$C$8),OR(클레임조회!$C$9="",$F610=클레임조회!$C$9),OR(클레임조회!$C$10="",ISNUMBER(SEARCH(클레임조회!$C$10,$C610&amp;" "&amp;$F610&amp;" "&amp;$G610&amp;" "&amp;$H610)))),COUNT(O$1:O609)+1,"")</f>
        <v/>
      </c>
      <c r="P610" s="0" t="str">
        <f aca="false">IF(AND(TRIM(C610)&lt;&gt;"",COUNTIF(C$2:C610,C610)=1),MAX(P$1:P609)+1,"")</f>
        <v/>
      </c>
      <c r="Q610" s="0" t="str">
        <f aca="false">IF(AND(TRIM(F610)&lt;&gt;"",COUNTIF(F$2:F610,F610)=1),MAX(Q$1:Q609)+1,"")</f>
        <v/>
      </c>
    </row>
    <row r="611" customFormat="false" ht="15" hidden="false" customHeight="false" outlineLevel="0" collapsed="false">
      <c r="A611" s="9"/>
      <c r="B611" s="10"/>
      <c r="C611" s="11"/>
      <c r="D611" s="11"/>
      <c r="E611" s="11"/>
      <c r="F611" s="11"/>
      <c r="G611" s="12"/>
      <c r="H611" s="12"/>
      <c r="I611" s="10"/>
      <c r="J611" s="12"/>
      <c r="K611" s="13" t="str">
        <f aca="false">IF(ISNUMBER(B611),YEAR(B611),"")</f>
        <v/>
      </c>
      <c r="L611" s="13" t="str">
        <f aca="false">IF(ISNUMBER(B611),MONTH(B611),"")</f>
        <v/>
      </c>
      <c r="M611" s="13" t="str">
        <f aca="false">IF(AND(ISNUMBER(B611),ISNUMBER(I611)),B611-I611+1,"")</f>
        <v/>
      </c>
      <c r="N611" s="14" t="str">
        <f aca="false">IF(B611="","",IF(M611="","시작일 미입력",IF(M611&lt;1,"시작일 이전(확인)",IF(M611=1,"1일째",IF(M611=2,"2일째",IF(M611=3,"3일째",IF(M611&lt;=7,"일주일 이내",IF(M611&lt;=14,"이주일 이내","15일 이후"))))))))</f>
        <v/>
      </c>
      <c r="O611" s="0" t="str">
        <f aca="false">IF(AND(COUNTA($A611:$J611)&gt;0,OR(클레임조회!$C$4="",AND(ISNUMBER($B611),$B611&gt;=클레임조회!$C$4)),OR(클레임조회!$C$5="",AND(ISNUMBER($B611),$B611&lt;=클레임조회!$C$5)),OR(클레임조회!$C$6="",$C611=클레임조회!$C$6),OR(클레임조회!$C$7="",$D611=클레임조회!$C$7),OR(클레임조회!$C$8="",$E611=클레임조회!$C$8),OR(클레임조회!$C$9="",$F611=클레임조회!$C$9),OR(클레임조회!$C$10="",ISNUMBER(SEARCH(클레임조회!$C$10,$C611&amp;" "&amp;$F611&amp;" "&amp;$G611&amp;" "&amp;$H611)))),COUNT(O$1:O610)+1,"")</f>
        <v/>
      </c>
      <c r="P611" s="0" t="str">
        <f aca="false">IF(AND(TRIM(C611)&lt;&gt;"",COUNTIF(C$2:C611,C611)=1),MAX(P$1:P610)+1,"")</f>
        <v/>
      </c>
      <c r="Q611" s="0" t="str">
        <f aca="false">IF(AND(TRIM(F611)&lt;&gt;"",COUNTIF(F$2:F611,F611)=1),MAX(Q$1:Q610)+1,"")</f>
        <v/>
      </c>
    </row>
    <row r="612" customFormat="false" ht="15" hidden="false" customHeight="false" outlineLevel="0" collapsed="false">
      <c r="A612" s="9"/>
      <c r="B612" s="10"/>
      <c r="C612" s="11"/>
      <c r="D612" s="11"/>
      <c r="E612" s="11"/>
      <c r="F612" s="11"/>
      <c r="G612" s="12"/>
      <c r="H612" s="12"/>
      <c r="I612" s="10"/>
      <c r="J612" s="12"/>
      <c r="K612" s="13" t="str">
        <f aca="false">IF(ISNUMBER(B612),YEAR(B612),"")</f>
        <v/>
      </c>
      <c r="L612" s="13" t="str">
        <f aca="false">IF(ISNUMBER(B612),MONTH(B612),"")</f>
        <v/>
      </c>
      <c r="M612" s="13" t="str">
        <f aca="false">IF(AND(ISNUMBER(B612),ISNUMBER(I612)),B612-I612+1,"")</f>
        <v/>
      </c>
      <c r="N612" s="14" t="str">
        <f aca="false">IF(B612="","",IF(M612="","시작일 미입력",IF(M612&lt;1,"시작일 이전(확인)",IF(M612=1,"1일째",IF(M612=2,"2일째",IF(M612=3,"3일째",IF(M612&lt;=7,"일주일 이내",IF(M612&lt;=14,"이주일 이내","15일 이후"))))))))</f>
        <v/>
      </c>
      <c r="O612" s="0" t="str">
        <f aca="false">IF(AND(COUNTA($A612:$J612)&gt;0,OR(클레임조회!$C$4="",AND(ISNUMBER($B612),$B612&gt;=클레임조회!$C$4)),OR(클레임조회!$C$5="",AND(ISNUMBER($B612),$B612&lt;=클레임조회!$C$5)),OR(클레임조회!$C$6="",$C612=클레임조회!$C$6),OR(클레임조회!$C$7="",$D612=클레임조회!$C$7),OR(클레임조회!$C$8="",$E612=클레임조회!$C$8),OR(클레임조회!$C$9="",$F612=클레임조회!$C$9),OR(클레임조회!$C$10="",ISNUMBER(SEARCH(클레임조회!$C$10,$C612&amp;" "&amp;$F612&amp;" "&amp;$G612&amp;" "&amp;$H612)))),COUNT(O$1:O611)+1,"")</f>
        <v/>
      </c>
      <c r="P612" s="0" t="str">
        <f aca="false">IF(AND(TRIM(C612)&lt;&gt;"",COUNTIF(C$2:C612,C612)=1),MAX(P$1:P611)+1,"")</f>
        <v/>
      </c>
      <c r="Q612" s="0" t="str">
        <f aca="false">IF(AND(TRIM(F612)&lt;&gt;"",COUNTIF(F$2:F612,F612)=1),MAX(Q$1:Q611)+1,"")</f>
        <v/>
      </c>
    </row>
    <row r="613" customFormat="false" ht="15" hidden="false" customHeight="false" outlineLevel="0" collapsed="false">
      <c r="A613" s="9"/>
      <c r="B613" s="10"/>
      <c r="C613" s="11"/>
      <c r="D613" s="11"/>
      <c r="E613" s="11"/>
      <c r="F613" s="11"/>
      <c r="G613" s="12"/>
      <c r="H613" s="12"/>
      <c r="I613" s="10"/>
      <c r="J613" s="12"/>
      <c r="K613" s="13" t="str">
        <f aca="false">IF(ISNUMBER(B613),YEAR(B613),"")</f>
        <v/>
      </c>
      <c r="L613" s="13" t="str">
        <f aca="false">IF(ISNUMBER(B613),MONTH(B613),"")</f>
        <v/>
      </c>
      <c r="M613" s="13" t="str">
        <f aca="false">IF(AND(ISNUMBER(B613),ISNUMBER(I613)),B613-I613+1,"")</f>
        <v/>
      </c>
      <c r="N613" s="14" t="str">
        <f aca="false">IF(B613="","",IF(M613="","시작일 미입력",IF(M613&lt;1,"시작일 이전(확인)",IF(M613=1,"1일째",IF(M613=2,"2일째",IF(M613=3,"3일째",IF(M613&lt;=7,"일주일 이내",IF(M613&lt;=14,"이주일 이내","15일 이후"))))))))</f>
        <v/>
      </c>
      <c r="O613" s="0" t="str">
        <f aca="false">IF(AND(COUNTA($A613:$J613)&gt;0,OR(클레임조회!$C$4="",AND(ISNUMBER($B613),$B613&gt;=클레임조회!$C$4)),OR(클레임조회!$C$5="",AND(ISNUMBER($B613),$B613&lt;=클레임조회!$C$5)),OR(클레임조회!$C$6="",$C613=클레임조회!$C$6),OR(클레임조회!$C$7="",$D613=클레임조회!$C$7),OR(클레임조회!$C$8="",$E613=클레임조회!$C$8),OR(클레임조회!$C$9="",$F613=클레임조회!$C$9),OR(클레임조회!$C$10="",ISNUMBER(SEARCH(클레임조회!$C$10,$C613&amp;" "&amp;$F613&amp;" "&amp;$G613&amp;" "&amp;$H613)))),COUNT(O$1:O612)+1,"")</f>
        <v/>
      </c>
      <c r="P613" s="0" t="str">
        <f aca="false">IF(AND(TRIM(C613)&lt;&gt;"",COUNTIF(C$2:C613,C613)=1),MAX(P$1:P612)+1,"")</f>
        <v/>
      </c>
      <c r="Q613" s="0" t="str">
        <f aca="false">IF(AND(TRIM(F613)&lt;&gt;"",COUNTIF(F$2:F613,F613)=1),MAX(Q$1:Q612)+1,"")</f>
        <v/>
      </c>
    </row>
    <row r="614" customFormat="false" ht="15" hidden="false" customHeight="false" outlineLevel="0" collapsed="false">
      <c r="A614" s="9"/>
      <c r="B614" s="10"/>
      <c r="C614" s="11"/>
      <c r="D614" s="11"/>
      <c r="E614" s="11"/>
      <c r="F614" s="11"/>
      <c r="G614" s="12"/>
      <c r="H614" s="12"/>
      <c r="I614" s="10"/>
      <c r="J614" s="12"/>
      <c r="K614" s="13" t="str">
        <f aca="false">IF(ISNUMBER(B614),YEAR(B614),"")</f>
        <v/>
      </c>
      <c r="L614" s="13" t="str">
        <f aca="false">IF(ISNUMBER(B614),MONTH(B614),"")</f>
        <v/>
      </c>
      <c r="M614" s="13" t="str">
        <f aca="false">IF(AND(ISNUMBER(B614),ISNUMBER(I614)),B614-I614+1,"")</f>
        <v/>
      </c>
      <c r="N614" s="14" t="str">
        <f aca="false">IF(B614="","",IF(M614="","시작일 미입력",IF(M614&lt;1,"시작일 이전(확인)",IF(M614=1,"1일째",IF(M614=2,"2일째",IF(M614=3,"3일째",IF(M614&lt;=7,"일주일 이내",IF(M614&lt;=14,"이주일 이내","15일 이후"))))))))</f>
        <v/>
      </c>
      <c r="O614" s="0" t="str">
        <f aca="false">IF(AND(COUNTA($A614:$J614)&gt;0,OR(클레임조회!$C$4="",AND(ISNUMBER($B614),$B614&gt;=클레임조회!$C$4)),OR(클레임조회!$C$5="",AND(ISNUMBER($B614),$B614&lt;=클레임조회!$C$5)),OR(클레임조회!$C$6="",$C614=클레임조회!$C$6),OR(클레임조회!$C$7="",$D614=클레임조회!$C$7),OR(클레임조회!$C$8="",$E614=클레임조회!$C$8),OR(클레임조회!$C$9="",$F614=클레임조회!$C$9),OR(클레임조회!$C$10="",ISNUMBER(SEARCH(클레임조회!$C$10,$C614&amp;" "&amp;$F614&amp;" "&amp;$G614&amp;" "&amp;$H614)))),COUNT(O$1:O613)+1,"")</f>
        <v/>
      </c>
      <c r="P614" s="0" t="str">
        <f aca="false">IF(AND(TRIM(C614)&lt;&gt;"",COUNTIF(C$2:C614,C614)=1),MAX(P$1:P613)+1,"")</f>
        <v/>
      </c>
      <c r="Q614" s="0" t="str">
        <f aca="false">IF(AND(TRIM(F614)&lt;&gt;"",COUNTIF(F$2:F614,F614)=1),MAX(Q$1:Q613)+1,"")</f>
        <v/>
      </c>
    </row>
    <row r="615" customFormat="false" ht="15" hidden="false" customHeight="false" outlineLevel="0" collapsed="false">
      <c r="A615" s="9"/>
      <c r="B615" s="10"/>
      <c r="C615" s="11"/>
      <c r="D615" s="11"/>
      <c r="E615" s="11"/>
      <c r="F615" s="11"/>
      <c r="G615" s="12"/>
      <c r="H615" s="12"/>
      <c r="I615" s="10"/>
      <c r="J615" s="12"/>
      <c r="K615" s="13" t="str">
        <f aca="false">IF(ISNUMBER(B615),YEAR(B615),"")</f>
        <v/>
      </c>
      <c r="L615" s="13" t="str">
        <f aca="false">IF(ISNUMBER(B615),MONTH(B615),"")</f>
        <v/>
      </c>
      <c r="M615" s="13" t="str">
        <f aca="false">IF(AND(ISNUMBER(B615),ISNUMBER(I615)),B615-I615+1,"")</f>
        <v/>
      </c>
      <c r="N615" s="14" t="str">
        <f aca="false">IF(B615="","",IF(M615="","시작일 미입력",IF(M615&lt;1,"시작일 이전(확인)",IF(M615=1,"1일째",IF(M615=2,"2일째",IF(M615=3,"3일째",IF(M615&lt;=7,"일주일 이내",IF(M615&lt;=14,"이주일 이내","15일 이후"))))))))</f>
        <v/>
      </c>
      <c r="O615" s="0" t="str">
        <f aca="false">IF(AND(COUNTA($A615:$J615)&gt;0,OR(클레임조회!$C$4="",AND(ISNUMBER($B615),$B615&gt;=클레임조회!$C$4)),OR(클레임조회!$C$5="",AND(ISNUMBER($B615),$B615&lt;=클레임조회!$C$5)),OR(클레임조회!$C$6="",$C615=클레임조회!$C$6),OR(클레임조회!$C$7="",$D615=클레임조회!$C$7),OR(클레임조회!$C$8="",$E615=클레임조회!$C$8),OR(클레임조회!$C$9="",$F615=클레임조회!$C$9),OR(클레임조회!$C$10="",ISNUMBER(SEARCH(클레임조회!$C$10,$C615&amp;" "&amp;$F615&amp;" "&amp;$G615&amp;" "&amp;$H615)))),COUNT(O$1:O614)+1,"")</f>
        <v/>
      </c>
      <c r="P615" s="0" t="str">
        <f aca="false">IF(AND(TRIM(C615)&lt;&gt;"",COUNTIF(C$2:C615,C615)=1),MAX(P$1:P614)+1,"")</f>
        <v/>
      </c>
      <c r="Q615" s="0" t="str">
        <f aca="false">IF(AND(TRIM(F615)&lt;&gt;"",COUNTIF(F$2:F615,F615)=1),MAX(Q$1:Q614)+1,"")</f>
        <v/>
      </c>
    </row>
    <row r="616" customFormat="false" ht="15" hidden="false" customHeight="false" outlineLevel="0" collapsed="false">
      <c r="A616" s="9"/>
      <c r="B616" s="10"/>
      <c r="C616" s="11"/>
      <c r="D616" s="11"/>
      <c r="E616" s="11"/>
      <c r="F616" s="11"/>
      <c r="G616" s="12"/>
      <c r="H616" s="12"/>
      <c r="I616" s="10"/>
      <c r="J616" s="12"/>
      <c r="K616" s="13" t="str">
        <f aca="false">IF(ISNUMBER(B616),YEAR(B616),"")</f>
        <v/>
      </c>
      <c r="L616" s="13" t="str">
        <f aca="false">IF(ISNUMBER(B616),MONTH(B616),"")</f>
        <v/>
      </c>
      <c r="M616" s="13" t="str">
        <f aca="false">IF(AND(ISNUMBER(B616),ISNUMBER(I616)),B616-I616+1,"")</f>
        <v/>
      </c>
      <c r="N616" s="14" t="str">
        <f aca="false">IF(B616="","",IF(M616="","시작일 미입력",IF(M616&lt;1,"시작일 이전(확인)",IF(M616=1,"1일째",IF(M616=2,"2일째",IF(M616=3,"3일째",IF(M616&lt;=7,"일주일 이내",IF(M616&lt;=14,"이주일 이내","15일 이후"))))))))</f>
        <v/>
      </c>
      <c r="O616" s="0" t="str">
        <f aca="false">IF(AND(COUNTA($A616:$J616)&gt;0,OR(클레임조회!$C$4="",AND(ISNUMBER($B616),$B616&gt;=클레임조회!$C$4)),OR(클레임조회!$C$5="",AND(ISNUMBER($B616),$B616&lt;=클레임조회!$C$5)),OR(클레임조회!$C$6="",$C616=클레임조회!$C$6),OR(클레임조회!$C$7="",$D616=클레임조회!$C$7),OR(클레임조회!$C$8="",$E616=클레임조회!$C$8),OR(클레임조회!$C$9="",$F616=클레임조회!$C$9),OR(클레임조회!$C$10="",ISNUMBER(SEARCH(클레임조회!$C$10,$C616&amp;" "&amp;$F616&amp;" "&amp;$G616&amp;" "&amp;$H616)))),COUNT(O$1:O615)+1,"")</f>
        <v/>
      </c>
      <c r="P616" s="0" t="str">
        <f aca="false">IF(AND(TRIM(C616)&lt;&gt;"",COUNTIF(C$2:C616,C616)=1),MAX(P$1:P615)+1,"")</f>
        <v/>
      </c>
      <c r="Q616" s="0" t="str">
        <f aca="false">IF(AND(TRIM(F616)&lt;&gt;"",COUNTIF(F$2:F616,F616)=1),MAX(Q$1:Q615)+1,"")</f>
        <v/>
      </c>
    </row>
    <row r="617" customFormat="false" ht="15" hidden="false" customHeight="false" outlineLevel="0" collapsed="false">
      <c r="A617" s="9"/>
      <c r="B617" s="10"/>
      <c r="C617" s="11"/>
      <c r="D617" s="11"/>
      <c r="E617" s="11"/>
      <c r="F617" s="11"/>
      <c r="G617" s="12"/>
      <c r="H617" s="12"/>
      <c r="I617" s="10"/>
      <c r="J617" s="12"/>
      <c r="K617" s="13" t="str">
        <f aca="false">IF(ISNUMBER(B617),YEAR(B617),"")</f>
        <v/>
      </c>
      <c r="L617" s="13" t="str">
        <f aca="false">IF(ISNUMBER(B617),MONTH(B617),"")</f>
        <v/>
      </c>
      <c r="M617" s="13" t="str">
        <f aca="false">IF(AND(ISNUMBER(B617),ISNUMBER(I617)),B617-I617+1,"")</f>
        <v/>
      </c>
      <c r="N617" s="14" t="str">
        <f aca="false">IF(B617="","",IF(M617="","시작일 미입력",IF(M617&lt;1,"시작일 이전(확인)",IF(M617=1,"1일째",IF(M617=2,"2일째",IF(M617=3,"3일째",IF(M617&lt;=7,"일주일 이내",IF(M617&lt;=14,"이주일 이내","15일 이후"))))))))</f>
        <v/>
      </c>
      <c r="O617" s="0" t="str">
        <f aca="false">IF(AND(COUNTA($A617:$J617)&gt;0,OR(클레임조회!$C$4="",AND(ISNUMBER($B617),$B617&gt;=클레임조회!$C$4)),OR(클레임조회!$C$5="",AND(ISNUMBER($B617),$B617&lt;=클레임조회!$C$5)),OR(클레임조회!$C$6="",$C617=클레임조회!$C$6),OR(클레임조회!$C$7="",$D617=클레임조회!$C$7),OR(클레임조회!$C$8="",$E617=클레임조회!$C$8),OR(클레임조회!$C$9="",$F617=클레임조회!$C$9),OR(클레임조회!$C$10="",ISNUMBER(SEARCH(클레임조회!$C$10,$C617&amp;" "&amp;$F617&amp;" "&amp;$G617&amp;" "&amp;$H617)))),COUNT(O$1:O616)+1,"")</f>
        <v/>
      </c>
      <c r="P617" s="0" t="str">
        <f aca="false">IF(AND(TRIM(C617)&lt;&gt;"",COUNTIF(C$2:C617,C617)=1),MAX(P$1:P616)+1,"")</f>
        <v/>
      </c>
      <c r="Q617" s="0" t="str">
        <f aca="false">IF(AND(TRIM(F617)&lt;&gt;"",COUNTIF(F$2:F617,F617)=1),MAX(Q$1:Q616)+1,"")</f>
        <v/>
      </c>
    </row>
    <row r="618" customFormat="false" ht="15" hidden="false" customHeight="false" outlineLevel="0" collapsed="false">
      <c r="A618" s="9"/>
      <c r="B618" s="10"/>
      <c r="C618" s="11"/>
      <c r="D618" s="11"/>
      <c r="E618" s="11"/>
      <c r="F618" s="11"/>
      <c r="G618" s="12"/>
      <c r="H618" s="12"/>
      <c r="I618" s="10"/>
      <c r="J618" s="12"/>
      <c r="K618" s="13" t="str">
        <f aca="false">IF(ISNUMBER(B618),YEAR(B618),"")</f>
        <v/>
      </c>
      <c r="L618" s="13" t="str">
        <f aca="false">IF(ISNUMBER(B618),MONTH(B618),"")</f>
        <v/>
      </c>
      <c r="M618" s="13" t="str">
        <f aca="false">IF(AND(ISNUMBER(B618),ISNUMBER(I618)),B618-I618+1,"")</f>
        <v/>
      </c>
      <c r="N618" s="14" t="str">
        <f aca="false">IF(B618="","",IF(M618="","시작일 미입력",IF(M618&lt;1,"시작일 이전(확인)",IF(M618=1,"1일째",IF(M618=2,"2일째",IF(M618=3,"3일째",IF(M618&lt;=7,"일주일 이내",IF(M618&lt;=14,"이주일 이내","15일 이후"))))))))</f>
        <v/>
      </c>
      <c r="O618" s="0" t="str">
        <f aca="false">IF(AND(COUNTA($A618:$J618)&gt;0,OR(클레임조회!$C$4="",AND(ISNUMBER($B618),$B618&gt;=클레임조회!$C$4)),OR(클레임조회!$C$5="",AND(ISNUMBER($B618),$B618&lt;=클레임조회!$C$5)),OR(클레임조회!$C$6="",$C618=클레임조회!$C$6),OR(클레임조회!$C$7="",$D618=클레임조회!$C$7),OR(클레임조회!$C$8="",$E618=클레임조회!$C$8),OR(클레임조회!$C$9="",$F618=클레임조회!$C$9),OR(클레임조회!$C$10="",ISNUMBER(SEARCH(클레임조회!$C$10,$C618&amp;" "&amp;$F618&amp;" "&amp;$G618&amp;" "&amp;$H618)))),COUNT(O$1:O617)+1,"")</f>
        <v/>
      </c>
      <c r="P618" s="0" t="str">
        <f aca="false">IF(AND(TRIM(C618)&lt;&gt;"",COUNTIF(C$2:C618,C618)=1),MAX(P$1:P617)+1,"")</f>
        <v/>
      </c>
      <c r="Q618" s="0" t="str">
        <f aca="false">IF(AND(TRIM(F618)&lt;&gt;"",COUNTIF(F$2:F618,F618)=1),MAX(Q$1:Q617)+1,"")</f>
        <v/>
      </c>
    </row>
    <row r="619" customFormat="false" ht="15" hidden="false" customHeight="false" outlineLevel="0" collapsed="false">
      <c r="A619" s="9"/>
      <c r="B619" s="10"/>
      <c r="C619" s="11"/>
      <c r="D619" s="11"/>
      <c r="E619" s="11"/>
      <c r="F619" s="11"/>
      <c r="G619" s="12"/>
      <c r="H619" s="12"/>
      <c r="I619" s="10"/>
      <c r="J619" s="12"/>
      <c r="K619" s="13" t="str">
        <f aca="false">IF(ISNUMBER(B619),YEAR(B619),"")</f>
        <v/>
      </c>
      <c r="L619" s="13" t="str">
        <f aca="false">IF(ISNUMBER(B619),MONTH(B619),"")</f>
        <v/>
      </c>
      <c r="M619" s="13" t="str">
        <f aca="false">IF(AND(ISNUMBER(B619),ISNUMBER(I619)),B619-I619+1,"")</f>
        <v/>
      </c>
      <c r="N619" s="14" t="str">
        <f aca="false">IF(B619="","",IF(M619="","시작일 미입력",IF(M619&lt;1,"시작일 이전(확인)",IF(M619=1,"1일째",IF(M619=2,"2일째",IF(M619=3,"3일째",IF(M619&lt;=7,"일주일 이내",IF(M619&lt;=14,"이주일 이내","15일 이후"))))))))</f>
        <v/>
      </c>
      <c r="O619" s="0" t="str">
        <f aca="false">IF(AND(COUNTA($A619:$J619)&gt;0,OR(클레임조회!$C$4="",AND(ISNUMBER($B619),$B619&gt;=클레임조회!$C$4)),OR(클레임조회!$C$5="",AND(ISNUMBER($B619),$B619&lt;=클레임조회!$C$5)),OR(클레임조회!$C$6="",$C619=클레임조회!$C$6),OR(클레임조회!$C$7="",$D619=클레임조회!$C$7),OR(클레임조회!$C$8="",$E619=클레임조회!$C$8),OR(클레임조회!$C$9="",$F619=클레임조회!$C$9),OR(클레임조회!$C$10="",ISNUMBER(SEARCH(클레임조회!$C$10,$C619&amp;" "&amp;$F619&amp;" "&amp;$G619&amp;" "&amp;$H619)))),COUNT(O$1:O618)+1,"")</f>
        <v/>
      </c>
      <c r="P619" s="0" t="str">
        <f aca="false">IF(AND(TRIM(C619)&lt;&gt;"",COUNTIF(C$2:C619,C619)=1),MAX(P$1:P618)+1,"")</f>
        <v/>
      </c>
      <c r="Q619" s="0" t="str">
        <f aca="false">IF(AND(TRIM(F619)&lt;&gt;"",COUNTIF(F$2:F619,F619)=1),MAX(Q$1:Q618)+1,"")</f>
        <v/>
      </c>
    </row>
    <row r="620" customFormat="false" ht="15" hidden="false" customHeight="false" outlineLevel="0" collapsed="false">
      <c r="A620" s="9"/>
      <c r="B620" s="10"/>
      <c r="C620" s="11"/>
      <c r="D620" s="11"/>
      <c r="E620" s="11"/>
      <c r="F620" s="11"/>
      <c r="G620" s="12"/>
      <c r="H620" s="12"/>
      <c r="I620" s="10"/>
      <c r="J620" s="12"/>
      <c r="K620" s="13" t="str">
        <f aca="false">IF(ISNUMBER(B620),YEAR(B620),"")</f>
        <v/>
      </c>
      <c r="L620" s="13" t="str">
        <f aca="false">IF(ISNUMBER(B620),MONTH(B620),"")</f>
        <v/>
      </c>
      <c r="M620" s="13" t="str">
        <f aca="false">IF(AND(ISNUMBER(B620),ISNUMBER(I620)),B620-I620+1,"")</f>
        <v/>
      </c>
      <c r="N620" s="14" t="str">
        <f aca="false">IF(B620="","",IF(M620="","시작일 미입력",IF(M620&lt;1,"시작일 이전(확인)",IF(M620=1,"1일째",IF(M620=2,"2일째",IF(M620=3,"3일째",IF(M620&lt;=7,"일주일 이내",IF(M620&lt;=14,"이주일 이내","15일 이후"))))))))</f>
        <v/>
      </c>
      <c r="O620" s="0" t="str">
        <f aca="false">IF(AND(COUNTA($A620:$J620)&gt;0,OR(클레임조회!$C$4="",AND(ISNUMBER($B620),$B620&gt;=클레임조회!$C$4)),OR(클레임조회!$C$5="",AND(ISNUMBER($B620),$B620&lt;=클레임조회!$C$5)),OR(클레임조회!$C$6="",$C620=클레임조회!$C$6),OR(클레임조회!$C$7="",$D620=클레임조회!$C$7),OR(클레임조회!$C$8="",$E620=클레임조회!$C$8),OR(클레임조회!$C$9="",$F620=클레임조회!$C$9),OR(클레임조회!$C$10="",ISNUMBER(SEARCH(클레임조회!$C$10,$C620&amp;" "&amp;$F620&amp;" "&amp;$G620&amp;" "&amp;$H620)))),COUNT(O$1:O619)+1,"")</f>
        <v/>
      </c>
      <c r="P620" s="0" t="str">
        <f aca="false">IF(AND(TRIM(C620)&lt;&gt;"",COUNTIF(C$2:C620,C620)=1),MAX(P$1:P619)+1,"")</f>
        <v/>
      </c>
      <c r="Q620" s="0" t="str">
        <f aca="false">IF(AND(TRIM(F620)&lt;&gt;"",COUNTIF(F$2:F620,F620)=1),MAX(Q$1:Q619)+1,"")</f>
        <v/>
      </c>
    </row>
    <row r="621" customFormat="false" ht="15" hidden="false" customHeight="false" outlineLevel="0" collapsed="false">
      <c r="A621" s="9"/>
      <c r="B621" s="10"/>
      <c r="C621" s="11"/>
      <c r="D621" s="11"/>
      <c r="E621" s="11"/>
      <c r="F621" s="11"/>
      <c r="G621" s="12"/>
      <c r="H621" s="12"/>
      <c r="I621" s="10"/>
      <c r="J621" s="12"/>
      <c r="K621" s="13" t="str">
        <f aca="false">IF(ISNUMBER(B621),YEAR(B621),"")</f>
        <v/>
      </c>
      <c r="L621" s="13" t="str">
        <f aca="false">IF(ISNUMBER(B621),MONTH(B621),"")</f>
        <v/>
      </c>
      <c r="M621" s="13" t="str">
        <f aca="false">IF(AND(ISNUMBER(B621),ISNUMBER(I621)),B621-I621+1,"")</f>
        <v/>
      </c>
      <c r="N621" s="14" t="str">
        <f aca="false">IF(B621="","",IF(M621="","시작일 미입력",IF(M621&lt;1,"시작일 이전(확인)",IF(M621=1,"1일째",IF(M621=2,"2일째",IF(M621=3,"3일째",IF(M621&lt;=7,"일주일 이내",IF(M621&lt;=14,"이주일 이내","15일 이후"))))))))</f>
        <v/>
      </c>
      <c r="O621" s="0" t="str">
        <f aca="false">IF(AND(COUNTA($A621:$J621)&gt;0,OR(클레임조회!$C$4="",AND(ISNUMBER($B621),$B621&gt;=클레임조회!$C$4)),OR(클레임조회!$C$5="",AND(ISNUMBER($B621),$B621&lt;=클레임조회!$C$5)),OR(클레임조회!$C$6="",$C621=클레임조회!$C$6),OR(클레임조회!$C$7="",$D621=클레임조회!$C$7),OR(클레임조회!$C$8="",$E621=클레임조회!$C$8),OR(클레임조회!$C$9="",$F621=클레임조회!$C$9),OR(클레임조회!$C$10="",ISNUMBER(SEARCH(클레임조회!$C$10,$C621&amp;" "&amp;$F621&amp;" "&amp;$G621&amp;" "&amp;$H621)))),COUNT(O$1:O620)+1,"")</f>
        <v/>
      </c>
      <c r="P621" s="0" t="str">
        <f aca="false">IF(AND(TRIM(C621)&lt;&gt;"",COUNTIF(C$2:C621,C621)=1),MAX(P$1:P620)+1,"")</f>
        <v/>
      </c>
      <c r="Q621" s="0" t="str">
        <f aca="false">IF(AND(TRIM(F621)&lt;&gt;"",COUNTIF(F$2:F621,F621)=1),MAX(Q$1:Q620)+1,"")</f>
        <v/>
      </c>
    </row>
    <row r="622" customFormat="false" ht="15" hidden="false" customHeight="false" outlineLevel="0" collapsed="false">
      <c r="A622" s="9"/>
      <c r="B622" s="10"/>
      <c r="C622" s="11"/>
      <c r="D622" s="11"/>
      <c r="E622" s="11"/>
      <c r="F622" s="11"/>
      <c r="G622" s="12"/>
      <c r="H622" s="12"/>
      <c r="I622" s="10"/>
      <c r="J622" s="12"/>
      <c r="K622" s="13" t="str">
        <f aca="false">IF(ISNUMBER(B622),YEAR(B622),"")</f>
        <v/>
      </c>
      <c r="L622" s="13" t="str">
        <f aca="false">IF(ISNUMBER(B622),MONTH(B622),"")</f>
        <v/>
      </c>
      <c r="M622" s="13" t="str">
        <f aca="false">IF(AND(ISNUMBER(B622),ISNUMBER(I622)),B622-I622+1,"")</f>
        <v/>
      </c>
      <c r="N622" s="14" t="str">
        <f aca="false">IF(B622="","",IF(M622="","시작일 미입력",IF(M622&lt;1,"시작일 이전(확인)",IF(M622=1,"1일째",IF(M622=2,"2일째",IF(M622=3,"3일째",IF(M622&lt;=7,"일주일 이내",IF(M622&lt;=14,"이주일 이내","15일 이후"))))))))</f>
        <v/>
      </c>
      <c r="O622" s="0" t="str">
        <f aca="false">IF(AND(COUNTA($A622:$J622)&gt;0,OR(클레임조회!$C$4="",AND(ISNUMBER($B622),$B622&gt;=클레임조회!$C$4)),OR(클레임조회!$C$5="",AND(ISNUMBER($B622),$B622&lt;=클레임조회!$C$5)),OR(클레임조회!$C$6="",$C622=클레임조회!$C$6),OR(클레임조회!$C$7="",$D622=클레임조회!$C$7),OR(클레임조회!$C$8="",$E622=클레임조회!$C$8),OR(클레임조회!$C$9="",$F622=클레임조회!$C$9),OR(클레임조회!$C$10="",ISNUMBER(SEARCH(클레임조회!$C$10,$C622&amp;" "&amp;$F622&amp;" "&amp;$G622&amp;" "&amp;$H622)))),COUNT(O$1:O621)+1,"")</f>
        <v/>
      </c>
      <c r="P622" s="0" t="str">
        <f aca="false">IF(AND(TRIM(C622)&lt;&gt;"",COUNTIF(C$2:C622,C622)=1),MAX(P$1:P621)+1,"")</f>
        <v/>
      </c>
      <c r="Q622" s="0" t="str">
        <f aca="false">IF(AND(TRIM(F622)&lt;&gt;"",COUNTIF(F$2:F622,F622)=1),MAX(Q$1:Q621)+1,"")</f>
        <v/>
      </c>
    </row>
    <row r="623" customFormat="false" ht="15" hidden="false" customHeight="false" outlineLevel="0" collapsed="false">
      <c r="A623" s="9"/>
      <c r="B623" s="10"/>
      <c r="C623" s="11"/>
      <c r="D623" s="11"/>
      <c r="E623" s="11"/>
      <c r="F623" s="11"/>
      <c r="G623" s="12"/>
      <c r="H623" s="12"/>
      <c r="I623" s="10"/>
      <c r="J623" s="12"/>
      <c r="K623" s="13" t="str">
        <f aca="false">IF(ISNUMBER(B623),YEAR(B623),"")</f>
        <v/>
      </c>
      <c r="L623" s="13" t="str">
        <f aca="false">IF(ISNUMBER(B623),MONTH(B623),"")</f>
        <v/>
      </c>
      <c r="M623" s="13" t="str">
        <f aca="false">IF(AND(ISNUMBER(B623),ISNUMBER(I623)),B623-I623+1,"")</f>
        <v/>
      </c>
      <c r="N623" s="14" t="str">
        <f aca="false">IF(B623="","",IF(M623="","시작일 미입력",IF(M623&lt;1,"시작일 이전(확인)",IF(M623=1,"1일째",IF(M623=2,"2일째",IF(M623=3,"3일째",IF(M623&lt;=7,"일주일 이내",IF(M623&lt;=14,"이주일 이내","15일 이후"))))))))</f>
        <v/>
      </c>
      <c r="O623" s="0" t="str">
        <f aca="false">IF(AND(COUNTA($A623:$J623)&gt;0,OR(클레임조회!$C$4="",AND(ISNUMBER($B623),$B623&gt;=클레임조회!$C$4)),OR(클레임조회!$C$5="",AND(ISNUMBER($B623),$B623&lt;=클레임조회!$C$5)),OR(클레임조회!$C$6="",$C623=클레임조회!$C$6),OR(클레임조회!$C$7="",$D623=클레임조회!$C$7),OR(클레임조회!$C$8="",$E623=클레임조회!$C$8),OR(클레임조회!$C$9="",$F623=클레임조회!$C$9),OR(클레임조회!$C$10="",ISNUMBER(SEARCH(클레임조회!$C$10,$C623&amp;" "&amp;$F623&amp;" "&amp;$G623&amp;" "&amp;$H623)))),COUNT(O$1:O622)+1,"")</f>
        <v/>
      </c>
      <c r="P623" s="0" t="str">
        <f aca="false">IF(AND(TRIM(C623)&lt;&gt;"",COUNTIF(C$2:C623,C623)=1),MAX(P$1:P622)+1,"")</f>
        <v/>
      </c>
      <c r="Q623" s="0" t="str">
        <f aca="false">IF(AND(TRIM(F623)&lt;&gt;"",COUNTIF(F$2:F623,F623)=1),MAX(Q$1:Q622)+1,"")</f>
        <v/>
      </c>
    </row>
    <row r="624" customFormat="false" ht="15" hidden="false" customHeight="false" outlineLevel="0" collapsed="false">
      <c r="A624" s="9"/>
      <c r="B624" s="10"/>
      <c r="C624" s="11"/>
      <c r="D624" s="11"/>
      <c r="E624" s="11"/>
      <c r="F624" s="11"/>
      <c r="G624" s="12"/>
      <c r="H624" s="12"/>
      <c r="I624" s="10"/>
      <c r="J624" s="12"/>
      <c r="K624" s="13" t="str">
        <f aca="false">IF(ISNUMBER(B624),YEAR(B624),"")</f>
        <v/>
      </c>
      <c r="L624" s="13" t="str">
        <f aca="false">IF(ISNUMBER(B624),MONTH(B624),"")</f>
        <v/>
      </c>
      <c r="M624" s="13" t="str">
        <f aca="false">IF(AND(ISNUMBER(B624),ISNUMBER(I624)),B624-I624+1,"")</f>
        <v/>
      </c>
      <c r="N624" s="14" t="str">
        <f aca="false">IF(B624="","",IF(M624="","시작일 미입력",IF(M624&lt;1,"시작일 이전(확인)",IF(M624=1,"1일째",IF(M624=2,"2일째",IF(M624=3,"3일째",IF(M624&lt;=7,"일주일 이내",IF(M624&lt;=14,"이주일 이내","15일 이후"))))))))</f>
        <v/>
      </c>
      <c r="O624" s="0" t="str">
        <f aca="false">IF(AND(COUNTA($A624:$J624)&gt;0,OR(클레임조회!$C$4="",AND(ISNUMBER($B624),$B624&gt;=클레임조회!$C$4)),OR(클레임조회!$C$5="",AND(ISNUMBER($B624),$B624&lt;=클레임조회!$C$5)),OR(클레임조회!$C$6="",$C624=클레임조회!$C$6),OR(클레임조회!$C$7="",$D624=클레임조회!$C$7),OR(클레임조회!$C$8="",$E624=클레임조회!$C$8),OR(클레임조회!$C$9="",$F624=클레임조회!$C$9),OR(클레임조회!$C$10="",ISNUMBER(SEARCH(클레임조회!$C$10,$C624&amp;" "&amp;$F624&amp;" "&amp;$G624&amp;" "&amp;$H624)))),COUNT(O$1:O623)+1,"")</f>
        <v/>
      </c>
      <c r="P624" s="0" t="str">
        <f aca="false">IF(AND(TRIM(C624)&lt;&gt;"",COUNTIF(C$2:C624,C624)=1),MAX(P$1:P623)+1,"")</f>
        <v/>
      </c>
      <c r="Q624" s="0" t="str">
        <f aca="false">IF(AND(TRIM(F624)&lt;&gt;"",COUNTIF(F$2:F624,F624)=1),MAX(Q$1:Q623)+1,"")</f>
        <v/>
      </c>
    </row>
    <row r="625" customFormat="false" ht="15" hidden="false" customHeight="false" outlineLevel="0" collapsed="false">
      <c r="A625" s="9"/>
      <c r="B625" s="10"/>
      <c r="C625" s="11"/>
      <c r="D625" s="11"/>
      <c r="E625" s="11"/>
      <c r="F625" s="11"/>
      <c r="G625" s="12"/>
      <c r="H625" s="12"/>
      <c r="I625" s="10"/>
      <c r="J625" s="12"/>
      <c r="K625" s="13" t="str">
        <f aca="false">IF(ISNUMBER(B625),YEAR(B625),"")</f>
        <v/>
      </c>
      <c r="L625" s="13" t="str">
        <f aca="false">IF(ISNUMBER(B625),MONTH(B625),"")</f>
        <v/>
      </c>
      <c r="M625" s="13" t="str">
        <f aca="false">IF(AND(ISNUMBER(B625),ISNUMBER(I625)),B625-I625+1,"")</f>
        <v/>
      </c>
      <c r="N625" s="14" t="str">
        <f aca="false">IF(B625="","",IF(M625="","시작일 미입력",IF(M625&lt;1,"시작일 이전(확인)",IF(M625=1,"1일째",IF(M625=2,"2일째",IF(M625=3,"3일째",IF(M625&lt;=7,"일주일 이내",IF(M625&lt;=14,"이주일 이내","15일 이후"))))))))</f>
        <v/>
      </c>
      <c r="O625" s="0" t="str">
        <f aca="false">IF(AND(COUNTA($A625:$J625)&gt;0,OR(클레임조회!$C$4="",AND(ISNUMBER($B625),$B625&gt;=클레임조회!$C$4)),OR(클레임조회!$C$5="",AND(ISNUMBER($B625),$B625&lt;=클레임조회!$C$5)),OR(클레임조회!$C$6="",$C625=클레임조회!$C$6),OR(클레임조회!$C$7="",$D625=클레임조회!$C$7),OR(클레임조회!$C$8="",$E625=클레임조회!$C$8),OR(클레임조회!$C$9="",$F625=클레임조회!$C$9),OR(클레임조회!$C$10="",ISNUMBER(SEARCH(클레임조회!$C$10,$C625&amp;" "&amp;$F625&amp;" "&amp;$G625&amp;" "&amp;$H625)))),COUNT(O$1:O624)+1,"")</f>
        <v/>
      </c>
      <c r="P625" s="0" t="str">
        <f aca="false">IF(AND(TRIM(C625)&lt;&gt;"",COUNTIF(C$2:C625,C625)=1),MAX(P$1:P624)+1,"")</f>
        <v/>
      </c>
      <c r="Q625" s="0" t="str">
        <f aca="false">IF(AND(TRIM(F625)&lt;&gt;"",COUNTIF(F$2:F625,F625)=1),MAX(Q$1:Q624)+1,"")</f>
        <v/>
      </c>
    </row>
    <row r="626" customFormat="false" ht="15" hidden="false" customHeight="false" outlineLevel="0" collapsed="false">
      <c r="A626" s="9"/>
      <c r="B626" s="10"/>
      <c r="C626" s="11"/>
      <c r="D626" s="11"/>
      <c r="E626" s="11"/>
      <c r="F626" s="11"/>
      <c r="G626" s="12"/>
      <c r="H626" s="12"/>
      <c r="I626" s="10"/>
      <c r="J626" s="12"/>
      <c r="K626" s="13" t="str">
        <f aca="false">IF(ISNUMBER(B626),YEAR(B626),"")</f>
        <v/>
      </c>
      <c r="L626" s="13" t="str">
        <f aca="false">IF(ISNUMBER(B626),MONTH(B626),"")</f>
        <v/>
      </c>
      <c r="M626" s="13" t="str">
        <f aca="false">IF(AND(ISNUMBER(B626),ISNUMBER(I626)),B626-I626+1,"")</f>
        <v/>
      </c>
      <c r="N626" s="14" t="str">
        <f aca="false">IF(B626="","",IF(M626="","시작일 미입력",IF(M626&lt;1,"시작일 이전(확인)",IF(M626=1,"1일째",IF(M626=2,"2일째",IF(M626=3,"3일째",IF(M626&lt;=7,"일주일 이내",IF(M626&lt;=14,"이주일 이내","15일 이후"))))))))</f>
        <v/>
      </c>
      <c r="O626" s="0" t="str">
        <f aca="false">IF(AND(COUNTA($A626:$J626)&gt;0,OR(클레임조회!$C$4="",AND(ISNUMBER($B626),$B626&gt;=클레임조회!$C$4)),OR(클레임조회!$C$5="",AND(ISNUMBER($B626),$B626&lt;=클레임조회!$C$5)),OR(클레임조회!$C$6="",$C626=클레임조회!$C$6),OR(클레임조회!$C$7="",$D626=클레임조회!$C$7),OR(클레임조회!$C$8="",$E626=클레임조회!$C$8),OR(클레임조회!$C$9="",$F626=클레임조회!$C$9),OR(클레임조회!$C$10="",ISNUMBER(SEARCH(클레임조회!$C$10,$C626&amp;" "&amp;$F626&amp;" "&amp;$G626&amp;" "&amp;$H626)))),COUNT(O$1:O625)+1,"")</f>
        <v/>
      </c>
      <c r="P626" s="0" t="str">
        <f aca="false">IF(AND(TRIM(C626)&lt;&gt;"",COUNTIF(C$2:C626,C626)=1),MAX(P$1:P625)+1,"")</f>
        <v/>
      </c>
      <c r="Q626" s="0" t="str">
        <f aca="false">IF(AND(TRIM(F626)&lt;&gt;"",COUNTIF(F$2:F626,F626)=1),MAX(Q$1:Q625)+1,"")</f>
        <v/>
      </c>
    </row>
    <row r="627" customFormat="false" ht="15" hidden="false" customHeight="false" outlineLevel="0" collapsed="false">
      <c r="A627" s="9"/>
      <c r="B627" s="10"/>
      <c r="C627" s="11"/>
      <c r="D627" s="11"/>
      <c r="E627" s="11"/>
      <c r="F627" s="11"/>
      <c r="G627" s="12"/>
      <c r="H627" s="12"/>
      <c r="I627" s="10"/>
      <c r="J627" s="12"/>
      <c r="K627" s="13" t="str">
        <f aca="false">IF(ISNUMBER(B627),YEAR(B627),"")</f>
        <v/>
      </c>
      <c r="L627" s="13" t="str">
        <f aca="false">IF(ISNUMBER(B627),MONTH(B627),"")</f>
        <v/>
      </c>
      <c r="M627" s="13" t="str">
        <f aca="false">IF(AND(ISNUMBER(B627),ISNUMBER(I627)),B627-I627+1,"")</f>
        <v/>
      </c>
      <c r="N627" s="14" t="str">
        <f aca="false">IF(B627="","",IF(M627="","시작일 미입력",IF(M627&lt;1,"시작일 이전(확인)",IF(M627=1,"1일째",IF(M627=2,"2일째",IF(M627=3,"3일째",IF(M627&lt;=7,"일주일 이내",IF(M627&lt;=14,"이주일 이내","15일 이후"))))))))</f>
        <v/>
      </c>
      <c r="O627" s="0" t="str">
        <f aca="false">IF(AND(COUNTA($A627:$J627)&gt;0,OR(클레임조회!$C$4="",AND(ISNUMBER($B627),$B627&gt;=클레임조회!$C$4)),OR(클레임조회!$C$5="",AND(ISNUMBER($B627),$B627&lt;=클레임조회!$C$5)),OR(클레임조회!$C$6="",$C627=클레임조회!$C$6),OR(클레임조회!$C$7="",$D627=클레임조회!$C$7),OR(클레임조회!$C$8="",$E627=클레임조회!$C$8),OR(클레임조회!$C$9="",$F627=클레임조회!$C$9),OR(클레임조회!$C$10="",ISNUMBER(SEARCH(클레임조회!$C$10,$C627&amp;" "&amp;$F627&amp;" "&amp;$G627&amp;" "&amp;$H627)))),COUNT(O$1:O626)+1,"")</f>
        <v/>
      </c>
      <c r="P627" s="0" t="str">
        <f aca="false">IF(AND(TRIM(C627)&lt;&gt;"",COUNTIF(C$2:C627,C627)=1),MAX(P$1:P626)+1,"")</f>
        <v/>
      </c>
      <c r="Q627" s="0" t="str">
        <f aca="false">IF(AND(TRIM(F627)&lt;&gt;"",COUNTIF(F$2:F627,F627)=1),MAX(Q$1:Q626)+1,"")</f>
        <v/>
      </c>
    </row>
    <row r="628" customFormat="false" ht="15" hidden="false" customHeight="false" outlineLevel="0" collapsed="false">
      <c r="A628" s="9"/>
      <c r="B628" s="10"/>
      <c r="C628" s="11"/>
      <c r="D628" s="11"/>
      <c r="E628" s="11"/>
      <c r="F628" s="11"/>
      <c r="G628" s="12"/>
      <c r="H628" s="12"/>
      <c r="I628" s="10"/>
      <c r="J628" s="12"/>
      <c r="K628" s="13" t="str">
        <f aca="false">IF(ISNUMBER(B628),YEAR(B628),"")</f>
        <v/>
      </c>
      <c r="L628" s="13" t="str">
        <f aca="false">IF(ISNUMBER(B628),MONTH(B628),"")</f>
        <v/>
      </c>
      <c r="M628" s="13" t="str">
        <f aca="false">IF(AND(ISNUMBER(B628),ISNUMBER(I628)),B628-I628+1,"")</f>
        <v/>
      </c>
      <c r="N628" s="14" t="str">
        <f aca="false">IF(B628="","",IF(M628="","시작일 미입력",IF(M628&lt;1,"시작일 이전(확인)",IF(M628=1,"1일째",IF(M628=2,"2일째",IF(M628=3,"3일째",IF(M628&lt;=7,"일주일 이내",IF(M628&lt;=14,"이주일 이내","15일 이후"))))))))</f>
        <v/>
      </c>
      <c r="O628" s="0" t="str">
        <f aca="false">IF(AND(COUNTA($A628:$J628)&gt;0,OR(클레임조회!$C$4="",AND(ISNUMBER($B628),$B628&gt;=클레임조회!$C$4)),OR(클레임조회!$C$5="",AND(ISNUMBER($B628),$B628&lt;=클레임조회!$C$5)),OR(클레임조회!$C$6="",$C628=클레임조회!$C$6),OR(클레임조회!$C$7="",$D628=클레임조회!$C$7),OR(클레임조회!$C$8="",$E628=클레임조회!$C$8),OR(클레임조회!$C$9="",$F628=클레임조회!$C$9),OR(클레임조회!$C$10="",ISNUMBER(SEARCH(클레임조회!$C$10,$C628&amp;" "&amp;$F628&amp;" "&amp;$G628&amp;" "&amp;$H628)))),COUNT(O$1:O627)+1,"")</f>
        <v/>
      </c>
      <c r="P628" s="0" t="str">
        <f aca="false">IF(AND(TRIM(C628)&lt;&gt;"",COUNTIF(C$2:C628,C628)=1),MAX(P$1:P627)+1,"")</f>
        <v/>
      </c>
      <c r="Q628" s="0" t="str">
        <f aca="false">IF(AND(TRIM(F628)&lt;&gt;"",COUNTIF(F$2:F628,F628)=1),MAX(Q$1:Q627)+1,"")</f>
        <v/>
      </c>
    </row>
    <row r="629" customFormat="false" ht="15" hidden="false" customHeight="false" outlineLevel="0" collapsed="false">
      <c r="A629" s="9"/>
      <c r="B629" s="10"/>
      <c r="C629" s="11"/>
      <c r="D629" s="11"/>
      <c r="E629" s="11"/>
      <c r="F629" s="11"/>
      <c r="G629" s="12"/>
      <c r="H629" s="12"/>
      <c r="I629" s="10"/>
      <c r="J629" s="12"/>
      <c r="K629" s="13" t="str">
        <f aca="false">IF(ISNUMBER(B629),YEAR(B629),"")</f>
        <v/>
      </c>
      <c r="L629" s="13" t="str">
        <f aca="false">IF(ISNUMBER(B629),MONTH(B629),"")</f>
        <v/>
      </c>
      <c r="M629" s="13" t="str">
        <f aca="false">IF(AND(ISNUMBER(B629),ISNUMBER(I629)),B629-I629+1,"")</f>
        <v/>
      </c>
      <c r="N629" s="14" t="str">
        <f aca="false">IF(B629="","",IF(M629="","시작일 미입력",IF(M629&lt;1,"시작일 이전(확인)",IF(M629=1,"1일째",IF(M629=2,"2일째",IF(M629=3,"3일째",IF(M629&lt;=7,"일주일 이내",IF(M629&lt;=14,"이주일 이내","15일 이후"))))))))</f>
        <v/>
      </c>
      <c r="O629" s="0" t="str">
        <f aca="false">IF(AND(COUNTA($A629:$J629)&gt;0,OR(클레임조회!$C$4="",AND(ISNUMBER($B629),$B629&gt;=클레임조회!$C$4)),OR(클레임조회!$C$5="",AND(ISNUMBER($B629),$B629&lt;=클레임조회!$C$5)),OR(클레임조회!$C$6="",$C629=클레임조회!$C$6),OR(클레임조회!$C$7="",$D629=클레임조회!$C$7),OR(클레임조회!$C$8="",$E629=클레임조회!$C$8),OR(클레임조회!$C$9="",$F629=클레임조회!$C$9),OR(클레임조회!$C$10="",ISNUMBER(SEARCH(클레임조회!$C$10,$C629&amp;" "&amp;$F629&amp;" "&amp;$G629&amp;" "&amp;$H629)))),COUNT(O$1:O628)+1,"")</f>
        <v/>
      </c>
      <c r="P629" s="0" t="str">
        <f aca="false">IF(AND(TRIM(C629)&lt;&gt;"",COUNTIF(C$2:C629,C629)=1),MAX(P$1:P628)+1,"")</f>
        <v/>
      </c>
      <c r="Q629" s="0" t="str">
        <f aca="false">IF(AND(TRIM(F629)&lt;&gt;"",COUNTIF(F$2:F629,F629)=1),MAX(Q$1:Q628)+1,"")</f>
        <v/>
      </c>
    </row>
    <row r="630" customFormat="false" ht="15" hidden="false" customHeight="false" outlineLevel="0" collapsed="false">
      <c r="A630" s="9"/>
      <c r="B630" s="10"/>
      <c r="C630" s="11"/>
      <c r="D630" s="11"/>
      <c r="E630" s="11"/>
      <c r="F630" s="11"/>
      <c r="G630" s="12"/>
      <c r="H630" s="12"/>
      <c r="I630" s="10"/>
      <c r="J630" s="12"/>
      <c r="K630" s="13" t="str">
        <f aca="false">IF(ISNUMBER(B630),YEAR(B630),"")</f>
        <v/>
      </c>
      <c r="L630" s="13" t="str">
        <f aca="false">IF(ISNUMBER(B630),MONTH(B630),"")</f>
        <v/>
      </c>
      <c r="M630" s="13" t="str">
        <f aca="false">IF(AND(ISNUMBER(B630),ISNUMBER(I630)),B630-I630+1,"")</f>
        <v/>
      </c>
      <c r="N630" s="14" t="str">
        <f aca="false">IF(B630="","",IF(M630="","시작일 미입력",IF(M630&lt;1,"시작일 이전(확인)",IF(M630=1,"1일째",IF(M630=2,"2일째",IF(M630=3,"3일째",IF(M630&lt;=7,"일주일 이내",IF(M630&lt;=14,"이주일 이내","15일 이후"))))))))</f>
        <v/>
      </c>
      <c r="O630" s="0" t="str">
        <f aca="false">IF(AND(COUNTA($A630:$J630)&gt;0,OR(클레임조회!$C$4="",AND(ISNUMBER($B630),$B630&gt;=클레임조회!$C$4)),OR(클레임조회!$C$5="",AND(ISNUMBER($B630),$B630&lt;=클레임조회!$C$5)),OR(클레임조회!$C$6="",$C630=클레임조회!$C$6),OR(클레임조회!$C$7="",$D630=클레임조회!$C$7),OR(클레임조회!$C$8="",$E630=클레임조회!$C$8),OR(클레임조회!$C$9="",$F630=클레임조회!$C$9),OR(클레임조회!$C$10="",ISNUMBER(SEARCH(클레임조회!$C$10,$C630&amp;" "&amp;$F630&amp;" "&amp;$G630&amp;" "&amp;$H630)))),COUNT(O$1:O629)+1,"")</f>
        <v/>
      </c>
      <c r="P630" s="0" t="str">
        <f aca="false">IF(AND(TRIM(C630)&lt;&gt;"",COUNTIF(C$2:C630,C630)=1),MAX(P$1:P629)+1,"")</f>
        <v/>
      </c>
      <c r="Q630" s="0" t="str">
        <f aca="false">IF(AND(TRIM(F630)&lt;&gt;"",COUNTIF(F$2:F630,F630)=1),MAX(Q$1:Q629)+1,"")</f>
        <v/>
      </c>
    </row>
    <row r="631" customFormat="false" ht="15" hidden="false" customHeight="false" outlineLevel="0" collapsed="false">
      <c r="A631" s="9"/>
      <c r="B631" s="10"/>
      <c r="C631" s="11"/>
      <c r="D631" s="11"/>
      <c r="E631" s="11"/>
      <c r="F631" s="11"/>
      <c r="G631" s="12"/>
      <c r="H631" s="12"/>
      <c r="I631" s="10"/>
      <c r="J631" s="12"/>
      <c r="K631" s="13" t="str">
        <f aca="false">IF(ISNUMBER(B631),YEAR(B631),"")</f>
        <v/>
      </c>
      <c r="L631" s="13" t="str">
        <f aca="false">IF(ISNUMBER(B631),MONTH(B631),"")</f>
        <v/>
      </c>
      <c r="M631" s="13" t="str">
        <f aca="false">IF(AND(ISNUMBER(B631),ISNUMBER(I631)),B631-I631+1,"")</f>
        <v/>
      </c>
      <c r="N631" s="14" t="str">
        <f aca="false">IF(B631="","",IF(M631="","시작일 미입력",IF(M631&lt;1,"시작일 이전(확인)",IF(M631=1,"1일째",IF(M631=2,"2일째",IF(M631=3,"3일째",IF(M631&lt;=7,"일주일 이내",IF(M631&lt;=14,"이주일 이내","15일 이후"))))))))</f>
        <v/>
      </c>
      <c r="O631" s="0" t="str">
        <f aca="false">IF(AND(COUNTA($A631:$J631)&gt;0,OR(클레임조회!$C$4="",AND(ISNUMBER($B631),$B631&gt;=클레임조회!$C$4)),OR(클레임조회!$C$5="",AND(ISNUMBER($B631),$B631&lt;=클레임조회!$C$5)),OR(클레임조회!$C$6="",$C631=클레임조회!$C$6),OR(클레임조회!$C$7="",$D631=클레임조회!$C$7),OR(클레임조회!$C$8="",$E631=클레임조회!$C$8),OR(클레임조회!$C$9="",$F631=클레임조회!$C$9),OR(클레임조회!$C$10="",ISNUMBER(SEARCH(클레임조회!$C$10,$C631&amp;" "&amp;$F631&amp;" "&amp;$G631&amp;" "&amp;$H631)))),COUNT(O$1:O630)+1,"")</f>
        <v/>
      </c>
      <c r="P631" s="0" t="str">
        <f aca="false">IF(AND(TRIM(C631)&lt;&gt;"",COUNTIF(C$2:C631,C631)=1),MAX(P$1:P630)+1,"")</f>
        <v/>
      </c>
      <c r="Q631" s="0" t="str">
        <f aca="false">IF(AND(TRIM(F631)&lt;&gt;"",COUNTIF(F$2:F631,F631)=1),MAX(Q$1:Q630)+1,"")</f>
        <v/>
      </c>
    </row>
    <row r="632" customFormat="false" ht="15" hidden="false" customHeight="false" outlineLevel="0" collapsed="false">
      <c r="A632" s="9"/>
      <c r="B632" s="10"/>
      <c r="C632" s="11"/>
      <c r="D632" s="11"/>
      <c r="E632" s="11"/>
      <c r="F632" s="11"/>
      <c r="G632" s="12"/>
      <c r="H632" s="12"/>
      <c r="I632" s="10"/>
      <c r="J632" s="12"/>
      <c r="K632" s="13" t="str">
        <f aca="false">IF(ISNUMBER(B632),YEAR(B632),"")</f>
        <v/>
      </c>
      <c r="L632" s="13" t="str">
        <f aca="false">IF(ISNUMBER(B632),MONTH(B632),"")</f>
        <v/>
      </c>
      <c r="M632" s="13" t="str">
        <f aca="false">IF(AND(ISNUMBER(B632),ISNUMBER(I632)),B632-I632+1,"")</f>
        <v/>
      </c>
      <c r="N632" s="14" t="str">
        <f aca="false">IF(B632="","",IF(M632="","시작일 미입력",IF(M632&lt;1,"시작일 이전(확인)",IF(M632=1,"1일째",IF(M632=2,"2일째",IF(M632=3,"3일째",IF(M632&lt;=7,"일주일 이내",IF(M632&lt;=14,"이주일 이내","15일 이후"))))))))</f>
        <v/>
      </c>
      <c r="O632" s="0" t="str">
        <f aca="false">IF(AND(COUNTA($A632:$J632)&gt;0,OR(클레임조회!$C$4="",AND(ISNUMBER($B632),$B632&gt;=클레임조회!$C$4)),OR(클레임조회!$C$5="",AND(ISNUMBER($B632),$B632&lt;=클레임조회!$C$5)),OR(클레임조회!$C$6="",$C632=클레임조회!$C$6),OR(클레임조회!$C$7="",$D632=클레임조회!$C$7),OR(클레임조회!$C$8="",$E632=클레임조회!$C$8),OR(클레임조회!$C$9="",$F632=클레임조회!$C$9),OR(클레임조회!$C$10="",ISNUMBER(SEARCH(클레임조회!$C$10,$C632&amp;" "&amp;$F632&amp;" "&amp;$G632&amp;" "&amp;$H632)))),COUNT(O$1:O631)+1,"")</f>
        <v/>
      </c>
      <c r="P632" s="0" t="str">
        <f aca="false">IF(AND(TRIM(C632)&lt;&gt;"",COUNTIF(C$2:C632,C632)=1),MAX(P$1:P631)+1,"")</f>
        <v/>
      </c>
      <c r="Q632" s="0" t="str">
        <f aca="false">IF(AND(TRIM(F632)&lt;&gt;"",COUNTIF(F$2:F632,F632)=1),MAX(Q$1:Q631)+1,"")</f>
        <v/>
      </c>
    </row>
    <row r="633" customFormat="false" ht="15" hidden="false" customHeight="false" outlineLevel="0" collapsed="false">
      <c r="A633" s="9"/>
      <c r="B633" s="10"/>
      <c r="C633" s="11"/>
      <c r="D633" s="11"/>
      <c r="E633" s="11"/>
      <c r="F633" s="11"/>
      <c r="G633" s="12"/>
      <c r="H633" s="12"/>
      <c r="I633" s="10"/>
      <c r="J633" s="12"/>
      <c r="K633" s="13" t="str">
        <f aca="false">IF(ISNUMBER(B633),YEAR(B633),"")</f>
        <v/>
      </c>
      <c r="L633" s="13" t="str">
        <f aca="false">IF(ISNUMBER(B633),MONTH(B633),"")</f>
        <v/>
      </c>
      <c r="M633" s="13" t="str">
        <f aca="false">IF(AND(ISNUMBER(B633),ISNUMBER(I633)),B633-I633+1,"")</f>
        <v/>
      </c>
      <c r="N633" s="14" t="str">
        <f aca="false">IF(B633="","",IF(M633="","시작일 미입력",IF(M633&lt;1,"시작일 이전(확인)",IF(M633=1,"1일째",IF(M633=2,"2일째",IF(M633=3,"3일째",IF(M633&lt;=7,"일주일 이내",IF(M633&lt;=14,"이주일 이내","15일 이후"))))))))</f>
        <v/>
      </c>
      <c r="O633" s="0" t="str">
        <f aca="false">IF(AND(COUNTA($A633:$J633)&gt;0,OR(클레임조회!$C$4="",AND(ISNUMBER($B633),$B633&gt;=클레임조회!$C$4)),OR(클레임조회!$C$5="",AND(ISNUMBER($B633),$B633&lt;=클레임조회!$C$5)),OR(클레임조회!$C$6="",$C633=클레임조회!$C$6),OR(클레임조회!$C$7="",$D633=클레임조회!$C$7),OR(클레임조회!$C$8="",$E633=클레임조회!$C$8),OR(클레임조회!$C$9="",$F633=클레임조회!$C$9),OR(클레임조회!$C$10="",ISNUMBER(SEARCH(클레임조회!$C$10,$C633&amp;" "&amp;$F633&amp;" "&amp;$G633&amp;" "&amp;$H633)))),COUNT(O$1:O632)+1,"")</f>
        <v/>
      </c>
      <c r="P633" s="0" t="str">
        <f aca="false">IF(AND(TRIM(C633)&lt;&gt;"",COUNTIF(C$2:C633,C633)=1),MAX(P$1:P632)+1,"")</f>
        <v/>
      </c>
      <c r="Q633" s="0" t="str">
        <f aca="false">IF(AND(TRIM(F633)&lt;&gt;"",COUNTIF(F$2:F633,F633)=1),MAX(Q$1:Q632)+1,"")</f>
        <v/>
      </c>
    </row>
    <row r="634" customFormat="false" ht="15" hidden="false" customHeight="false" outlineLevel="0" collapsed="false">
      <c r="A634" s="9"/>
      <c r="B634" s="10"/>
      <c r="C634" s="11"/>
      <c r="D634" s="11"/>
      <c r="E634" s="11"/>
      <c r="F634" s="11"/>
      <c r="G634" s="12"/>
      <c r="H634" s="12"/>
      <c r="I634" s="10"/>
      <c r="J634" s="12"/>
      <c r="K634" s="13" t="str">
        <f aca="false">IF(ISNUMBER(B634),YEAR(B634),"")</f>
        <v/>
      </c>
      <c r="L634" s="13" t="str">
        <f aca="false">IF(ISNUMBER(B634),MONTH(B634),"")</f>
        <v/>
      </c>
      <c r="M634" s="13" t="str">
        <f aca="false">IF(AND(ISNUMBER(B634),ISNUMBER(I634)),B634-I634+1,"")</f>
        <v/>
      </c>
      <c r="N634" s="14" t="str">
        <f aca="false">IF(B634="","",IF(M634="","시작일 미입력",IF(M634&lt;1,"시작일 이전(확인)",IF(M634=1,"1일째",IF(M634=2,"2일째",IF(M634=3,"3일째",IF(M634&lt;=7,"일주일 이내",IF(M634&lt;=14,"이주일 이내","15일 이후"))))))))</f>
        <v/>
      </c>
      <c r="O634" s="0" t="str">
        <f aca="false">IF(AND(COUNTA($A634:$J634)&gt;0,OR(클레임조회!$C$4="",AND(ISNUMBER($B634),$B634&gt;=클레임조회!$C$4)),OR(클레임조회!$C$5="",AND(ISNUMBER($B634),$B634&lt;=클레임조회!$C$5)),OR(클레임조회!$C$6="",$C634=클레임조회!$C$6),OR(클레임조회!$C$7="",$D634=클레임조회!$C$7),OR(클레임조회!$C$8="",$E634=클레임조회!$C$8),OR(클레임조회!$C$9="",$F634=클레임조회!$C$9),OR(클레임조회!$C$10="",ISNUMBER(SEARCH(클레임조회!$C$10,$C634&amp;" "&amp;$F634&amp;" "&amp;$G634&amp;" "&amp;$H634)))),COUNT(O$1:O633)+1,"")</f>
        <v/>
      </c>
      <c r="P634" s="0" t="str">
        <f aca="false">IF(AND(TRIM(C634)&lt;&gt;"",COUNTIF(C$2:C634,C634)=1),MAX(P$1:P633)+1,"")</f>
        <v/>
      </c>
      <c r="Q634" s="0" t="str">
        <f aca="false">IF(AND(TRIM(F634)&lt;&gt;"",COUNTIF(F$2:F634,F634)=1),MAX(Q$1:Q633)+1,"")</f>
        <v/>
      </c>
    </row>
    <row r="635" customFormat="false" ht="15" hidden="false" customHeight="false" outlineLevel="0" collapsed="false">
      <c r="A635" s="9"/>
      <c r="B635" s="10"/>
      <c r="C635" s="11"/>
      <c r="D635" s="11"/>
      <c r="E635" s="11"/>
      <c r="F635" s="11"/>
      <c r="G635" s="12"/>
      <c r="H635" s="12"/>
      <c r="I635" s="10"/>
      <c r="J635" s="12"/>
      <c r="K635" s="13" t="str">
        <f aca="false">IF(ISNUMBER(B635),YEAR(B635),"")</f>
        <v/>
      </c>
      <c r="L635" s="13" t="str">
        <f aca="false">IF(ISNUMBER(B635),MONTH(B635),"")</f>
        <v/>
      </c>
      <c r="M635" s="13" t="str">
        <f aca="false">IF(AND(ISNUMBER(B635),ISNUMBER(I635)),B635-I635+1,"")</f>
        <v/>
      </c>
      <c r="N635" s="14" t="str">
        <f aca="false">IF(B635="","",IF(M635="","시작일 미입력",IF(M635&lt;1,"시작일 이전(확인)",IF(M635=1,"1일째",IF(M635=2,"2일째",IF(M635=3,"3일째",IF(M635&lt;=7,"일주일 이내",IF(M635&lt;=14,"이주일 이내","15일 이후"))))))))</f>
        <v/>
      </c>
      <c r="O635" s="0" t="str">
        <f aca="false">IF(AND(COUNTA($A635:$J635)&gt;0,OR(클레임조회!$C$4="",AND(ISNUMBER($B635),$B635&gt;=클레임조회!$C$4)),OR(클레임조회!$C$5="",AND(ISNUMBER($B635),$B635&lt;=클레임조회!$C$5)),OR(클레임조회!$C$6="",$C635=클레임조회!$C$6),OR(클레임조회!$C$7="",$D635=클레임조회!$C$7),OR(클레임조회!$C$8="",$E635=클레임조회!$C$8),OR(클레임조회!$C$9="",$F635=클레임조회!$C$9),OR(클레임조회!$C$10="",ISNUMBER(SEARCH(클레임조회!$C$10,$C635&amp;" "&amp;$F635&amp;" "&amp;$G635&amp;" "&amp;$H635)))),COUNT(O$1:O634)+1,"")</f>
        <v/>
      </c>
      <c r="P635" s="0" t="str">
        <f aca="false">IF(AND(TRIM(C635)&lt;&gt;"",COUNTIF(C$2:C635,C635)=1),MAX(P$1:P634)+1,"")</f>
        <v/>
      </c>
      <c r="Q635" s="0" t="str">
        <f aca="false">IF(AND(TRIM(F635)&lt;&gt;"",COUNTIF(F$2:F635,F635)=1),MAX(Q$1:Q634)+1,"")</f>
        <v/>
      </c>
    </row>
    <row r="636" customFormat="false" ht="15" hidden="false" customHeight="false" outlineLevel="0" collapsed="false">
      <c r="A636" s="9"/>
      <c r="B636" s="10"/>
      <c r="C636" s="11"/>
      <c r="D636" s="11"/>
      <c r="E636" s="11"/>
      <c r="F636" s="11"/>
      <c r="G636" s="12"/>
      <c r="H636" s="12"/>
      <c r="I636" s="10"/>
      <c r="J636" s="12"/>
      <c r="K636" s="13" t="str">
        <f aca="false">IF(ISNUMBER(B636),YEAR(B636),"")</f>
        <v/>
      </c>
      <c r="L636" s="13" t="str">
        <f aca="false">IF(ISNUMBER(B636),MONTH(B636),"")</f>
        <v/>
      </c>
      <c r="M636" s="13" t="str">
        <f aca="false">IF(AND(ISNUMBER(B636),ISNUMBER(I636)),B636-I636+1,"")</f>
        <v/>
      </c>
      <c r="N636" s="14" t="str">
        <f aca="false">IF(B636="","",IF(M636="","시작일 미입력",IF(M636&lt;1,"시작일 이전(확인)",IF(M636=1,"1일째",IF(M636=2,"2일째",IF(M636=3,"3일째",IF(M636&lt;=7,"일주일 이내",IF(M636&lt;=14,"이주일 이내","15일 이후"))))))))</f>
        <v/>
      </c>
      <c r="O636" s="0" t="str">
        <f aca="false">IF(AND(COUNTA($A636:$J636)&gt;0,OR(클레임조회!$C$4="",AND(ISNUMBER($B636),$B636&gt;=클레임조회!$C$4)),OR(클레임조회!$C$5="",AND(ISNUMBER($B636),$B636&lt;=클레임조회!$C$5)),OR(클레임조회!$C$6="",$C636=클레임조회!$C$6),OR(클레임조회!$C$7="",$D636=클레임조회!$C$7),OR(클레임조회!$C$8="",$E636=클레임조회!$C$8),OR(클레임조회!$C$9="",$F636=클레임조회!$C$9),OR(클레임조회!$C$10="",ISNUMBER(SEARCH(클레임조회!$C$10,$C636&amp;" "&amp;$F636&amp;" "&amp;$G636&amp;" "&amp;$H636)))),COUNT(O$1:O635)+1,"")</f>
        <v/>
      </c>
      <c r="P636" s="0" t="str">
        <f aca="false">IF(AND(TRIM(C636)&lt;&gt;"",COUNTIF(C$2:C636,C636)=1),MAX(P$1:P635)+1,"")</f>
        <v/>
      </c>
      <c r="Q636" s="0" t="str">
        <f aca="false">IF(AND(TRIM(F636)&lt;&gt;"",COUNTIF(F$2:F636,F636)=1),MAX(Q$1:Q635)+1,"")</f>
        <v/>
      </c>
    </row>
    <row r="637" customFormat="false" ht="15" hidden="false" customHeight="false" outlineLevel="0" collapsed="false">
      <c r="A637" s="9"/>
      <c r="B637" s="10"/>
      <c r="C637" s="11"/>
      <c r="D637" s="11"/>
      <c r="E637" s="11"/>
      <c r="F637" s="11"/>
      <c r="G637" s="12"/>
      <c r="H637" s="12"/>
      <c r="I637" s="10"/>
      <c r="J637" s="12"/>
      <c r="K637" s="13" t="str">
        <f aca="false">IF(ISNUMBER(B637),YEAR(B637),"")</f>
        <v/>
      </c>
      <c r="L637" s="13" t="str">
        <f aca="false">IF(ISNUMBER(B637),MONTH(B637),"")</f>
        <v/>
      </c>
      <c r="M637" s="13" t="str">
        <f aca="false">IF(AND(ISNUMBER(B637),ISNUMBER(I637)),B637-I637+1,"")</f>
        <v/>
      </c>
      <c r="N637" s="14" t="str">
        <f aca="false">IF(B637="","",IF(M637="","시작일 미입력",IF(M637&lt;1,"시작일 이전(확인)",IF(M637=1,"1일째",IF(M637=2,"2일째",IF(M637=3,"3일째",IF(M637&lt;=7,"일주일 이내",IF(M637&lt;=14,"이주일 이내","15일 이후"))))))))</f>
        <v/>
      </c>
      <c r="O637" s="0" t="str">
        <f aca="false">IF(AND(COUNTA($A637:$J637)&gt;0,OR(클레임조회!$C$4="",AND(ISNUMBER($B637),$B637&gt;=클레임조회!$C$4)),OR(클레임조회!$C$5="",AND(ISNUMBER($B637),$B637&lt;=클레임조회!$C$5)),OR(클레임조회!$C$6="",$C637=클레임조회!$C$6),OR(클레임조회!$C$7="",$D637=클레임조회!$C$7),OR(클레임조회!$C$8="",$E637=클레임조회!$C$8),OR(클레임조회!$C$9="",$F637=클레임조회!$C$9),OR(클레임조회!$C$10="",ISNUMBER(SEARCH(클레임조회!$C$10,$C637&amp;" "&amp;$F637&amp;" "&amp;$G637&amp;" "&amp;$H637)))),COUNT(O$1:O636)+1,"")</f>
        <v/>
      </c>
      <c r="P637" s="0" t="str">
        <f aca="false">IF(AND(TRIM(C637)&lt;&gt;"",COUNTIF(C$2:C637,C637)=1),MAX(P$1:P636)+1,"")</f>
        <v/>
      </c>
      <c r="Q637" s="0" t="str">
        <f aca="false">IF(AND(TRIM(F637)&lt;&gt;"",COUNTIF(F$2:F637,F637)=1),MAX(Q$1:Q636)+1,"")</f>
        <v/>
      </c>
    </row>
    <row r="638" customFormat="false" ht="15" hidden="false" customHeight="false" outlineLevel="0" collapsed="false">
      <c r="A638" s="9"/>
      <c r="B638" s="10"/>
      <c r="C638" s="11"/>
      <c r="D638" s="11"/>
      <c r="E638" s="11"/>
      <c r="F638" s="11"/>
      <c r="G638" s="12"/>
      <c r="H638" s="12"/>
      <c r="I638" s="10"/>
      <c r="J638" s="12"/>
      <c r="K638" s="13" t="str">
        <f aca="false">IF(ISNUMBER(B638),YEAR(B638),"")</f>
        <v/>
      </c>
      <c r="L638" s="13" t="str">
        <f aca="false">IF(ISNUMBER(B638),MONTH(B638),"")</f>
        <v/>
      </c>
      <c r="M638" s="13" t="str">
        <f aca="false">IF(AND(ISNUMBER(B638),ISNUMBER(I638)),B638-I638+1,"")</f>
        <v/>
      </c>
      <c r="N638" s="14" t="str">
        <f aca="false">IF(B638="","",IF(M638="","시작일 미입력",IF(M638&lt;1,"시작일 이전(확인)",IF(M638=1,"1일째",IF(M638=2,"2일째",IF(M638=3,"3일째",IF(M638&lt;=7,"일주일 이내",IF(M638&lt;=14,"이주일 이내","15일 이후"))))))))</f>
        <v/>
      </c>
      <c r="O638" s="0" t="str">
        <f aca="false">IF(AND(COUNTA($A638:$J638)&gt;0,OR(클레임조회!$C$4="",AND(ISNUMBER($B638),$B638&gt;=클레임조회!$C$4)),OR(클레임조회!$C$5="",AND(ISNUMBER($B638),$B638&lt;=클레임조회!$C$5)),OR(클레임조회!$C$6="",$C638=클레임조회!$C$6),OR(클레임조회!$C$7="",$D638=클레임조회!$C$7),OR(클레임조회!$C$8="",$E638=클레임조회!$C$8),OR(클레임조회!$C$9="",$F638=클레임조회!$C$9),OR(클레임조회!$C$10="",ISNUMBER(SEARCH(클레임조회!$C$10,$C638&amp;" "&amp;$F638&amp;" "&amp;$G638&amp;" "&amp;$H638)))),COUNT(O$1:O637)+1,"")</f>
        <v/>
      </c>
      <c r="P638" s="0" t="str">
        <f aca="false">IF(AND(TRIM(C638)&lt;&gt;"",COUNTIF(C$2:C638,C638)=1),MAX(P$1:P637)+1,"")</f>
        <v/>
      </c>
      <c r="Q638" s="0" t="str">
        <f aca="false">IF(AND(TRIM(F638)&lt;&gt;"",COUNTIF(F$2:F638,F638)=1),MAX(Q$1:Q637)+1,"")</f>
        <v/>
      </c>
    </row>
    <row r="639" customFormat="false" ht="15" hidden="false" customHeight="false" outlineLevel="0" collapsed="false">
      <c r="A639" s="9"/>
      <c r="B639" s="10"/>
      <c r="C639" s="11"/>
      <c r="D639" s="11"/>
      <c r="E639" s="11"/>
      <c r="F639" s="11"/>
      <c r="G639" s="12"/>
      <c r="H639" s="12"/>
      <c r="I639" s="10"/>
      <c r="J639" s="12"/>
      <c r="K639" s="13" t="str">
        <f aca="false">IF(ISNUMBER(B639),YEAR(B639),"")</f>
        <v/>
      </c>
      <c r="L639" s="13" t="str">
        <f aca="false">IF(ISNUMBER(B639),MONTH(B639),"")</f>
        <v/>
      </c>
      <c r="M639" s="13" t="str">
        <f aca="false">IF(AND(ISNUMBER(B639),ISNUMBER(I639)),B639-I639+1,"")</f>
        <v/>
      </c>
      <c r="N639" s="14" t="str">
        <f aca="false">IF(B639="","",IF(M639="","시작일 미입력",IF(M639&lt;1,"시작일 이전(확인)",IF(M639=1,"1일째",IF(M639=2,"2일째",IF(M639=3,"3일째",IF(M639&lt;=7,"일주일 이내",IF(M639&lt;=14,"이주일 이내","15일 이후"))))))))</f>
        <v/>
      </c>
      <c r="O639" s="0" t="str">
        <f aca="false">IF(AND(COUNTA($A639:$J639)&gt;0,OR(클레임조회!$C$4="",AND(ISNUMBER($B639),$B639&gt;=클레임조회!$C$4)),OR(클레임조회!$C$5="",AND(ISNUMBER($B639),$B639&lt;=클레임조회!$C$5)),OR(클레임조회!$C$6="",$C639=클레임조회!$C$6),OR(클레임조회!$C$7="",$D639=클레임조회!$C$7),OR(클레임조회!$C$8="",$E639=클레임조회!$C$8),OR(클레임조회!$C$9="",$F639=클레임조회!$C$9),OR(클레임조회!$C$10="",ISNUMBER(SEARCH(클레임조회!$C$10,$C639&amp;" "&amp;$F639&amp;" "&amp;$G639&amp;" "&amp;$H639)))),COUNT(O$1:O638)+1,"")</f>
        <v/>
      </c>
      <c r="P639" s="0" t="str">
        <f aca="false">IF(AND(TRIM(C639)&lt;&gt;"",COUNTIF(C$2:C639,C639)=1),MAX(P$1:P638)+1,"")</f>
        <v/>
      </c>
      <c r="Q639" s="0" t="str">
        <f aca="false">IF(AND(TRIM(F639)&lt;&gt;"",COUNTIF(F$2:F639,F639)=1),MAX(Q$1:Q638)+1,"")</f>
        <v/>
      </c>
    </row>
    <row r="640" customFormat="false" ht="15" hidden="false" customHeight="false" outlineLevel="0" collapsed="false">
      <c r="A640" s="9"/>
      <c r="B640" s="10"/>
      <c r="C640" s="11"/>
      <c r="D640" s="11"/>
      <c r="E640" s="11"/>
      <c r="F640" s="11"/>
      <c r="G640" s="12"/>
      <c r="H640" s="12"/>
      <c r="I640" s="10"/>
      <c r="J640" s="12"/>
      <c r="K640" s="13" t="str">
        <f aca="false">IF(ISNUMBER(B640),YEAR(B640),"")</f>
        <v/>
      </c>
      <c r="L640" s="13" t="str">
        <f aca="false">IF(ISNUMBER(B640),MONTH(B640),"")</f>
        <v/>
      </c>
      <c r="M640" s="13" t="str">
        <f aca="false">IF(AND(ISNUMBER(B640),ISNUMBER(I640)),B640-I640+1,"")</f>
        <v/>
      </c>
      <c r="N640" s="14" t="str">
        <f aca="false">IF(B640="","",IF(M640="","시작일 미입력",IF(M640&lt;1,"시작일 이전(확인)",IF(M640=1,"1일째",IF(M640=2,"2일째",IF(M640=3,"3일째",IF(M640&lt;=7,"일주일 이내",IF(M640&lt;=14,"이주일 이내","15일 이후"))))))))</f>
        <v/>
      </c>
      <c r="O640" s="0" t="str">
        <f aca="false">IF(AND(COUNTA($A640:$J640)&gt;0,OR(클레임조회!$C$4="",AND(ISNUMBER($B640),$B640&gt;=클레임조회!$C$4)),OR(클레임조회!$C$5="",AND(ISNUMBER($B640),$B640&lt;=클레임조회!$C$5)),OR(클레임조회!$C$6="",$C640=클레임조회!$C$6),OR(클레임조회!$C$7="",$D640=클레임조회!$C$7),OR(클레임조회!$C$8="",$E640=클레임조회!$C$8),OR(클레임조회!$C$9="",$F640=클레임조회!$C$9),OR(클레임조회!$C$10="",ISNUMBER(SEARCH(클레임조회!$C$10,$C640&amp;" "&amp;$F640&amp;" "&amp;$G640&amp;" "&amp;$H640)))),COUNT(O$1:O639)+1,"")</f>
        <v/>
      </c>
      <c r="P640" s="0" t="str">
        <f aca="false">IF(AND(TRIM(C640)&lt;&gt;"",COUNTIF(C$2:C640,C640)=1),MAX(P$1:P639)+1,"")</f>
        <v/>
      </c>
      <c r="Q640" s="0" t="str">
        <f aca="false">IF(AND(TRIM(F640)&lt;&gt;"",COUNTIF(F$2:F640,F640)=1),MAX(Q$1:Q639)+1,"")</f>
        <v/>
      </c>
    </row>
    <row r="641" customFormat="false" ht="15" hidden="false" customHeight="false" outlineLevel="0" collapsed="false">
      <c r="A641" s="9"/>
      <c r="B641" s="10"/>
      <c r="C641" s="11"/>
      <c r="D641" s="11"/>
      <c r="E641" s="11"/>
      <c r="F641" s="11"/>
      <c r="G641" s="12"/>
      <c r="H641" s="12"/>
      <c r="I641" s="10"/>
      <c r="J641" s="12"/>
      <c r="K641" s="13" t="str">
        <f aca="false">IF(ISNUMBER(B641),YEAR(B641),"")</f>
        <v/>
      </c>
      <c r="L641" s="13" t="str">
        <f aca="false">IF(ISNUMBER(B641),MONTH(B641),"")</f>
        <v/>
      </c>
      <c r="M641" s="13" t="str">
        <f aca="false">IF(AND(ISNUMBER(B641),ISNUMBER(I641)),B641-I641+1,"")</f>
        <v/>
      </c>
      <c r="N641" s="14" t="str">
        <f aca="false">IF(B641="","",IF(M641="","시작일 미입력",IF(M641&lt;1,"시작일 이전(확인)",IF(M641=1,"1일째",IF(M641=2,"2일째",IF(M641=3,"3일째",IF(M641&lt;=7,"일주일 이내",IF(M641&lt;=14,"이주일 이내","15일 이후"))))))))</f>
        <v/>
      </c>
      <c r="O641" s="0" t="str">
        <f aca="false">IF(AND(COUNTA($A641:$J641)&gt;0,OR(클레임조회!$C$4="",AND(ISNUMBER($B641),$B641&gt;=클레임조회!$C$4)),OR(클레임조회!$C$5="",AND(ISNUMBER($B641),$B641&lt;=클레임조회!$C$5)),OR(클레임조회!$C$6="",$C641=클레임조회!$C$6),OR(클레임조회!$C$7="",$D641=클레임조회!$C$7),OR(클레임조회!$C$8="",$E641=클레임조회!$C$8),OR(클레임조회!$C$9="",$F641=클레임조회!$C$9),OR(클레임조회!$C$10="",ISNUMBER(SEARCH(클레임조회!$C$10,$C641&amp;" "&amp;$F641&amp;" "&amp;$G641&amp;" "&amp;$H641)))),COUNT(O$1:O640)+1,"")</f>
        <v/>
      </c>
      <c r="P641" s="0" t="str">
        <f aca="false">IF(AND(TRIM(C641)&lt;&gt;"",COUNTIF(C$2:C641,C641)=1),MAX(P$1:P640)+1,"")</f>
        <v/>
      </c>
      <c r="Q641" s="0" t="str">
        <f aca="false">IF(AND(TRIM(F641)&lt;&gt;"",COUNTIF(F$2:F641,F641)=1),MAX(Q$1:Q640)+1,"")</f>
        <v/>
      </c>
    </row>
    <row r="642" customFormat="false" ht="15" hidden="false" customHeight="false" outlineLevel="0" collapsed="false">
      <c r="A642" s="9"/>
      <c r="B642" s="10"/>
      <c r="C642" s="11"/>
      <c r="D642" s="11"/>
      <c r="E642" s="11"/>
      <c r="F642" s="11"/>
      <c r="G642" s="12"/>
      <c r="H642" s="12"/>
      <c r="I642" s="10"/>
      <c r="J642" s="12"/>
      <c r="K642" s="13" t="str">
        <f aca="false">IF(ISNUMBER(B642),YEAR(B642),"")</f>
        <v/>
      </c>
      <c r="L642" s="13" t="str">
        <f aca="false">IF(ISNUMBER(B642),MONTH(B642),"")</f>
        <v/>
      </c>
      <c r="M642" s="13" t="str">
        <f aca="false">IF(AND(ISNUMBER(B642),ISNUMBER(I642)),B642-I642+1,"")</f>
        <v/>
      </c>
      <c r="N642" s="14" t="str">
        <f aca="false">IF(B642="","",IF(M642="","시작일 미입력",IF(M642&lt;1,"시작일 이전(확인)",IF(M642=1,"1일째",IF(M642=2,"2일째",IF(M642=3,"3일째",IF(M642&lt;=7,"일주일 이내",IF(M642&lt;=14,"이주일 이내","15일 이후"))))))))</f>
        <v/>
      </c>
      <c r="O642" s="0" t="str">
        <f aca="false">IF(AND(COUNTA($A642:$J642)&gt;0,OR(클레임조회!$C$4="",AND(ISNUMBER($B642),$B642&gt;=클레임조회!$C$4)),OR(클레임조회!$C$5="",AND(ISNUMBER($B642),$B642&lt;=클레임조회!$C$5)),OR(클레임조회!$C$6="",$C642=클레임조회!$C$6),OR(클레임조회!$C$7="",$D642=클레임조회!$C$7),OR(클레임조회!$C$8="",$E642=클레임조회!$C$8),OR(클레임조회!$C$9="",$F642=클레임조회!$C$9),OR(클레임조회!$C$10="",ISNUMBER(SEARCH(클레임조회!$C$10,$C642&amp;" "&amp;$F642&amp;" "&amp;$G642&amp;" "&amp;$H642)))),COUNT(O$1:O641)+1,"")</f>
        <v/>
      </c>
      <c r="P642" s="0" t="str">
        <f aca="false">IF(AND(TRIM(C642)&lt;&gt;"",COUNTIF(C$2:C642,C642)=1),MAX(P$1:P641)+1,"")</f>
        <v/>
      </c>
      <c r="Q642" s="0" t="str">
        <f aca="false">IF(AND(TRIM(F642)&lt;&gt;"",COUNTIF(F$2:F642,F642)=1),MAX(Q$1:Q641)+1,"")</f>
        <v/>
      </c>
    </row>
    <row r="643" customFormat="false" ht="15" hidden="false" customHeight="false" outlineLevel="0" collapsed="false">
      <c r="A643" s="9"/>
      <c r="B643" s="10"/>
      <c r="C643" s="11"/>
      <c r="D643" s="11"/>
      <c r="E643" s="11"/>
      <c r="F643" s="11"/>
      <c r="G643" s="12"/>
      <c r="H643" s="12"/>
      <c r="I643" s="10"/>
      <c r="J643" s="12"/>
      <c r="K643" s="13" t="str">
        <f aca="false">IF(ISNUMBER(B643),YEAR(B643),"")</f>
        <v/>
      </c>
      <c r="L643" s="13" t="str">
        <f aca="false">IF(ISNUMBER(B643),MONTH(B643),"")</f>
        <v/>
      </c>
      <c r="M643" s="13" t="str">
        <f aca="false">IF(AND(ISNUMBER(B643),ISNUMBER(I643)),B643-I643+1,"")</f>
        <v/>
      </c>
      <c r="N643" s="14" t="str">
        <f aca="false">IF(B643="","",IF(M643="","시작일 미입력",IF(M643&lt;1,"시작일 이전(확인)",IF(M643=1,"1일째",IF(M643=2,"2일째",IF(M643=3,"3일째",IF(M643&lt;=7,"일주일 이내",IF(M643&lt;=14,"이주일 이내","15일 이후"))))))))</f>
        <v/>
      </c>
      <c r="O643" s="0" t="str">
        <f aca="false">IF(AND(COUNTA($A643:$J643)&gt;0,OR(클레임조회!$C$4="",AND(ISNUMBER($B643),$B643&gt;=클레임조회!$C$4)),OR(클레임조회!$C$5="",AND(ISNUMBER($B643),$B643&lt;=클레임조회!$C$5)),OR(클레임조회!$C$6="",$C643=클레임조회!$C$6),OR(클레임조회!$C$7="",$D643=클레임조회!$C$7),OR(클레임조회!$C$8="",$E643=클레임조회!$C$8),OR(클레임조회!$C$9="",$F643=클레임조회!$C$9),OR(클레임조회!$C$10="",ISNUMBER(SEARCH(클레임조회!$C$10,$C643&amp;" "&amp;$F643&amp;" "&amp;$G643&amp;" "&amp;$H643)))),COUNT(O$1:O642)+1,"")</f>
        <v/>
      </c>
      <c r="P643" s="0" t="str">
        <f aca="false">IF(AND(TRIM(C643)&lt;&gt;"",COUNTIF(C$2:C643,C643)=1),MAX(P$1:P642)+1,"")</f>
        <v/>
      </c>
      <c r="Q643" s="0" t="str">
        <f aca="false">IF(AND(TRIM(F643)&lt;&gt;"",COUNTIF(F$2:F643,F643)=1),MAX(Q$1:Q642)+1,"")</f>
        <v/>
      </c>
    </row>
    <row r="644" customFormat="false" ht="15" hidden="false" customHeight="false" outlineLevel="0" collapsed="false">
      <c r="A644" s="9"/>
      <c r="B644" s="10"/>
      <c r="C644" s="11"/>
      <c r="D644" s="11"/>
      <c r="E644" s="11"/>
      <c r="F644" s="11"/>
      <c r="G644" s="12"/>
      <c r="H644" s="12"/>
      <c r="I644" s="10"/>
      <c r="J644" s="12"/>
      <c r="K644" s="13" t="str">
        <f aca="false">IF(ISNUMBER(B644),YEAR(B644),"")</f>
        <v/>
      </c>
      <c r="L644" s="13" t="str">
        <f aca="false">IF(ISNUMBER(B644),MONTH(B644),"")</f>
        <v/>
      </c>
      <c r="M644" s="13" t="str">
        <f aca="false">IF(AND(ISNUMBER(B644),ISNUMBER(I644)),B644-I644+1,"")</f>
        <v/>
      </c>
      <c r="N644" s="14" t="str">
        <f aca="false">IF(B644="","",IF(M644="","시작일 미입력",IF(M644&lt;1,"시작일 이전(확인)",IF(M644=1,"1일째",IF(M644=2,"2일째",IF(M644=3,"3일째",IF(M644&lt;=7,"일주일 이내",IF(M644&lt;=14,"이주일 이내","15일 이후"))))))))</f>
        <v/>
      </c>
      <c r="O644" s="0" t="str">
        <f aca="false">IF(AND(COUNTA($A644:$J644)&gt;0,OR(클레임조회!$C$4="",AND(ISNUMBER($B644),$B644&gt;=클레임조회!$C$4)),OR(클레임조회!$C$5="",AND(ISNUMBER($B644),$B644&lt;=클레임조회!$C$5)),OR(클레임조회!$C$6="",$C644=클레임조회!$C$6),OR(클레임조회!$C$7="",$D644=클레임조회!$C$7),OR(클레임조회!$C$8="",$E644=클레임조회!$C$8),OR(클레임조회!$C$9="",$F644=클레임조회!$C$9),OR(클레임조회!$C$10="",ISNUMBER(SEARCH(클레임조회!$C$10,$C644&amp;" "&amp;$F644&amp;" "&amp;$G644&amp;" "&amp;$H644)))),COUNT(O$1:O643)+1,"")</f>
        <v/>
      </c>
      <c r="P644" s="0" t="str">
        <f aca="false">IF(AND(TRIM(C644)&lt;&gt;"",COUNTIF(C$2:C644,C644)=1),MAX(P$1:P643)+1,"")</f>
        <v/>
      </c>
      <c r="Q644" s="0" t="str">
        <f aca="false">IF(AND(TRIM(F644)&lt;&gt;"",COUNTIF(F$2:F644,F644)=1),MAX(Q$1:Q643)+1,"")</f>
        <v/>
      </c>
    </row>
    <row r="645" customFormat="false" ht="15" hidden="false" customHeight="false" outlineLevel="0" collapsed="false">
      <c r="A645" s="9"/>
      <c r="B645" s="10"/>
      <c r="C645" s="11"/>
      <c r="D645" s="11"/>
      <c r="E645" s="11"/>
      <c r="F645" s="11"/>
      <c r="G645" s="12"/>
      <c r="H645" s="12"/>
      <c r="I645" s="10"/>
      <c r="J645" s="12"/>
      <c r="K645" s="13" t="str">
        <f aca="false">IF(ISNUMBER(B645),YEAR(B645),"")</f>
        <v/>
      </c>
      <c r="L645" s="13" t="str">
        <f aca="false">IF(ISNUMBER(B645),MONTH(B645),"")</f>
        <v/>
      </c>
      <c r="M645" s="13" t="str">
        <f aca="false">IF(AND(ISNUMBER(B645),ISNUMBER(I645)),B645-I645+1,"")</f>
        <v/>
      </c>
      <c r="N645" s="14" t="str">
        <f aca="false">IF(B645="","",IF(M645="","시작일 미입력",IF(M645&lt;1,"시작일 이전(확인)",IF(M645=1,"1일째",IF(M645=2,"2일째",IF(M645=3,"3일째",IF(M645&lt;=7,"일주일 이내",IF(M645&lt;=14,"이주일 이내","15일 이후"))))))))</f>
        <v/>
      </c>
      <c r="O645" s="0" t="str">
        <f aca="false">IF(AND(COUNTA($A645:$J645)&gt;0,OR(클레임조회!$C$4="",AND(ISNUMBER($B645),$B645&gt;=클레임조회!$C$4)),OR(클레임조회!$C$5="",AND(ISNUMBER($B645),$B645&lt;=클레임조회!$C$5)),OR(클레임조회!$C$6="",$C645=클레임조회!$C$6),OR(클레임조회!$C$7="",$D645=클레임조회!$C$7),OR(클레임조회!$C$8="",$E645=클레임조회!$C$8),OR(클레임조회!$C$9="",$F645=클레임조회!$C$9),OR(클레임조회!$C$10="",ISNUMBER(SEARCH(클레임조회!$C$10,$C645&amp;" "&amp;$F645&amp;" "&amp;$G645&amp;" "&amp;$H645)))),COUNT(O$1:O644)+1,"")</f>
        <v/>
      </c>
      <c r="P645" s="0" t="str">
        <f aca="false">IF(AND(TRIM(C645)&lt;&gt;"",COUNTIF(C$2:C645,C645)=1),MAX(P$1:P644)+1,"")</f>
        <v/>
      </c>
      <c r="Q645" s="0" t="str">
        <f aca="false">IF(AND(TRIM(F645)&lt;&gt;"",COUNTIF(F$2:F645,F645)=1),MAX(Q$1:Q644)+1,"")</f>
        <v/>
      </c>
    </row>
    <row r="646" customFormat="false" ht="15" hidden="false" customHeight="false" outlineLevel="0" collapsed="false">
      <c r="A646" s="9"/>
      <c r="B646" s="10"/>
      <c r="C646" s="11"/>
      <c r="D646" s="11"/>
      <c r="E646" s="11"/>
      <c r="F646" s="11"/>
      <c r="G646" s="12"/>
      <c r="H646" s="12"/>
      <c r="I646" s="10"/>
      <c r="J646" s="12"/>
      <c r="K646" s="13" t="str">
        <f aca="false">IF(ISNUMBER(B646),YEAR(B646),"")</f>
        <v/>
      </c>
      <c r="L646" s="13" t="str">
        <f aca="false">IF(ISNUMBER(B646),MONTH(B646),"")</f>
        <v/>
      </c>
      <c r="M646" s="13" t="str">
        <f aca="false">IF(AND(ISNUMBER(B646),ISNUMBER(I646)),B646-I646+1,"")</f>
        <v/>
      </c>
      <c r="N646" s="14" t="str">
        <f aca="false">IF(B646="","",IF(M646="","시작일 미입력",IF(M646&lt;1,"시작일 이전(확인)",IF(M646=1,"1일째",IF(M646=2,"2일째",IF(M646=3,"3일째",IF(M646&lt;=7,"일주일 이내",IF(M646&lt;=14,"이주일 이내","15일 이후"))))))))</f>
        <v/>
      </c>
      <c r="O646" s="0" t="str">
        <f aca="false">IF(AND(COUNTA($A646:$J646)&gt;0,OR(클레임조회!$C$4="",AND(ISNUMBER($B646),$B646&gt;=클레임조회!$C$4)),OR(클레임조회!$C$5="",AND(ISNUMBER($B646),$B646&lt;=클레임조회!$C$5)),OR(클레임조회!$C$6="",$C646=클레임조회!$C$6),OR(클레임조회!$C$7="",$D646=클레임조회!$C$7),OR(클레임조회!$C$8="",$E646=클레임조회!$C$8),OR(클레임조회!$C$9="",$F646=클레임조회!$C$9),OR(클레임조회!$C$10="",ISNUMBER(SEARCH(클레임조회!$C$10,$C646&amp;" "&amp;$F646&amp;" "&amp;$G646&amp;" "&amp;$H646)))),COUNT(O$1:O645)+1,"")</f>
        <v/>
      </c>
      <c r="P646" s="0" t="str">
        <f aca="false">IF(AND(TRIM(C646)&lt;&gt;"",COUNTIF(C$2:C646,C646)=1),MAX(P$1:P645)+1,"")</f>
        <v/>
      </c>
      <c r="Q646" s="0" t="str">
        <f aca="false">IF(AND(TRIM(F646)&lt;&gt;"",COUNTIF(F$2:F646,F646)=1),MAX(Q$1:Q645)+1,"")</f>
        <v/>
      </c>
    </row>
    <row r="647" customFormat="false" ht="15" hidden="false" customHeight="false" outlineLevel="0" collapsed="false">
      <c r="A647" s="9"/>
      <c r="B647" s="10"/>
      <c r="C647" s="11"/>
      <c r="D647" s="11"/>
      <c r="E647" s="11"/>
      <c r="F647" s="11"/>
      <c r="G647" s="12"/>
      <c r="H647" s="12"/>
      <c r="I647" s="10"/>
      <c r="J647" s="12"/>
      <c r="K647" s="13" t="str">
        <f aca="false">IF(ISNUMBER(B647),YEAR(B647),"")</f>
        <v/>
      </c>
      <c r="L647" s="13" t="str">
        <f aca="false">IF(ISNUMBER(B647),MONTH(B647),"")</f>
        <v/>
      </c>
      <c r="M647" s="13" t="str">
        <f aca="false">IF(AND(ISNUMBER(B647),ISNUMBER(I647)),B647-I647+1,"")</f>
        <v/>
      </c>
      <c r="N647" s="14" t="str">
        <f aca="false">IF(B647="","",IF(M647="","시작일 미입력",IF(M647&lt;1,"시작일 이전(확인)",IF(M647=1,"1일째",IF(M647=2,"2일째",IF(M647=3,"3일째",IF(M647&lt;=7,"일주일 이내",IF(M647&lt;=14,"이주일 이내","15일 이후"))))))))</f>
        <v/>
      </c>
      <c r="O647" s="0" t="str">
        <f aca="false">IF(AND(COUNTA($A647:$J647)&gt;0,OR(클레임조회!$C$4="",AND(ISNUMBER($B647),$B647&gt;=클레임조회!$C$4)),OR(클레임조회!$C$5="",AND(ISNUMBER($B647),$B647&lt;=클레임조회!$C$5)),OR(클레임조회!$C$6="",$C647=클레임조회!$C$6),OR(클레임조회!$C$7="",$D647=클레임조회!$C$7),OR(클레임조회!$C$8="",$E647=클레임조회!$C$8),OR(클레임조회!$C$9="",$F647=클레임조회!$C$9),OR(클레임조회!$C$10="",ISNUMBER(SEARCH(클레임조회!$C$10,$C647&amp;" "&amp;$F647&amp;" "&amp;$G647&amp;" "&amp;$H647)))),COUNT(O$1:O646)+1,"")</f>
        <v/>
      </c>
      <c r="P647" s="0" t="str">
        <f aca="false">IF(AND(TRIM(C647)&lt;&gt;"",COUNTIF(C$2:C647,C647)=1),MAX(P$1:P646)+1,"")</f>
        <v/>
      </c>
      <c r="Q647" s="0" t="str">
        <f aca="false">IF(AND(TRIM(F647)&lt;&gt;"",COUNTIF(F$2:F647,F647)=1),MAX(Q$1:Q646)+1,"")</f>
        <v/>
      </c>
    </row>
    <row r="648" customFormat="false" ht="15" hidden="false" customHeight="false" outlineLevel="0" collapsed="false">
      <c r="A648" s="9"/>
      <c r="B648" s="10"/>
      <c r="C648" s="11"/>
      <c r="D648" s="11"/>
      <c r="E648" s="11"/>
      <c r="F648" s="11"/>
      <c r="G648" s="12"/>
      <c r="H648" s="12"/>
      <c r="I648" s="10"/>
      <c r="J648" s="12"/>
      <c r="K648" s="13" t="str">
        <f aca="false">IF(ISNUMBER(B648),YEAR(B648),"")</f>
        <v/>
      </c>
      <c r="L648" s="13" t="str">
        <f aca="false">IF(ISNUMBER(B648),MONTH(B648),"")</f>
        <v/>
      </c>
      <c r="M648" s="13" t="str">
        <f aca="false">IF(AND(ISNUMBER(B648),ISNUMBER(I648)),B648-I648+1,"")</f>
        <v/>
      </c>
      <c r="N648" s="14" t="str">
        <f aca="false">IF(B648="","",IF(M648="","시작일 미입력",IF(M648&lt;1,"시작일 이전(확인)",IF(M648=1,"1일째",IF(M648=2,"2일째",IF(M648=3,"3일째",IF(M648&lt;=7,"일주일 이내",IF(M648&lt;=14,"이주일 이내","15일 이후"))))))))</f>
        <v/>
      </c>
      <c r="O648" s="0" t="str">
        <f aca="false">IF(AND(COUNTA($A648:$J648)&gt;0,OR(클레임조회!$C$4="",AND(ISNUMBER($B648),$B648&gt;=클레임조회!$C$4)),OR(클레임조회!$C$5="",AND(ISNUMBER($B648),$B648&lt;=클레임조회!$C$5)),OR(클레임조회!$C$6="",$C648=클레임조회!$C$6),OR(클레임조회!$C$7="",$D648=클레임조회!$C$7),OR(클레임조회!$C$8="",$E648=클레임조회!$C$8),OR(클레임조회!$C$9="",$F648=클레임조회!$C$9),OR(클레임조회!$C$10="",ISNUMBER(SEARCH(클레임조회!$C$10,$C648&amp;" "&amp;$F648&amp;" "&amp;$G648&amp;" "&amp;$H648)))),COUNT(O$1:O647)+1,"")</f>
        <v/>
      </c>
      <c r="P648" s="0" t="str">
        <f aca="false">IF(AND(TRIM(C648)&lt;&gt;"",COUNTIF(C$2:C648,C648)=1),MAX(P$1:P647)+1,"")</f>
        <v/>
      </c>
      <c r="Q648" s="0" t="str">
        <f aca="false">IF(AND(TRIM(F648)&lt;&gt;"",COUNTIF(F$2:F648,F648)=1),MAX(Q$1:Q647)+1,"")</f>
        <v/>
      </c>
    </row>
    <row r="649" customFormat="false" ht="15" hidden="false" customHeight="false" outlineLevel="0" collapsed="false">
      <c r="A649" s="9"/>
      <c r="B649" s="10"/>
      <c r="C649" s="11"/>
      <c r="D649" s="11"/>
      <c r="E649" s="11"/>
      <c r="F649" s="11"/>
      <c r="G649" s="12"/>
      <c r="H649" s="12"/>
      <c r="I649" s="10"/>
      <c r="J649" s="12"/>
      <c r="K649" s="13" t="str">
        <f aca="false">IF(ISNUMBER(B649),YEAR(B649),"")</f>
        <v/>
      </c>
      <c r="L649" s="13" t="str">
        <f aca="false">IF(ISNUMBER(B649),MONTH(B649),"")</f>
        <v/>
      </c>
      <c r="M649" s="13" t="str">
        <f aca="false">IF(AND(ISNUMBER(B649),ISNUMBER(I649)),B649-I649+1,"")</f>
        <v/>
      </c>
      <c r="N649" s="14" t="str">
        <f aca="false">IF(B649="","",IF(M649="","시작일 미입력",IF(M649&lt;1,"시작일 이전(확인)",IF(M649=1,"1일째",IF(M649=2,"2일째",IF(M649=3,"3일째",IF(M649&lt;=7,"일주일 이내",IF(M649&lt;=14,"이주일 이내","15일 이후"))))))))</f>
        <v/>
      </c>
      <c r="O649" s="0" t="str">
        <f aca="false">IF(AND(COUNTA($A649:$J649)&gt;0,OR(클레임조회!$C$4="",AND(ISNUMBER($B649),$B649&gt;=클레임조회!$C$4)),OR(클레임조회!$C$5="",AND(ISNUMBER($B649),$B649&lt;=클레임조회!$C$5)),OR(클레임조회!$C$6="",$C649=클레임조회!$C$6),OR(클레임조회!$C$7="",$D649=클레임조회!$C$7),OR(클레임조회!$C$8="",$E649=클레임조회!$C$8),OR(클레임조회!$C$9="",$F649=클레임조회!$C$9),OR(클레임조회!$C$10="",ISNUMBER(SEARCH(클레임조회!$C$10,$C649&amp;" "&amp;$F649&amp;" "&amp;$G649&amp;" "&amp;$H649)))),COUNT(O$1:O648)+1,"")</f>
        <v/>
      </c>
      <c r="P649" s="0" t="str">
        <f aca="false">IF(AND(TRIM(C649)&lt;&gt;"",COUNTIF(C$2:C649,C649)=1),MAX(P$1:P648)+1,"")</f>
        <v/>
      </c>
      <c r="Q649" s="0" t="str">
        <f aca="false">IF(AND(TRIM(F649)&lt;&gt;"",COUNTIF(F$2:F649,F649)=1),MAX(Q$1:Q648)+1,"")</f>
        <v/>
      </c>
    </row>
    <row r="650" customFormat="false" ht="15" hidden="false" customHeight="false" outlineLevel="0" collapsed="false">
      <c r="A650" s="9"/>
      <c r="B650" s="10"/>
      <c r="C650" s="11"/>
      <c r="D650" s="11"/>
      <c r="E650" s="11"/>
      <c r="F650" s="11"/>
      <c r="G650" s="12"/>
      <c r="H650" s="12"/>
      <c r="I650" s="10"/>
      <c r="J650" s="12"/>
      <c r="K650" s="13" t="str">
        <f aca="false">IF(ISNUMBER(B650),YEAR(B650),"")</f>
        <v/>
      </c>
      <c r="L650" s="13" t="str">
        <f aca="false">IF(ISNUMBER(B650),MONTH(B650),"")</f>
        <v/>
      </c>
      <c r="M650" s="13" t="str">
        <f aca="false">IF(AND(ISNUMBER(B650),ISNUMBER(I650)),B650-I650+1,"")</f>
        <v/>
      </c>
      <c r="N650" s="14" t="str">
        <f aca="false">IF(B650="","",IF(M650="","시작일 미입력",IF(M650&lt;1,"시작일 이전(확인)",IF(M650=1,"1일째",IF(M650=2,"2일째",IF(M650=3,"3일째",IF(M650&lt;=7,"일주일 이내",IF(M650&lt;=14,"이주일 이내","15일 이후"))))))))</f>
        <v/>
      </c>
      <c r="O650" s="0" t="str">
        <f aca="false">IF(AND(COUNTA($A650:$J650)&gt;0,OR(클레임조회!$C$4="",AND(ISNUMBER($B650),$B650&gt;=클레임조회!$C$4)),OR(클레임조회!$C$5="",AND(ISNUMBER($B650),$B650&lt;=클레임조회!$C$5)),OR(클레임조회!$C$6="",$C650=클레임조회!$C$6),OR(클레임조회!$C$7="",$D650=클레임조회!$C$7),OR(클레임조회!$C$8="",$E650=클레임조회!$C$8),OR(클레임조회!$C$9="",$F650=클레임조회!$C$9),OR(클레임조회!$C$10="",ISNUMBER(SEARCH(클레임조회!$C$10,$C650&amp;" "&amp;$F650&amp;" "&amp;$G650&amp;" "&amp;$H650)))),COUNT(O$1:O649)+1,"")</f>
        <v/>
      </c>
      <c r="P650" s="0" t="str">
        <f aca="false">IF(AND(TRIM(C650)&lt;&gt;"",COUNTIF(C$2:C650,C650)=1),MAX(P$1:P649)+1,"")</f>
        <v/>
      </c>
      <c r="Q650" s="0" t="str">
        <f aca="false">IF(AND(TRIM(F650)&lt;&gt;"",COUNTIF(F$2:F650,F650)=1),MAX(Q$1:Q649)+1,"")</f>
        <v/>
      </c>
    </row>
    <row r="651" customFormat="false" ht="15" hidden="false" customHeight="false" outlineLevel="0" collapsed="false">
      <c r="A651" s="9"/>
      <c r="B651" s="10"/>
      <c r="C651" s="11"/>
      <c r="D651" s="11"/>
      <c r="E651" s="11"/>
      <c r="F651" s="11"/>
      <c r="G651" s="12"/>
      <c r="H651" s="12"/>
      <c r="I651" s="10"/>
      <c r="J651" s="12"/>
      <c r="K651" s="13" t="str">
        <f aca="false">IF(ISNUMBER(B651),YEAR(B651),"")</f>
        <v/>
      </c>
      <c r="L651" s="13" t="str">
        <f aca="false">IF(ISNUMBER(B651),MONTH(B651),"")</f>
        <v/>
      </c>
      <c r="M651" s="13" t="str">
        <f aca="false">IF(AND(ISNUMBER(B651),ISNUMBER(I651)),B651-I651+1,"")</f>
        <v/>
      </c>
      <c r="N651" s="14" t="str">
        <f aca="false">IF(B651="","",IF(M651="","시작일 미입력",IF(M651&lt;1,"시작일 이전(확인)",IF(M651=1,"1일째",IF(M651=2,"2일째",IF(M651=3,"3일째",IF(M651&lt;=7,"일주일 이내",IF(M651&lt;=14,"이주일 이내","15일 이후"))))))))</f>
        <v/>
      </c>
      <c r="O651" s="0" t="str">
        <f aca="false">IF(AND(COUNTA($A651:$J651)&gt;0,OR(클레임조회!$C$4="",AND(ISNUMBER($B651),$B651&gt;=클레임조회!$C$4)),OR(클레임조회!$C$5="",AND(ISNUMBER($B651),$B651&lt;=클레임조회!$C$5)),OR(클레임조회!$C$6="",$C651=클레임조회!$C$6),OR(클레임조회!$C$7="",$D651=클레임조회!$C$7),OR(클레임조회!$C$8="",$E651=클레임조회!$C$8),OR(클레임조회!$C$9="",$F651=클레임조회!$C$9),OR(클레임조회!$C$10="",ISNUMBER(SEARCH(클레임조회!$C$10,$C651&amp;" "&amp;$F651&amp;" "&amp;$G651&amp;" "&amp;$H651)))),COUNT(O$1:O650)+1,"")</f>
        <v/>
      </c>
      <c r="P651" s="0" t="str">
        <f aca="false">IF(AND(TRIM(C651)&lt;&gt;"",COUNTIF(C$2:C651,C651)=1),MAX(P$1:P650)+1,"")</f>
        <v/>
      </c>
      <c r="Q651" s="0" t="str">
        <f aca="false">IF(AND(TRIM(F651)&lt;&gt;"",COUNTIF(F$2:F651,F651)=1),MAX(Q$1:Q650)+1,"")</f>
        <v/>
      </c>
    </row>
    <row r="652" customFormat="false" ht="15" hidden="false" customHeight="false" outlineLevel="0" collapsed="false">
      <c r="A652" s="9"/>
      <c r="B652" s="10"/>
      <c r="C652" s="11"/>
      <c r="D652" s="11"/>
      <c r="E652" s="11"/>
      <c r="F652" s="11"/>
      <c r="G652" s="12"/>
      <c r="H652" s="12"/>
      <c r="I652" s="10"/>
      <c r="J652" s="12"/>
      <c r="K652" s="13" t="str">
        <f aca="false">IF(ISNUMBER(B652),YEAR(B652),"")</f>
        <v/>
      </c>
      <c r="L652" s="13" t="str">
        <f aca="false">IF(ISNUMBER(B652),MONTH(B652),"")</f>
        <v/>
      </c>
      <c r="M652" s="13" t="str">
        <f aca="false">IF(AND(ISNUMBER(B652),ISNUMBER(I652)),B652-I652+1,"")</f>
        <v/>
      </c>
      <c r="N652" s="14" t="str">
        <f aca="false">IF(B652="","",IF(M652="","시작일 미입력",IF(M652&lt;1,"시작일 이전(확인)",IF(M652=1,"1일째",IF(M652=2,"2일째",IF(M652=3,"3일째",IF(M652&lt;=7,"일주일 이내",IF(M652&lt;=14,"이주일 이내","15일 이후"))))))))</f>
        <v/>
      </c>
      <c r="O652" s="0" t="str">
        <f aca="false">IF(AND(COUNTA($A652:$J652)&gt;0,OR(클레임조회!$C$4="",AND(ISNUMBER($B652),$B652&gt;=클레임조회!$C$4)),OR(클레임조회!$C$5="",AND(ISNUMBER($B652),$B652&lt;=클레임조회!$C$5)),OR(클레임조회!$C$6="",$C652=클레임조회!$C$6),OR(클레임조회!$C$7="",$D652=클레임조회!$C$7),OR(클레임조회!$C$8="",$E652=클레임조회!$C$8),OR(클레임조회!$C$9="",$F652=클레임조회!$C$9),OR(클레임조회!$C$10="",ISNUMBER(SEARCH(클레임조회!$C$10,$C652&amp;" "&amp;$F652&amp;" "&amp;$G652&amp;" "&amp;$H652)))),COUNT(O$1:O651)+1,"")</f>
        <v/>
      </c>
      <c r="P652" s="0" t="str">
        <f aca="false">IF(AND(TRIM(C652)&lt;&gt;"",COUNTIF(C$2:C652,C652)=1),MAX(P$1:P651)+1,"")</f>
        <v/>
      </c>
      <c r="Q652" s="0" t="str">
        <f aca="false">IF(AND(TRIM(F652)&lt;&gt;"",COUNTIF(F$2:F652,F652)=1),MAX(Q$1:Q651)+1,"")</f>
        <v/>
      </c>
    </row>
    <row r="653" customFormat="false" ht="15" hidden="false" customHeight="false" outlineLevel="0" collapsed="false">
      <c r="A653" s="9"/>
      <c r="B653" s="10"/>
      <c r="C653" s="11"/>
      <c r="D653" s="11"/>
      <c r="E653" s="11"/>
      <c r="F653" s="11"/>
      <c r="G653" s="12"/>
      <c r="H653" s="12"/>
      <c r="I653" s="10"/>
      <c r="J653" s="12"/>
      <c r="K653" s="13" t="str">
        <f aca="false">IF(ISNUMBER(B653),YEAR(B653),"")</f>
        <v/>
      </c>
      <c r="L653" s="13" t="str">
        <f aca="false">IF(ISNUMBER(B653),MONTH(B653),"")</f>
        <v/>
      </c>
      <c r="M653" s="13" t="str">
        <f aca="false">IF(AND(ISNUMBER(B653),ISNUMBER(I653)),B653-I653+1,"")</f>
        <v/>
      </c>
      <c r="N653" s="14" t="str">
        <f aca="false">IF(B653="","",IF(M653="","시작일 미입력",IF(M653&lt;1,"시작일 이전(확인)",IF(M653=1,"1일째",IF(M653=2,"2일째",IF(M653=3,"3일째",IF(M653&lt;=7,"일주일 이내",IF(M653&lt;=14,"이주일 이내","15일 이후"))))))))</f>
        <v/>
      </c>
      <c r="O653" s="0" t="str">
        <f aca="false">IF(AND(COUNTA($A653:$J653)&gt;0,OR(클레임조회!$C$4="",AND(ISNUMBER($B653),$B653&gt;=클레임조회!$C$4)),OR(클레임조회!$C$5="",AND(ISNUMBER($B653),$B653&lt;=클레임조회!$C$5)),OR(클레임조회!$C$6="",$C653=클레임조회!$C$6),OR(클레임조회!$C$7="",$D653=클레임조회!$C$7),OR(클레임조회!$C$8="",$E653=클레임조회!$C$8),OR(클레임조회!$C$9="",$F653=클레임조회!$C$9),OR(클레임조회!$C$10="",ISNUMBER(SEARCH(클레임조회!$C$10,$C653&amp;" "&amp;$F653&amp;" "&amp;$G653&amp;" "&amp;$H653)))),COUNT(O$1:O652)+1,"")</f>
        <v/>
      </c>
      <c r="P653" s="0" t="str">
        <f aca="false">IF(AND(TRIM(C653)&lt;&gt;"",COUNTIF(C$2:C653,C653)=1),MAX(P$1:P652)+1,"")</f>
        <v/>
      </c>
      <c r="Q653" s="0" t="str">
        <f aca="false">IF(AND(TRIM(F653)&lt;&gt;"",COUNTIF(F$2:F653,F653)=1),MAX(Q$1:Q652)+1,"")</f>
        <v/>
      </c>
    </row>
    <row r="654" customFormat="false" ht="15" hidden="false" customHeight="false" outlineLevel="0" collapsed="false">
      <c r="A654" s="9"/>
      <c r="B654" s="10"/>
      <c r="C654" s="11"/>
      <c r="D654" s="11"/>
      <c r="E654" s="11"/>
      <c r="F654" s="11"/>
      <c r="G654" s="12"/>
      <c r="H654" s="12"/>
      <c r="I654" s="10"/>
      <c r="J654" s="12"/>
      <c r="K654" s="13" t="str">
        <f aca="false">IF(ISNUMBER(B654),YEAR(B654),"")</f>
        <v/>
      </c>
      <c r="L654" s="13" t="str">
        <f aca="false">IF(ISNUMBER(B654),MONTH(B654),"")</f>
        <v/>
      </c>
      <c r="M654" s="13" t="str">
        <f aca="false">IF(AND(ISNUMBER(B654),ISNUMBER(I654)),B654-I654+1,"")</f>
        <v/>
      </c>
      <c r="N654" s="14" t="str">
        <f aca="false">IF(B654="","",IF(M654="","시작일 미입력",IF(M654&lt;1,"시작일 이전(확인)",IF(M654=1,"1일째",IF(M654=2,"2일째",IF(M654=3,"3일째",IF(M654&lt;=7,"일주일 이내",IF(M654&lt;=14,"이주일 이내","15일 이후"))))))))</f>
        <v/>
      </c>
      <c r="O654" s="0" t="str">
        <f aca="false">IF(AND(COUNTA($A654:$J654)&gt;0,OR(클레임조회!$C$4="",AND(ISNUMBER($B654),$B654&gt;=클레임조회!$C$4)),OR(클레임조회!$C$5="",AND(ISNUMBER($B654),$B654&lt;=클레임조회!$C$5)),OR(클레임조회!$C$6="",$C654=클레임조회!$C$6),OR(클레임조회!$C$7="",$D654=클레임조회!$C$7),OR(클레임조회!$C$8="",$E654=클레임조회!$C$8),OR(클레임조회!$C$9="",$F654=클레임조회!$C$9),OR(클레임조회!$C$10="",ISNUMBER(SEARCH(클레임조회!$C$10,$C654&amp;" "&amp;$F654&amp;" "&amp;$G654&amp;" "&amp;$H654)))),COUNT(O$1:O653)+1,"")</f>
        <v/>
      </c>
      <c r="P654" s="0" t="str">
        <f aca="false">IF(AND(TRIM(C654)&lt;&gt;"",COUNTIF(C$2:C654,C654)=1),MAX(P$1:P653)+1,"")</f>
        <v/>
      </c>
      <c r="Q654" s="0" t="str">
        <f aca="false">IF(AND(TRIM(F654)&lt;&gt;"",COUNTIF(F$2:F654,F654)=1),MAX(Q$1:Q653)+1,"")</f>
        <v/>
      </c>
    </row>
    <row r="655" customFormat="false" ht="15" hidden="false" customHeight="false" outlineLevel="0" collapsed="false">
      <c r="A655" s="9"/>
      <c r="B655" s="10"/>
      <c r="C655" s="11"/>
      <c r="D655" s="11"/>
      <c r="E655" s="11"/>
      <c r="F655" s="11"/>
      <c r="G655" s="12"/>
      <c r="H655" s="12"/>
      <c r="I655" s="10"/>
      <c r="J655" s="12"/>
      <c r="K655" s="13" t="str">
        <f aca="false">IF(ISNUMBER(B655),YEAR(B655),"")</f>
        <v/>
      </c>
      <c r="L655" s="13" t="str">
        <f aca="false">IF(ISNUMBER(B655),MONTH(B655),"")</f>
        <v/>
      </c>
      <c r="M655" s="13" t="str">
        <f aca="false">IF(AND(ISNUMBER(B655),ISNUMBER(I655)),B655-I655+1,"")</f>
        <v/>
      </c>
      <c r="N655" s="14" t="str">
        <f aca="false">IF(B655="","",IF(M655="","시작일 미입력",IF(M655&lt;1,"시작일 이전(확인)",IF(M655=1,"1일째",IF(M655=2,"2일째",IF(M655=3,"3일째",IF(M655&lt;=7,"일주일 이내",IF(M655&lt;=14,"이주일 이내","15일 이후"))))))))</f>
        <v/>
      </c>
      <c r="O655" s="0" t="str">
        <f aca="false">IF(AND(COUNTA($A655:$J655)&gt;0,OR(클레임조회!$C$4="",AND(ISNUMBER($B655),$B655&gt;=클레임조회!$C$4)),OR(클레임조회!$C$5="",AND(ISNUMBER($B655),$B655&lt;=클레임조회!$C$5)),OR(클레임조회!$C$6="",$C655=클레임조회!$C$6),OR(클레임조회!$C$7="",$D655=클레임조회!$C$7),OR(클레임조회!$C$8="",$E655=클레임조회!$C$8),OR(클레임조회!$C$9="",$F655=클레임조회!$C$9),OR(클레임조회!$C$10="",ISNUMBER(SEARCH(클레임조회!$C$10,$C655&amp;" "&amp;$F655&amp;" "&amp;$G655&amp;" "&amp;$H655)))),COUNT(O$1:O654)+1,"")</f>
        <v/>
      </c>
      <c r="P655" s="0" t="str">
        <f aca="false">IF(AND(TRIM(C655)&lt;&gt;"",COUNTIF(C$2:C655,C655)=1),MAX(P$1:P654)+1,"")</f>
        <v/>
      </c>
      <c r="Q655" s="0" t="str">
        <f aca="false">IF(AND(TRIM(F655)&lt;&gt;"",COUNTIF(F$2:F655,F655)=1),MAX(Q$1:Q654)+1,"")</f>
        <v/>
      </c>
    </row>
    <row r="656" customFormat="false" ht="15" hidden="false" customHeight="false" outlineLevel="0" collapsed="false">
      <c r="A656" s="9"/>
      <c r="B656" s="10"/>
      <c r="C656" s="11"/>
      <c r="D656" s="11"/>
      <c r="E656" s="11"/>
      <c r="F656" s="11"/>
      <c r="G656" s="12"/>
      <c r="H656" s="12"/>
      <c r="I656" s="10"/>
      <c r="J656" s="12"/>
      <c r="K656" s="13" t="str">
        <f aca="false">IF(ISNUMBER(B656),YEAR(B656),"")</f>
        <v/>
      </c>
      <c r="L656" s="13" t="str">
        <f aca="false">IF(ISNUMBER(B656),MONTH(B656),"")</f>
        <v/>
      </c>
      <c r="M656" s="13" t="str">
        <f aca="false">IF(AND(ISNUMBER(B656),ISNUMBER(I656)),B656-I656+1,"")</f>
        <v/>
      </c>
      <c r="N656" s="14" t="str">
        <f aca="false">IF(B656="","",IF(M656="","시작일 미입력",IF(M656&lt;1,"시작일 이전(확인)",IF(M656=1,"1일째",IF(M656=2,"2일째",IF(M656=3,"3일째",IF(M656&lt;=7,"일주일 이내",IF(M656&lt;=14,"이주일 이내","15일 이후"))))))))</f>
        <v/>
      </c>
      <c r="O656" s="0" t="str">
        <f aca="false">IF(AND(COUNTA($A656:$J656)&gt;0,OR(클레임조회!$C$4="",AND(ISNUMBER($B656),$B656&gt;=클레임조회!$C$4)),OR(클레임조회!$C$5="",AND(ISNUMBER($B656),$B656&lt;=클레임조회!$C$5)),OR(클레임조회!$C$6="",$C656=클레임조회!$C$6),OR(클레임조회!$C$7="",$D656=클레임조회!$C$7),OR(클레임조회!$C$8="",$E656=클레임조회!$C$8),OR(클레임조회!$C$9="",$F656=클레임조회!$C$9),OR(클레임조회!$C$10="",ISNUMBER(SEARCH(클레임조회!$C$10,$C656&amp;" "&amp;$F656&amp;" "&amp;$G656&amp;" "&amp;$H656)))),COUNT(O$1:O655)+1,"")</f>
        <v/>
      </c>
      <c r="P656" s="0" t="str">
        <f aca="false">IF(AND(TRIM(C656)&lt;&gt;"",COUNTIF(C$2:C656,C656)=1),MAX(P$1:P655)+1,"")</f>
        <v/>
      </c>
      <c r="Q656" s="0" t="str">
        <f aca="false">IF(AND(TRIM(F656)&lt;&gt;"",COUNTIF(F$2:F656,F656)=1),MAX(Q$1:Q655)+1,"")</f>
        <v/>
      </c>
    </row>
    <row r="657" customFormat="false" ht="15" hidden="false" customHeight="false" outlineLevel="0" collapsed="false">
      <c r="A657" s="9"/>
      <c r="B657" s="10"/>
      <c r="C657" s="11"/>
      <c r="D657" s="11"/>
      <c r="E657" s="11"/>
      <c r="F657" s="11"/>
      <c r="G657" s="12"/>
      <c r="H657" s="12"/>
      <c r="I657" s="10"/>
      <c r="J657" s="12"/>
      <c r="K657" s="13" t="str">
        <f aca="false">IF(ISNUMBER(B657),YEAR(B657),"")</f>
        <v/>
      </c>
      <c r="L657" s="13" t="str">
        <f aca="false">IF(ISNUMBER(B657),MONTH(B657),"")</f>
        <v/>
      </c>
      <c r="M657" s="13" t="str">
        <f aca="false">IF(AND(ISNUMBER(B657),ISNUMBER(I657)),B657-I657+1,"")</f>
        <v/>
      </c>
      <c r="N657" s="14" t="str">
        <f aca="false">IF(B657="","",IF(M657="","시작일 미입력",IF(M657&lt;1,"시작일 이전(확인)",IF(M657=1,"1일째",IF(M657=2,"2일째",IF(M657=3,"3일째",IF(M657&lt;=7,"일주일 이내",IF(M657&lt;=14,"이주일 이내","15일 이후"))))))))</f>
        <v/>
      </c>
      <c r="O657" s="0" t="str">
        <f aca="false">IF(AND(COUNTA($A657:$J657)&gt;0,OR(클레임조회!$C$4="",AND(ISNUMBER($B657),$B657&gt;=클레임조회!$C$4)),OR(클레임조회!$C$5="",AND(ISNUMBER($B657),$B657&lt;=클레임조회!$C$5)),OR(클레임조회!$C$6="",$C657=클레임조회!$C$6),OR(클레임조회!$C$7="",$D657=클레임조회!$C$7),OR(클레임조회!$C$8="",$E657=클레임조회!$C$8),OR(클레임조회!$C$9="",$F657=클레임조회!$C$9),OR(클레임조회!$C$10="",ISNUMBER(SEARCH(클레임조회!$C$10,$C657&amp;" "&amp;$F657&amp;" "&amp;$G657&amp;" "&amp;$H657)))),COUNT(O$1:O656)+1,"")</f>
        <v/>
      </c>
      <c r="P657" s="0" t="str">
        <f aca="false">IF(AND(TRIM(C657)&lt;&gt;"",COUNTIF(C$2:C657,C657)=1),MAX(P$1:P656)+1,"")</f>
        <v/>
      </c>
      <c r="Q657" s="0" t="str">
        <f aca="false">IF(AND(TRIM(F657)&lt;&gt;"",COUNTIF(F$2:F657,F657)=1),MAX(Q$1:Q656)+1,"")</f>
        <v/>
      </c>
    </row>
    <row r="658" customFormat="false" ht="15" hidden="false" customHeight="false" outlineLevel="0" collapsed="false">
      <c r="A658" s="9"/>
      <c r="B658" s="10"/>
      <c r="C658" s="11"/>
      <c r="D658" s="11"/>
      <c r="E658" s="11"/>
      <c r="F658" s="11"/>
      <c r="G658" s="12"/>
      <c r="H658" s="12"/>
      <c r="I658" s="10"/>
      <c r="J658" s="12"/>
      <c r="K658" s="13" t="str">
        <f aca="false">IF(ISNUMBER(B658),YEAR(B658),"")</f>
        <v/>
      </c>
      <c r="L658" s="13" t="str">
        <f aca="false">IF(ISNUMBER(B658),MONTH(B658),"")</f>
        <v/>
      </c>
      <c r="M658" s="13" t="str">
        <f aca="false">IF(AND(ISNUMBER(B658),ISNUMBER(I658)),B658-I658+1,"")</f>
        <v/>
      </c>
      <c r="N658" s="14" t="str">
        <f aca="false">IF(B658="","",IF(M658="","시작일 미입력",IF(M658&lt;1,"시작일 이전(확인)",IF(M658=1,"1일째",IF(M658=2,"2일째",IF(M658=3,"3일째",IF(M658&lt;=7,"일주일 이내",IF(M658&lt;=14,"이주일 이내","15일 이후"))))))))</f>
        <v/>
      </c>
      <c r="O658" s="0" t="str">
        <f aca="false">IF(AND(COUNTA($A658:$J658)&gt;0,OR(클레임조회!$C$4="",AND(ISNUMBER($B658),$B658&gt;=클레임조회!$C$4)),OR(클레임조회!$C$5="",AND(ISNUMBER($B658),$B658&lt;=클레임조회!$C$5)),OR(클레임조회!$C$6="",$C658=클레임조회!$C$6),OR(클레임조회!$C$7="",$D658=클레임조회!$C$7),OR(클레임조회!$C$8="",$E658=클레임조회!$C$8),OR(클레임조회!$C$9="",$F658=클레임조회!$C$9),OR(클레임조회!$C$10="",ISNUMBER(SEARCH(클레임조회!$C$10,$C658&amp;" "&amp;$F658&amp;" "&amp;$G658&amp;" "&amp;$H658)))),COUNT(O$1:O657)+1,"")</f>
        <v/>
      </c>
      <c r="P658" s="0" t="str">
        <f aca="false">IF(AND(TRIM(C658)&lt;&gt;"",COUNTIF(C$2:C658,C658)=1),MAX(P$1:P657)+1,"")</f>
        <v/>
      </c>
      <c r="Q658" s="0" t="str">
        <f aca="false">IF(AND(TRIM(F658)&lt;&gt;"",COUNTIF(F$2:F658,F658)=1),MAX(Q$1:Q657)+1,"")</f>
        <v/>
      </c>
    </row>
    <row r="659" customFormat="false" ht="15" hidden="false" customHeight="false" outlineLevel="0" collapsed="false">
      <c r="A659" s="9"/>
      <c r="B659" s="10"/>
      <c r="C659" s="11"/>
      <c r="D659" s="11"/>
      <c r="E659" s="11"/>
      <c r="F659" s="11"/>
      <c r="G659" s="12"/>
      <c r="H659" s="12"/>
      <c r="I659" s="10"/>
      <c r="J659" s="12"/>
      <c r="K659" s="13" t="str">
        <f aca="false">IF(ISNUMBER(B659),YEAR(B659),"")</f>
        <v/>
      </c>
      <c r="L659" s="13" t="str">
        <f aca="false">IF(ISNUMBER(B659),MONTH(B659),"")</f>
        <v/>
      </c>
      <c r="M659" s="13" t="str">
        <f aca="false">IF(AND(ISNUMBER(B659),ISNUMBER(I659)),B659-I659+1,"")</f>
        <v/>
      </c>
      <c r="N659" s="14" t="str">
        <f aca="false">IF(B659="","",IF(M659="","시작일 미입력",IF(M659&lt;1,"시작일 이전(확인)",IF(M659=1,"1일째",IF(M659=2,"2일째",IF(M659=3,"3일째",IF(M659&lt;=7,"일주일 이내",IF(M659&lt;=14,"이주일 이내","15일 이후"))))))))</f>
        <v/>
      </c>
      <c r="O659" s="0" t="str">
        <f aca="false">IF(AND(COUNTA($A659:$J659)&gt;0,OR(클레임조회!$C$4="",AND(ISNUMBER($B659),$B659&gt;=클레임조회!$C$4)),OR(클레임조회!$C$5="",AND(ISNUMBER($B659),$B659&lt;=클레임조회!$C$5)),OR(클레임조회!$C$6="",$C659=클레임조회!$C$6),OR(클레임조회!$C$7="",$D659=클레임조회!$C$7),OR(클레임조회!$C$8="",$E659=클레임조회!$C$8),OR(클레임조회!$C$9="",$F659=클레임조회!$C$9),OR(클레임조회!$C$10="",ISNUMBER(SEARCH(클레임조회!$C$10,$C659&amp;" "&amp;$F659&amp;" "&amp;$G659&amp;" "&amp;$H659)))),COUNT(O$1:O658)+1,"")</f>
        <v/>
      </c>
      <c r="P659" s="0" t="str">
        <f aca="false">IF(AND(TRIM(C659)&lt;&gt;"",COUNTIF(C$2:C659,C659)=1),MAX(P$1:P658)+1,"")</f>
        <v/>
      </c>
      <c r="Q659" s="0" t="str">
        <f aca="false">IF(AND(TRIM(F659)&lt;&gt;"",COUNTIF(F$2:F659,F659)=1),MAX(Q$1:Q658)+1,"")</f>
        <v/>
      </c>
    </row>
    <row r="660" customFormat="false" ht="15" hidden="false" customHeight="false" outlineLevel="0" collapsed="false">
      <c r="A660" s="9"/>
      <c r="B660" s="10"/>
      <c r="C660" s="11"/>
      <c r="D660" s="11"/>
      <c r="E660" s="11"/>
      <c r="F660" s="11"/>
      <c r="G660" s="12"/>
      <c r="H660" s="12"/>
      <c r="I660" s="10"/>
      <c r="J660" s="12"/>
      <c r="K660" s="13" t="str">
        <f aca="false">IF(ISNUMBER(B660),YEAR(B660),"")</f>
        <v/>
      </c>
      <c r="L660" s="13" t="str">
        <f aca="false">IF(ISNUMBER(B660),MONTH(B660),"")</f>
        <v/>
      </c>
      <c r="M660" s="13" t="str">
        <f aca="false">IF(AND(ISNUMBER(B660),ISNUMBER(I660)),B660-I660+1,"")</f>
        <v/>
      </c>
      <c r="N660" s="14" t="str">
        <f aca="false">IF(B660="","",IF(M660="","시작일 미입력",IF(M660&lt;1,"시작일 이전(확인)",IF(M660=1,"1일째",IF(M660=2,"2일째",IF(M660=3,"3일째",IF(M660&lt;=7,"일주일 이내",IF(M660&lt;=14,"이주일 이내","15일 이후"))))))))</f>
        <v/>
      </c>
      <c r="O660" s="0" t="str">
        <f aca="false">IF(AND(COUNTA($A660:$J660)&gt;0,OR(클레임조회!$C$4="",AND(ISNUMBER($B660),$B660&gt;=클레임조회!$C$4)),OR(클레임조회!$C$5="",AND(ISNUMBER($B660),$B660&lt;=클레임조회!$C$5)),OR(클레임조회!$C$6="",$C660=클레임조회!$C$6),OR(클레임조회!$C$7="",$D660=클레임조회!$C$7),OR(클레임조회!$C$8="",$E660=클레임조회!$C$8),OR(클레임조회!$C$9="",$F660=클레임조회!$C$9),OR(클레임조회!$C$10="",ISNUMBER(SEARCH(클레임조회!$C$10,$C660&amp;" "&amp;$F660&amp;" "&amp;$G660&amp;" "&amp;$H660)))),COUNT(O$1:O659)+1,"")</f>
        <v/>
      </c>
      <c r="P660" s="0" t="str">
        <f aca="false">IF(AND(TRIM(C660)&lt;&gt;"",COUNTIF(C$2:C660,C660)=1),MAX(P$1:P659)+1,"")</f>
        <v/>
      </c>
      <c r="Q660" s="0" t="str">
        <f aca="false">IF(AND(TRIM(F660)&lt;&gt;"",COUNTIF(F$2:F660,F660)=1),MAX(Q$1:Q659)+1,"")</f>
        <v/>
      </c>
    </row>
    <row r="661" customFormat="false" ht="15" hidden="false" customHeight="false" outlineLevel="0" collapsed="false">
      <c r="A661" s="9"/>
      <c r="B661" s="10"/>
      <c r="C661" s="11"/>
      <c r="D661" s="11"/>
      <c r="E661" s="11"/>
      <c r="F661" s="11"/>
      <c r="G661" s="12"/>
      <c r="H661" s="12"/>
      <c r="I661" s="10"/>
      <c r="J661" s="12"/>
      <c r="K661" s="13" t="str">
        <f aca="false">IF(ISNUMBER(B661),YEAR(B661),"")</f>
        <v/>
      </c>
      <c r="L661" s="13" t="str">
        <f aca="false">IF(ISNUMBER(B661),MONTH(B661),"")</f>
        <v/>
      </c>
      <c r="M661" s="13" t="str">
        <f aca="false">IF(AND(ISNUMBER(B661),ISNUMBER(I661)),B661-I661+1,"")</f>
        <v/>
      </c>
      <c r="N661" s="14" t="str">
        <f aca="false">IF(B661="","",IF(M661="","시작일 미입력",IF(M661&lt;1,"시작일 이전(확인)",IF(M661=1,"1일째",IF(M661=2,"2일째",IF(M661=3,"3일째",IF(M661&lt;=7,"일주일 이내",IF(M661&lt;=14,"이주일 이내","15일 이후"))))))))</f>
        <v/>
      </c>
      <c r="O661" s="0" t="str">
        <f aca="false">IF(AND(COUNTA($A661:$J661)&gt;0,OR(클레임조회!$C$4="",AND(ISNUMBER($B661),$B661&gt;=클레임조회!$C$4)),OR(클레임조회!$C$5="",AND(ISNUMBER($B661),$B661&lt;=클레임조회!$C$5)),OR(클레임조회!$C$6="",$C661=클레임조회!$C$6),OR(클레임조회!$C$7="",$D661=클레임조회!$C$7),OR(클레임조회!$C$8="",$E661=클레임조회!$C$8),OR(클레임조회!$C$9="",$F661=클레임조회!$C$9),OR(클레임조회!$C$10="",ISNUMBER(SEARCH(클레임조회!$C$10,$C661&amp;" "&amp;$F661&amp;" "&amp;$G661&amp;" "&amp;$H661)))),COUNT(O$1:O660)+1,"")</f>
        <v/>
      </c>
      <c r="P661" s="0" t="str">
        <f aca="false">IF(AND(TRIM(C661)&lt;&gt;"",COUNTIF(C$2:C661,C661)=1),MAX(P$1:P660)+1,"")</f>
        <v/>
      </c>
      <c r="Q661" s="0" t="str">
        <f aca="false">IF(AND(TRIM(F661)&lt;&gt;"",COUNTIF(F$2:F661,F661)=1),MAX(Q$1:Q660)+1,"")</f>
        <v/>
      </c>
    </row>
    <row r="662" customFormat="false" ht="15" hidden="false" customHeight="false" outlineLevel="0" collapsed="false">
      <c r="A662" s="9"/>
      <c r="B662" s="10"/>
      <c r="C662" s="11"/>
      <c r="D662" s="11"/>
      <c r="E662" s="11"/>
      <c r="F662" s="11"/>
      <c r="G662" s="12"/>
      <c r="H662" s="12"/>
      <c r="I662" s="10"/>
      <c r="J662" s="12"/>
      <c r="K662" s="13" t="str">
        <f aca="false">IF(ISNUMBER(B662),YEAR(B662),"")</f>
        <v/>
      </c>
      <c r="L662" s="13" t="str">
        <f aca="false">IF(ISNUMBER(B662),MONTH(B662),"")</f>
        <v/>
      </c>
      <c r="M662" s="13" t="str">
        <f aca="false">IF(AND(ISNUMBER(B662),ISNUMBER(I662)),B662-I662+1,"")</f>
        <v/>
      </c>
      <c r="N662" s="14" t="str">
        <f aca="false">IF(B662="","",IF(M662="","시작일 미입력",IF(M662&lt;1,"시작일 이전(확인)",IF(M662=1,"1일째",IF(M662=2,"2일째",IF(M662=3,"3일째",IF(M662&lt;=7,"일주일 이내",IF(M662&lt;=14,"이주일 이내","15일 이후"))))))))</f>
        <v/>
      </c>
      <c r="O662" s="0" t="str">
        <f aca="false">IF(AND(COUNTA($A662:$J662)&gt;0,OR(클레임조회!$C$4="",AND(ISNUMBER($B662),$B662&gt;=클레임조회!$C$4)),OR(클레임조회!$C$5="",AND(ISNUMBER($B662),$B662&lt;=클레임조회!$C$5)),OR(클레임조회!$C$6="",$C662=클레임조회!$C$6),OR(클레임조회!$C$7="",$D662=클레임조회!$C$7),OR(클레임조회!$C$8="",$E662=클레임조회!$C$8),OR(클레임조회!$C$9="",$F662=클레임조회!$C$9),OR(클레임조회!$C$10="",ISNUMBER(SEARCH(클레임조회!$C$10,$C662&amp;" "&amp;$F662&amp;" "&amp;$G662&amp;" "&amp;$H662)))),COUNT(O$1:O661)+1,"")</f>
        <v/>
      </c>
      <c r="P662" s="0" t="str">
        <f aca="false">IF(AND(TRIM(C662)&lt;&gt;"",COUNTIF(C$2:C662,C662)=1),MAX(P$1:P661)+1,"")</f>
        <v/>
      </c>
      <c r="Q662" s="0" t="str">
        <f aca="false">IF(AND(TRIM(F662)&lt;&gt;"",COUNTIF(F$2:F662,F662)=1),MAX(Q$1:Q661)+1,"")</f>
        <v/>
      </c>
    </row>
    <row r="663" customFormat="false" ht="15" hidden="false" customHeight="false" outlineLevel="0" collapsed="false">
      <c r="A663" s="9"/>
      <c r="B663" s="10"/>
      <c r="C663" s="11"/>
      <c r="D663" s="11"/>
      <c r="E663" s="11"/>
      <c r="F663" s="11"/>
      <c r="G663" s="12"/>
      <c r="H663" s="12"/>
      <c r="I663" s="10"/>
      <c r="J663" s="12"/>
      <c r="K663" s="13" t="str">
        <f aca="false">IF(ISNUMBER(B663),YEAR(B663),"")</f>
        <v/>
      </c>
      <c r="L663" s="13" t="str">
        <f aca="false">IF(ISNUMBER(B663),MONTH(B663),"")</f>
        <v/>
      </c>
      <c r="M663" s="13" t="str">
        <f aca="false">IF(AND(ISNUMBER(B663),ISNUMBER(I663)),B663-I663+1,"")</f>
        <v/>
      </c>
      <c r="N663" s="14" t="str">
        <f aca="false">IF(B663="","",IF(M663="","시작일 미입력",IF(M663&lt;1,"시작일 이전(확인)",IF(M663=1,"1일째",IF(M663=2,"2일째",IF(M663=3,"3일째",IF(M663&lt;=7,"일주일 이내",IF(M663&lt;=14,"이주일 이내","15일 이후"))))))))</f>
        <v/>
      </c>
      <c r="O663" s="0" t="str">
        <f aca="false">IF(AND(COUNTA($A663:$J663)&gt;0,OR(클레임조회!$C$4="",AND(ISNUMBER($B663),$B663&gt;=클레임조회!$C$4)),OR(클레임조회!$C$5="",AND(ISNUMBER($B663),$B663&lt;=클레임조회!$C$5)),OR(클레임조회!$C$6="",$C663=클레임조회!$C$6),OR(클레임조회!$C$7="",$D663=클레임조회!$C$7),OR(클레임조회!$C$8="",$E663=클레임조회!$C$8),OR(클레임조회!$C$9="",$F663=클레임조회!$C$9),OR(클레임조회!$C$10="",ISNUMBER(SEARCH(클레임조회!$C$10,$C663&amp;" "&amp;$F663&amp;" "&amp;$G663&amp;" "&amp;$H663)))),COUNT(O$1:O662)+1,"")</f>
        <v/>
      </c>
      <c r="P663" s="0" t="str">
        <f aca="false">IF(AND(TRIM(C663)&lt;&gt;"",COUNTIF(C$2:C663,C663)=1),MAX(P$1:P662)+1,"")</f>
        <v/>
      </c>
      <c r="Q663" s="0" t="str">
        <f aca="false">IF(AND(TRIM(F663)&lt;&gt;"",COUNTIF(F$2:F663,F663)=1),MAX(Q$1:Q662)+1,"")</f>
        <v/>
      </c>
    </row>
    <row r="664" customFormat="false" ht="15" hidden="false" customHeight="false" outlineLevel="0" collapsed="false">
      <c r="A664" s="9"/>
      <c r="B664" s="10"/>
      <c r="C664" s="11"/>
      <c r="D664" s="11"/>
      <c r="E664" s="11"/>
      <c r="F664" s="11"/>
      <c r="G664" s="12"/>
      <c r="H664" s="12"/>
      <c r="I664" s="10"/>
      <c r="J664" s="12"/>
      <c r="K664" s="13" t="str">
        <f aca="false">IF(ISNUMBER(B664),YEAR(B664),"")</f>
        <v/>
      </c>
      <c r="L664" s="13" t="str">
        <f aca="false">IF(ISNUMBER(B664),MONTH(B664),"")</f>
        <v/>
      </c>
      <c r="M664" s="13" t="str">
        <f aca="false">IF(AND(ISNUMBER(B664),ISNUMBER(I664)),B664-I664+1,"")</f>
        <v/>
      </c>
      <c r="N664" s="14" t="str">
        <f aca="false">IF(B664="","",IF(M664="","시작일 미입력",IF(M664&lt;1,"시작일 이전(확인)",IF(M664=1,"1일째",IF(M664=2,"2일째",IF(M664=3,"3일째",IF(M664&lt;=7,"일주일 이내",IF(M664&lt;=14,"이주일 이내","15일 이후"))))))))</f>
        <v/>
      </c>
      <c r="O664" s="0" t="str">
        <f aca="false">IF(AND(COUNTA($A664:$J664)&gt;0,OR(클레임조회!$C$4="",AND(ISNUMBER($B664),$B664&gt;=클레임조회!$C$4)),OR(클레임조회!$C$5="",AND(ISNUMBER($B664),$B664&lt;=클레임조회!$C$5)),OR(클레임조회!$C$6="",$C664=클레임조회!$C$6),OR(클레임조회!$C$7="",$D664=클레임조회!$C$7),OR(클레임조회!$C$8="",$E664=클레임조회!$C$8),OR(클레임조회!$C$9="",$F664=클레임조회!$C$9),OR(클레임조회!$C$10="",ISNUMBER(SEARCH(클레임조회!$C$10,$C664&amp;" "&amp;$F664&amp;" "&amp;$G664&amp;" "&amp;$H664)))),COUNT(O$1:O663)+1,"")</f>
        <v/>
      </c>
      <c r="P664" s="0" t="str">
        <f aca="false">IF(AND(TRIM(C664)&lt;&gt;"",COUNTIF(C$2:C664,C664)=1),MAX(P$1:P663)+1,"")</f>
        <v/>
      </c>
      <c r="Q664" s="0" t="str">
        <f aca="false">IF(AND(TRIM(F664)&lt;&gt;"",COUNTIF(F$2:F664,F664)=1),MAX(Q$1:Q663)+1,"")</f>
        <v/>
      </c>
    </row>
    <row r="665" customFormat="false" ht="15" hidden="false" customHeight="false" outlineLevel="0" collapsed="false">
      <c r="A665" s="9"/>
      <c r="B665" s="10"/>
      <c r="C665" s="11"/>
      <c r="D665" s="11"/>
      <c r="E665" s="11"/>
      <c r="F665" s="11"/>
      <c r="G665" s="12"/>
      <c r="H665" s="12"/>
      <c r="I665" s="10"/>
      <c r="J665" s="12"/>
      <c r="K665" s="13" t="str">
        <f aca="false">IF(ISNUMBER(B665),YEAR(B665),"")</f>
        <v/>
      </c>
      <c r="L665" s="13" t="str">
        <f aca="false">IF(ISNUMBER(B665),MONTH(B665),"")</f>
        <v/>
      </c>
      <c r="M665" s="13" t="str">
        <f aca="false">IF(AND(ISNUMBER(B665),ISNUMBER(I665)),B665-I665+1,"")</f>
        <v/>
      </c>
      <c r="N665" s="14" t="str">
        <f aca="false">IF(B665="","",IF(M665="","시작일 미입력",IF(M665&lt;1,"시작일 이전(확인)",IF(M665=1,"1일째",IF(M665=2,"2일째",IF(M665=3,"3일째",IF(M665&lt;=7,"일주일 이내",IF(M665&lt;=14,"이주일 이내","15일 이후"))))))))</f>
        <v/>
      </c>
      <c r="O665" s="0" t="str">
        <f aca="false">IF(AND(COUNTA($A665:$J665)&gt;0,OR(클레임조회!$C$4="",AND(ISNUMBER($B665),$B665&gt;=클레임조회!$C$4)),OR(클레임조회!$C$5="",AND(ISNUMBER($B665),$B665&lt;=클레임조회!$C$5)),OR(클레임조회!$C$6="",$C665=클레임조회!$C$6),OR(클레임조회!$C$7="",$D665=클레임조회!$C$7),OR(클레임조회!$C$8="",$E665=클레임조회!$C$8),OR(클레임조회!$C$9="",$F665=클레임조회!$C$9),OR(클레임조회!$C$10="",ISNUMBER(SEARCH(클레임조회!$C$10,$C665&amp;" "&amp;$F665&amp;" "&amp;$G665&amp;" "&amp;$H665)))),COUNT(O$1:O664)+1,"")</f>
        <v/>
      </c>
      <c r="P665" s="0" t="str">
        <f aca="false">IF(AND(TRIM(C665)&lt;&gt;"",COUNTIF(C$2:C665,C665)=1),MAX(P$1:P664)+1,"")</f>
        <v/>
      </c>
      <c r="Q665" s="0" t="str">
        <f aca="false">IF(AND(TRIM(F665)&lt;&gt;"",COUNTIF(F$2:F665,F665)=1),MAX(Q$1:Q664)+1,"")</f>
        <v/>
      </c>
    </row>
    <row r="666" customFormat="false" ht="15" hidden="false" customHeight="false" outlineLevel="0" collapsed="false">
      <c r="A666" s="9"/>
      <c r="B666" s="10"/>
      <c r="C666" s="11"/>
      <c r="D666" s="11"/>
      <c r="E666" s="11"/>
      <c r="F666" s="11"/>
      <c r="G666" s="12"/>
      <c r="H666" s="12"/>
      <c r="I666" s="10"/>
      <c r="J666" s="12"/>
      <c r="K666" s="13" t="str">
        <f aca="false">IF(ISNUMBER(B666),YEAR(B666),"")</f>
        <v/>
      </c>
      <c r="L666" s="13" t="str">
        <f aca="false">IF(ISNUMBER(B666),MONTH(B666),"")</f>
        <v/>
      </c>
      <c r="M666" s="13" t="str">
        <f aca="false">IF(AND(ISNUMBER(B666),ISNUMBER(I666)),B666-I666+1,"")</f>
        <v/>
      </c>
      <c r="N666" s="14" t="str">
        <f aca="false">IF(B666="","",IF(M666="","시작일 미입력",IF(M666&lt;1,"시작일 이전(확인)",IF(M666=1,"1일째",IF(M666=2,"2일째",IF(M666=3,"3일째",IF(M666&lt;=7,"일주일 이내",IF(M666&lt;=14,"이주일 이내","15일 이후"))))))))</f>
        <v/>
      </c>
      <c r="O666" s="0" t="str">
        <f aca="false">IF(AND(COUNTA($A666:$J666)&gt;0,OR(클레임조회!$C$4="",AND(ISNUMBER($B666),$B666&gt;=클레임조회!$C$4)),OR(클레임조회!$C$5="",AND(ISNUMBER($B666),$B666&lt;=클레임조회!$C$5)),OR(클레임조회!$C$6="",$C666=클레임조회!$C$6),OR(클레임조회!$C$7="",$D666=클레임조회!$C$7),OR(클레임조회!$C$8="",$E666=클레임조회!$C$8),OR(클레임조회!$C$9="",$F666=클레임조회!$C$9),OR(클레임조회!$C$10="",ISNUMBER(SEARCH(클레임조회!$C$10,$C666&amp;" "&amp;$F666&amp;" "&amp;$G666&amp;" "&amp;$H666)))),COUNT(O$1:O665)+1,"")</f>
        <v/>
      </c>
      <c r="P666" s="0" t="str">
        <f aca="false">IF(AND(TRIM(C666)&lt;&gt;"",COUNTIF(C$2:C666,C666)=1),MAX(P$1:P665)+1,"")</f>
        <v/>
      </c>
      <c r="Q666" s="0" t="str">
        <f aca="false">IF(AND(TRIM(F666)&lt;&gt;"",COUNTIF(F$2:F666,F666)=1),MAX(Q$1:Q665)+1,"")</f>
        <v/>
      </c>
    </row>
    <row r="667" customFormat="false" ht="15" hidden="false" customHeight="false" outlineLevel="0" collapsed="false">
      <c r="A667" s="9"/>
      <c r="B667" s="10"/>
      <c r="C667" s="11"/>
      <c r="D667" s="11"/>
      <c r="E667" s="11"/>
      <c r="F667" s="11"/>
      <c r="G667" s="12"/>
      <c r="H667" s="12"/>
      <c r="I667" s="10"/>
      <c r="J667" s="12"/>
      <c r="K667" s="13" t="str">
        <f aca="false">IF(ISNUMBER(B667),YEAR(B667),"")</f>
        <v/>
      </c>
      <c r="L667" s="13" t="str">
        <f aca="false">IF(ISNUMBER(B667),MONTH(B667),"")</f>
        <v/>
      </c>
      <c r="M667" s="13" t="str">
        <f aca="false">IF(AND(ISNUMBER(B667),ISNUMBER(I667)),B667-I667+1,"")</f>
        <v/>
      </c>
      <c r="N667" s="14" t="str">
        <f aca="false">IF(B667="","",IF(M667="","시작일 미입력",IF(M667&lt;1,"시작일 이전(확인)",IF(M667=1,"1일째",IF(M667=2,"2일째",IF(M667=3,"3일째",IF(M667&lt;=7,"일주일 이내",IF(M667&lt;=14,"이주일 이내","15일 이후"))))))))</f>
        <v/>
      </c>
      <c r="O667" s="0" t="str">
        <f aca="false">IF(AND(COUNTA($A667:$J667)&gt;0,OR(클레임조회!$C$4="",AND(ISNUMBER($B667),$B667&gt;=클레임조회!$C$4)),OR(클레임조회!$C$5="",AND(ISNUMBER($B667),$B667&lt;=클레임조회!$C$5)),OR(클레임조회!$C$6="",$C667=클레임조회!$C$6),OR(클레임조회!$C$7="",$D667=클레임조회!$C$7),OR(클레임조회!$C$8="",$E667=클레임조회!$C$8),OR(클레임조회!$C$9="",$F667=클레임조회!$C$9),OR(클레임조회!$C$10="",ISNUMBER(SEARCH(클레임조회!$C$10,$C667&amp;" "&amp;$F667&amp;" "&amp;$G667&amp;" "&amp;$H667)))),COUNT(O$1:O666)+1,"")</f>
        <v/>
      </c>
      <c r="P667" s="0" t="str">
        <f aca="false">IF(AND(TRIM(C667)&lt;&gt;"",COUNTIF(C$2:C667,C667)=1),MAX(P$1:P666)+1,"")</f>
        <v/>
      </c>
      <c r="Q667" s="0" t="str">
        <f aca="false">IF(AND(TRIM(F667)&lt;&gt;"",COUNTIF(F$2:F667,F667)=1),MAX(Q$1:Q666)+1,"")</f>
        <v/>
      </c>
    </row>
    <row r="668" customFormat="false" ht="15" hidden="false" customHeight="false" outlineLevel="0" collapsed="false">
      <c r="A668" s="9"/>
      <c r="B668" s="10"/>
      <c r="C668" s="11"/>
      <c r="D668" s="11"/>
      <c r="E668" s="11"/>
      <c r="F668" s="11"/>
      <c r="G668" s="12"/>
      <c r="H668" s="12"/>
      <c r="I668" s="10"/>
      <c r="J668" s="12"/>
      <c r="K668" s="13" t="str">
        <f aca="false">IF(ISNUMBER(B668),YEAR(B668),"")</f>
        <v/>
      </c>
      <c r="L668" s="13" t="str">
        <f aca="false">IF(ISNUMBER(B668),MONTH(B668),"")</f>
        <v/>
      </c>
      <c r="M668" s="13" t="str">
        <f aca="false">IF(AND(ISNUMBER(B668),ISNUMBER(I668)),B668-I668+1,"")</f>
        <v/>
      </c>
      <c r="N668" s="14" t="str">
        <f aca="false">IF(B668="","",IF(M668="","시작일 미입력",IF(M668&lt;1,"시작일 이전(확인)",IF(M668=1,"1일째",IF(M668=2,"2일째",IF(M668=3,"3일째",IF(M668&lt;=7,"일주일 이내",IF(M668&lt;=14,"이주일 이내","15일 이후"))))))))</f>
        <v/>
      </c>
      <c r="O668" s="0" t="str">
        <f aca="false">IF(AND(COUNTA($A668:$J668)&gt;0,OR(클레임조회!$C$4="",AND(ISNUMBER($B668),$B668&gt;=클레임조회!$C$4)),OR(클레임조회!$C$5="",AND(ISNUMBER($B668),$B668&lt;=클레임조회!$C$5)),OR(클레임조회!$C$6="",$C668=클레임조회!$C$6),OR(클레임조회!$C$7="",$D668=클레임조회!$C$7),OR(클레임조회!$C$8="",$E668=클레임조회!$C$8),OR(클레임조회!$C$9="",$F668=클레임조회!$C$9),OR(클레임조회!$C$10="",ISNUMBER(SEARCH(클레임조회!$C$10,$C668&amp;" "&amp;$F668&amp;" "&amp;$G668&amp;" "&amp;$H668)))),COUNT(O$1:O667)+1,"")</f>
        <v/>
      </c>
      <c r="P668" s="0" t="str">
        <f aca="false">IF(AND(TRIM(C668)&lt;&gt;"",COUNTIF(C$2:C668,C668)=1),MAX(P$1:P667)+1,"")</f>
        <v/>
      </c>
      <c r="Q668" s="0" t="str">
        <f aca="false">IF(AND(TRIM(F668)&lt;&gt;"",COUNTIF(F$2:F668,F668)=1),MAX(Q$1:Q667)+1,"")</f>
        <v/>
      </c>
    </row>
    <row r="669" customFormat="false" ht="15" hidden="false" customHeight="false" outlineLevel="0" collapsed="false">
      <c r="A669" s="9"/>
      <c r="B669" s="10"/>
      <c r="C669" s="11"/>
      <c r="D669" s="11"/>
      <c r="E669" s="11"/>
      <c r="F669" s="11"/>
      <c r="G669" s="12"/>
      <c r="H669" s="12"/>
      <c r="I669" s="10"/>
      <c r="J669" s="12"/>
      <c r="K669" s="13" t="str">
        <f aca="false">IF(ISNUMBER(B669),YEAR(B669),"")</f>
        <v/>
      </c>
      <c r="L669" s="13" t="str">
        <f aca="false">IF(ISNUMBER(B669),MONTH(B669),"")</f>
        <v/>
      </c>
      <c r="M669" s="13" t="str">
        <f aca="false">IF(AND(ISNUMBER(B669),ISNUMBER(I669)),B669-I669+1,"")</f>
        <v/>
      </c>
      <c r="N669" s="14" t="str">
        <f aca="false">IF(B669="","",IF(M669="","시작일 미입력",IF(M669&lt;1,"시작일 이전(확인)",IF(M669=1,"1일째",IF(M669=2,"2일째",IF(M669=3,"3일째",IF(M669&lt;=7,"일주일 이내",IF(M669&lt;=14,"이주일 이내","15일 이후"))))))))</f>
        <v/>
      </c>
      <c r="O669" s="0" t="str">
        <f aca="false">IF(AND(COUNTA($A669:$J669)&gt;0,OR(클레임조회!$C$4="",AND(ISNUMBER($B669),$B669&gt;=클레임조회!$C$4)),OR(클레임조회!$C$5="",AND(ISNUMBER($B669),$B669&lt;=클레임조회!$C$5)),OR(클레임조회!$C$6="",$C669=클레임조회!$C$6),OR(클레임조회!$C$7="",$D669=클레임조회!$C$7),OR(클레임조회!$C$8="",$E669=클레임조회!$C$8),OR(클레임조회!$C$9="",$F669=클레임조회!$C$9),OR(클레임조회!$C$10="",ISNUMBER(SEARCH(클레임조회!$C$10,$C669&amp;" "&amp;$F669&amp;" "&amp;$G669&amp;" "&amp;$H669)))),COUNT(O$1:O668)+1,"")</f>
        <v/>
      </c>
      <c r="P669" s="0" t="str">
        <f aca="false">IF(AND(TRIM(C669)&lt;&gt;"",COUNTIF(C$2:C669,C669)=1),MAX(P$1:P668)+1,"")</f>
        <v/>
      </c>
      <c r="Q669" s="0" t="str">
        <f aca="false">IF(AND(TRIM(F669)&lt;&gt;"",COUNTIF(F$2:F669,F669)=1),MAX(Q$1:Q668)+1,"")</f>
        <v/>
      </c>
    </row>
    <row r="670" customFormat="false" ht="15" hidden="false" customHeight="false" outlineLevel="0" collapsed="false">
      <c r="A670" s="9"/>
      <c r="B670" s="10"/>
      <c r="C670" s="11"/>
      <c r="D670" s="11"/>
      <c r="E670" s="11"/>
      <c r="F670" s="11"/>
      <c r="G670" s="12"/>
      <c r="H670" s="12"/>
      <c r="I670" s="10"/>
      <c r="J670" s="12"/>
      <c r="K670" s="13" t="str">
        <f aca="false">IF(ISNUMBER(B670),YEAR(B670),"")</f>
        <v/>
      </c>
      <c r="L670" s="13" t="str">
        <f aca="false">IF(ISNUMBER(B670),MONTH(B670),"")</f>
        <v/>
      </c>
      <c r="M670" s="13" t="str">
        <f aca="false">IF(AND(ISNUMBER(B670),ISNUMBER(I670)),B670-I670+1,"")</f>
        <v/>
      </c>
      <c r="N670" s="14" t="str">
        <f aca="false">IF(B670="","",IF(M670="","시작일 미입력",IF(M670&lt;1,"시작일 이전(확인)",IF(M670=1,"1일째",IF(M670=2,"2일째",IF(M670=3,"3일째",IF(M670&lt;=7,"일주일 이내",IF(M670&lt;=14,"이주일 이내","15일 이후"))))))))</f>
        <v/>
      </c>
      <c r="O670" s="0" t="str">
        <f aca="false">IF(AND(COUNTA($A670:$J670)&gt;0,OR(클레임조회!$C$4="",AND(ISNUMBER($B670),$B670&gt;=클레임조회!$C$4)),OR(클레임조회!$C$5="",AND(ISNUMBER($B670),$B670&lt;=클레임조회!$C$5)),OR(클레임조회!$C$6="",$C670=클레임조회!$C$6),OR(클레임조회!$C$7="",$D670=클레임조회!$C$7),OR(클레임조회!$C$8="",$E670=클레임조회!$C$8),OR(클레임조회!$C$9="",$F670=클레임조회!$C$9),OR(클레임조회!$C$10="",ISNUMBER(SEARCH(클레임조회!$C$10,$C670&amp;" "&amp;$F670&amp;" "&amp;$G670&amp;" "&amp;$H670)))),COUNT(O$1:O669)+1,"")</f>
        <v/>
      </c>
      <c r="P670" s="0" t="str">
        <f aca="false">IF(AND(TRIM(C670)&lt;&gt;"",COUNTIF(C$2:C670,C670)=1),MAX(P$1:P669)+1,"")</f>
        <v/>
      </c>
      <c r="Q670" s="0" t="str">
        <f aca="false">IF(AND(TRIM(F670)&lt;&gt;"",COUNTIF(F$2:F670,F670)=1),MAX(Q$1:Q669)+1,"")</f>
        <v/>
      </c>
    </row>
    <row r="671" customFormat="false" ht="15" hidden="false" customHeight="false" outlineLevel="0" collapsed="false">
      <c r="A671" s="9"/>
      <c r="B671" s="10"/>
      <c r="C671" s="11"/>
      <c r="D671" s="11"/>
      <c r="E671" s="11"/>
      <c r="F671" s="11"/>
      <c r="G671" s="12"/>
      <c r="H671" s="12"/>
      <c r="I671" s="10"/>
      <c r="J671" s="12"/>
      <c r="K671" s="13" t="str">
        <f aca="false">IF(ISNUMBER(B671),YEAR(B671),"")</f>
        <v/>
      </c>
      <c r="L671" s="13" t="str">
        <f aca="false">IF(ISNUMBER(B671),MONTH(B671),"")</f>
        <v/>
      </c>
      <c r="M671" s="13" t="str">
        <f aca="false">IF(AND(ISNUMBER(B671),ISNUMBER(I671)),B671-I671+1,"")</f>
        <v/>
      </c>
      <c r="N671" s="14" t="str">
        <f aca="false">IF(B671="","",IF(M671="","시작일 미입력",IF(M671&lt;1,"시작일 이전(확인)",IF(M671=1,"1일째",IF(M671=2,"2일째",IF(M671=3,"3일째",IF(M671&lt;=7,"일주일 이내",IF(M671&lt;=14,"이주일 이내","15일 이후"))))))))</f>
        <v/>
      </c>
      <c r="O671" s="0" t="str">
        <f aca="false">IF(AND(COUNTA($A671:$J671)&gt;0,OR(클레임조회!$C$4="",AND(ISNUMBER($B671),$B671&gt;=클레임조회!$C$4)),OR(클레임조회!$C$5="",AND(ISNUMBER($B671),$B671&lt;=클레임조회!$C$5)),OR(클레임조회!$C$6="",$C671=클레임조회!$C$6),OR(클레임조회!$C$7="",$D671=클레임조회!$C$7),OR(클레임조회!$C$8="",$E671=클레임조회!$C$8),OR(클레임조회!$C$9="",$F671=클레임조회!$C$9),OR(클레임조회!$C$10="",ISNUMBER(SEARCH(클레임조회!$C$10,$C671&amp;" "&amp;$F671&amp;" "&amp;$G671&amp;" "&amp;$H671)))),COUNT(O$1:O670)+1,"")</f>
        <v/>
      </c>
      <c r="P671" s="0" t="str">
        <f aca="false">IF(AND(TRIM(C671)&lt;&gt;"",COUNTIF(C$2:C671,C671)=1),MAX(P$1:P670)+1,"")</f>
        <v/>
      </c>
      <c r="Q671" s="0" t="str">
        <f aca="false">IF(AND(TRIM(F671)&lt;&gt;"",COUNTIF(F$2:F671,F671)=1),MAX(Q$1:Q670)+1,"")</f>
        <v/>
      </c>
    </row>
    <row r="672" customFormat="false" ht="15" hidden="false" customHeight="false" outlineLevel="0" collapsed="false">
      <c r="A672" s="9"/>
      <c r="B672" s="10"/>
      <c r="C672" s="11"/>
      <c r="D672" s="11"/>
      <c r="E672" s="11"/>
      <c r="F672" s="11"/>
      <c r="G672" s="12"/>
      <c r="H672" s="12"/>
      <c r="I672" s="10"/>
      <c r="J672" s="12"/>
      <c r="K672" s="13" t="str">
        <f aca="false">IF(ISNUMBER(B672),YEAR(B672),"")</f>
        <v/>
      </c>
      <c r="L672" s="13" t="str">
        <f aca="false">IF(ISNUMBER(B672),MONTH(B672),"")</f>
        <v/>
      </c>
      <c r="M672" s="13" t="str">
        <f aca="false">IF(AND(ISNUMBER(B672),ISNUMBER(I672)),B672-I672+1,"")</f>
        <v/>
      </c>
      <c r="N672" s="14" t="str">
        <f aca="false">IF(B672="","",IF(M672="","시작일 미입력",IF(M672&lt;1,"시작일 이전(확인)",IF(M672=1,"1일째",IF(M672=2,"2일째",IF(M672=3,"3일째",IF(M672&lt;=7,"일주일 이내",IF(M672&lt;=14,"이주일 이내","15일 이후"))))))))</f>
        <v/>
      </c>
      <c r="O672" s="0" t="str">
        <f aca="false">IF(AND(COUNTA($A672:$J672)&gt;0,OR(클레임조회!$C$4="",AND(ISNUMBER($B672),$B672&gt;=클레임조회!$C$4)),OR(클레임조회!$C$5="",AND(ISNUMBER($B672),$B672&lt;=클레임조회!$C$5)),OR(클레임조회!$C$6="",$C672=클레임조회!$C$6),OR(클레임조회!$C$7="",$D672=클레임조회!$C$7),OR(클레임조회!$C$8="",$E672=클레임조회!$C$8),OR(클레임조회!$C$9="",$F672=클레임조회!$C$9),OR(클레임조회!$C$10="",ISNUMBER(SEARCH(클레임조회!$C$10,$C672&amp;" "&amp;$F672&amp;" "&amp;$G672&amp;" "&amp;$H672)))),COUNT(O$1:O671)+1,"")</f>
        <v/>
      </c>
      <c r="P672" s="0" t="str">
        <f aca="false">IF(AND(TRIM(C672)&lt;&gt;"",COUNTIF(C$2:C672,C672)=1),MAX(P$1:P671)+1,"")</f>
        <v/>
      </c>
      <c r="Q672" s="0" t="str">
        <f aca="false">IF(AND(TRIM(F672)&lt;&gt;"",COUNTIF(F$2:F672,F672)=1),MAX(Q$1:Q671)+1,"")</f>
        <v/>
      </c>
    </row>
    <row r="673" customFormat="false" ht="15" hidden="false" customHeight="false" outlineLevel="0" collapsed="false">
      <c r="A673" s="9"/>
      <c r="B673" s="10"/>
      <c r="C673" s="11"/>
      <c r="D673" s="11"/>
      <c r="E673" s="11"/>
      <c r="F673" s="11"/>
      <c r="G673" s="12"/>
      <c r="H673" s="12"/>
      <c r="I673" s="10"/>
      <c r="J673" s="12"/>
      <c r="K673" s="13" t="str">
        <f aca="false">IF(ISNUMBER(B673),YEAR(B673),"")</f>
        <v/>
      </c>
      <c r="L673" s="13" t="str">
        <f aca="false">IF(ISNUMBER(B673),MONTH(B673),"")</f>
        <v/>
      </c>
      <c r="M673" s="13" t="str">
        <f aca="false">IF(AND(ISNUMBER(B673),ISNUMBER(I673)),B673-I673+1,"")</f>
        <v/>
      </c>
      <c r="N673" s="14" t="str">
        <f aca="false">IF(B673="","",IF(M673="","시작일 미입력",IF(M673&lt;1,"시작일 이전(확인)",IF(M673=1,"1일째",IF(M673=2,"2일째",IF(M673=3,"3일째",IF(M673&lt;=7,"일주일 이내",IF(M673&lt;=14,"이주일 이내","15일 이후"))))))))</f>
        <v/>
      </c>
      <c r="O673" s="0" t="str">
        <f aca="false">IF(AND(COUNTA($A673:$J673)&gt;0,OR(클레임조회!$C$4="",AND(ISNUMBER($B673),$B673&gt;=클레임조회!$C$4)),OR(클레임조회!$C$5="",AND(ISNUMBER($B673),$B673&lt;=클레임조회!$C$5)),OR(클레임조회!$C$6="",$C673=클레임조회!$C$6),OR(클레임조회!$C$7="",$D673=클레임조회!$C$7),OR(클레임조회!$C$8="",$E673=클레임조회!$C$8),OR(클레임조회!$C$9="",$F673=클레임조회!$C$9),OR(클레임조회!$C$10="",ISNUMBER(SEARCH(클레임조회!$C$10,$C673&amp;" "&amp;$F673&amp;" "&amp;$G673&amp;" "&amp;$H673)))),COUNT(O$1:O672)+1,"")</f>
        <v/>
      </c>
      <c r="P673" s="0" t="str">
        <f aca="false">IF(AND(TRIM(C673)&lt;&gt;"",COUNTIF(C$2:C673,C673)=1),MAX(P$1:P672)+1,"")</f>
        <v/>
      </c>
      <c r="Q673" s="0" t="str">
        <f aca="false">IF(AND(TRIM(F673)&lt;&gt;"",COUNTIF(F$2:F673,F673)=1),MAX(Q$1:Q672)+1,"")</f>
        <v/>
      </c>
    </row>
    <row r="674" customFormat="false" ht="15" hidden="false" customHeight="false" outlineLevel="0" collapsed="false">
      <c r="A674" s="9"/>
      <c r="B674" s="10"/>
      <c r="C674" s="11"/>
      <c r="D674" s="11"/>
      <c r="E674" s="11"/>
      <c r="F674" s="11"/>
      <c r="G674" s="12"/>
      <c r="H674" s="12"/>
      <c r="I674" s="10"/>
      <c r="J674" s="12"/>
      <c r="K674" s="13" t="str">
        <f aca="false">IF(ISNUMBER(B674),YEAR(B674),"")</f>
        <v/>
      </c>
      <c r="L674" s="13" t="str">
        <f aca="false">IF(ISNUMBER(B674),MONTH(B674),"")</f>
        <v/>
      </c>
      <c r="M674" s="13" t="str">
        <f aca="false">IF(AND(ISNUMBER(B674),ISNUMBER(I674)),B674-I674+1,"")</f>
        <v/>
      </c>
      <c r="N674" s="14" t="str">
        <f aca="false">IF(B674="","",IF(M674="","시작일 미입력",IF(M674&lt;1,"시작일 이전(확인)",IF(M674=1,"1일째",IF(M674=2,"2일째",IF(M674=3,"3일째",IF(M674&lt;=7,"일주일 이내",IF(M674&lt;=14,"이주일 이내","15일 이후"))))))))</f>
        <v/>
      </c>
      <c r="O674" s="0" t="str">
        <f aca="false">IF(AND(COUNTA($A674:$J674)&gt;0,OR(클레임조회!$C$4="",AND(ISNUMBER($B674),$B674&gt;=클레임조회!$C$4)),OR(클레임조회!$C$5="",AND(ISNUMBER($B674),$B674&lt;=클레임조회!$C$5)),OR(클레임조회!$C$6="",$C674=클레임조회!$C$6),OR(클레임조회!$C$7="",$D674=클레임조회!$C$7),OR(클레임조회!$C$8="",$E674=클레임조회!$C$8),OR(클레임조회!$C$9="",$F674=클레임조회!$C$9),OR(클레임조회!$C$10="",ISNUMBER(SEARCH(클레임조회!$C$10,$C674&amp;" "&amp;$F674&amp;" "&amp;$G674&amp;" "&amp;$H674)))),COUNT(O$1:O673)+1,"")</f>
        <v/>
      </c>
      <c r="P674" s="0" t="str">
        <f aca="false">IF(AND(TRIM(C674)&lt;&gt;"",COUNTIF(C$2:C674,C674)=1),MAX(P$1:P673)+1,"")</f>
        <v/>
      </c>
      <c r="Q674" s="0" t="str">
        <f aca="false">IF(AND(TRIM(F674)&lt;&gt;"",COUNTIF(F$2:F674,F674)=1),MAX(Q$1:Q673)+1,"")</f>
        <v/>
      </c>
    </row>
    <row r="675" customFormat="false" ht="15" hidden="false" customHeight="false" outlineLevel="0" collapsed="false">
      <c r="A675" s="9"/>
      <c r="B675" s="10"/>
      <c r="C675" s="11"/>
      <c r="D675" s="11"/>
      <c r="E675" s="11"/>
      <c r="F675" s="11"/>
      <c r="G675" s="12"/>
      <c r="H675" s="12"/>
      <c r="I675" s="10"/>
      <c r="J675" s="12"/>
      <c r="K675" s="13" t="str">
        <f aca="false">IF(ISNUMBER(B675),YEAR(B675),"")</f>
        <v/>
      </c>
      <c r="L675" s="13" t="str">
        <f aca="false">IF(ISNUMBER(B675),MONTH(B675),"")</f>
        <v/>
      </c>
      <c r="M675" s="13" t="str">
        <f aca="false">IF(AND(ISNUMBER(B675),ISNUMBER(I675)),B675-I675+1,"")</f>
        <v/>
      </c>
      <c r="N675" s="14" t="str">
        <f aca="false">IF(B675="","",IF(M675="","시작일 미입력",IF(M675&lt;1,"시작일 이전(확인)",IF(M675=1,"1일째",IF(M675=2,"2일째",IF(M675=3,"3일째",IF(M675&lt;=7,"일주일 이내",IF(M675&lt;=14,"이주일 이내","15일 이후"))))))))</f>
        <v/>
      </c>
      <c r="O675" s="0" t="str">
        <f aca="false">IF(AND(COUNTA($A675:$J675)&gt;0,OR(클레임조회!$C$4="",AND(ISNUMBER($B675),$B675&gt;=클레임조회!$C$4)),OR(클레임조회!$C$5="",AND(ISNUMBER($B675),$B675&lt;=클레임조회!$C$5)),OR(클레임조회!$C$6="",$C675=클레임조회!$C$6),OR(클레임조회!$C$7="",$D675=클레임조회!$C$7),OR(클레임조회!$C$8="",$E675=클레임조회!$C$8),OR(클레임조회!$C$9="",$F675=클레임조회!$C$9),OR(클레임조회!$C$10="",ISNUMBER(SEARCH(클레임조회!$C$10,$C675&amp;" "&amp;$F675&amp;" "&amp;$G675&amp;" "&amp;$H675)))),COUNT(O$1:O674)+1,"")</f>
        <v/>
      </c>
      <c r="P675" s="0" t="str">
        <f aca="false">IF(AND(TRIM(C675)&lt;&gt;"",COUNTIF(C$2:C675,C675)=1),MAX(P$1:P674)+1,"")</f>
        <v/>
      </c>
      <c r="Q675" s="0" t="str">
        <f aca="false">IF(AND(TRIM(F675)&lt;&gt;"",COUNTIF(F$2:F675,F675)=1),MAX(Q$1:Q674)+1,"")</f>
        <v/>
      </c>
    </row>
    <row r="676" customFormat="false" ht="15" hidden="false" customHeight="false" outlineLevel="0" collapsed="false">
      <c r="A676" s="9"/>
      <c r="B676" s="10"/>
      <c r="C676" s="11"/>
      <c r="D676" s="11"/>
      <c r="E676" s="11"/>
      <c r="F676" s="11"/>
      <c r="G676" s="12"/>
      <c r="H676" s="12"/>
      <c r="I676" s="10"/>
      <c r="J676" s="12"/>
      <c r="K676" s="13" t="str">
        <f aca="false">IF(ISNUMBER(B676),YEAR(B676),"")</f>
        <v/>
      </c>
      <c r="L676" s="13" t="str">
        <f aca="false">IF(ISNUMBER(B676),MONTH(B676),"")</f>
        <v/>
      </c>
      <c r="M676" s="13" t="str">
        <f aca="false">IF(AND(ISNUMBER(B676),ISNUMBER(I676)),B676-I676+1,"")</f>
        <v/>
      </c>
      <c r="N676" s="14" t="str">
        <f aca="false">IF(B676="","",IF(M676="","시작일 미입력",IF(M676&lt;1,"시작일 이전(확인)",IF(M676=1,"1일째",IF(M676=2,"2일째",IF(M676=3,"3일째",IF(M676&lt;=7,"일주일 이내",IF(M676&lt;=14,"이주일 이내","15일 이후"))))))))</f>
        <v/>
      </c>
      <c r="O676" s="0" t="str">
        <f aca="false">IF(AND(COUNTA($A676:$J676)&gt;0,OR(클레임조회!$C$4="",AND(ISNUMBER($B676),$B676&gt;=클레임조회!$C$4)),OR(클레임조회!$C$5="",AND(ISNUMBER($B676),$B676&lt;=클레임조회!$C$5)),OR(클레임조회!$C$6="",$C676=클레임조회!$C$6),OR(클레임조회!$C$7="",$D676=클레임조회!$C$7),OR(클레임조회!$C$8="",$E676=클레임조회!$C$8),OR(클레임조회!$C$9="",$F676=클레임조회!$C$9),OR(클레임조회!$C$10="",ISNUMBER(SEARCH(클레임조회!$C$10,$C676&amp;" "&amp;$F676&amp;" "&amp;$G676&amp;" "&amp;$H676)))),COUNT(O$1:O675)+1,"")</f>
        <v/>
      </c>
      <c r="P676" s="0" t="str">
        <f aca="false">IF(AND(TRIM(C676)&lt;&gt;"",COUNTIF(C$2:C676,C676)=1),MAX(P$1:P675)+1,"")</f>
        <v/>
      </c>
      <c r="Q676" s="0" t="str">
        <f aca="false">IF(AND(TRIM(F676)&lt;&gt;"",COUNTIF(F$2:F676,F676)=1),MAX(Q$1:Q675)+1,"")</f>
        <v/>
      </c>
    </row>
    <row r="677" customFormat="false" ht="15" hidden="false" customHeight="false" outlineLevel="0" collapsed="false">
      <c r="A677" s="9"/>
      <c r="B677" s="10"/>
      <c r="C677" s="11"/>
      <c r="D677" s="11"/>
      <c r="E677" s="11"/>
      <c r="F677" s="11"/>
      <c r="G677" s="12"/>
      <c r="H677" s="12"/>
      <c r="I677" s="10"/>
      <c r="J677" s="12"/>
      <c r="K677" s="13" t="str">
        <f aca="false">IF(ISNUMBER(B677),YEAR(B677),"")</f>
        <v/>
      </c>
      <c r="L677" s="13" t="str">
        <f aca="false">IF(ISNUMBER(B677),MONTH(B677),"")</f>
        <v/>
      </c>
      <c r="M677" s="13" t="str">
        <f aca="false">IF(AND(ISNUMBER(B677),ISNUMBER(I677)),B677-I677+1,"")</f>
        <v/>
      </c>
      <c r="N677" s="14" t="str">
        <f aca="false">IF(B677="","",IF(M677="","시작일 미입력",IF(M677&lt;1,"시작일 이전(확인)",IF(M677=1,"1일째",IF(M677=2,"2일째",IF(M677=3,"3일째",IF(M677&lt;=7,"일주일 이내",IF(M677&lt;=14,"이주일 이내","15일 이후"))))))))</f>
        <v/>
      </c>
      <c r="O677" s="0" t="str">
        <f aca="false">IF(AND(COUNTA($A677:$J677)&gt;0,OR(클레임조회!$C$4="",AND(ISNUMBER($B677),$B677&gt;=클레임조회!$C$4)),OR(클레임조회!$C$5="",AND(ISNUMBER($B677),$B677&lt;=클레임조회!$C$5)),OR(클레임조회!$C$6="",$C677=클레임조회!$C$6),OR(클레임조회!$C$7="",$D677=클레임조회!$C$7),OR(클레임조회!$C$8="",$E677=클레임조회!$C$8),OR(클레임조회!$C$9="",$F677=클레임조회!$C$9),OR(클레임조회!$C$10="",ISNUMBER(SEARCH(클레임조회!$C$10,$C677&amp;" "&amp;$F677&amp;" "&amp;$G677&amp;" "&amp;$H677)))),COUNT(O$1:O676)+1,"")</f>
        <v/>
      </c>
      <c r="P677" s="0" t="str">
        <f aca="false">IF(AND(TRIM(C677)&lt;&gt;"",COUNTIF(C$2:C677,C677)=1),MAX(P$1:P676)+1,"")</f>
        <v/>
      </c>
      <c r="Q677" s="0" t="str">
        <f aca="false">IF(AND(TRIM(F677)&lt;&gt;"",COUNTIF(F$2:F677,F677)=1),MAX(Q$1:Q676)+1,"")</f>
        <v/>
      </c>
    </row>
    <row r="678" customFormat="false" ht="15" hidden="false" customHeight="false" outlineLevel="0" collapsed="false">
      <c r="A678" s="9"/>
      <c r="B678" s="10"/>
      <c r="C678" s="11"/>
      <c r="D678" s="11"/>
      <c r="E678" s="11"/>
      <c r="F678" s="11"/>
      <c r="G678" s="12"/>
      <c r="H678" s="12"/>
      <c r="I678" s="10"/>
      <c r="J678" s="12"/>
      <c r="K678" s="13" t="str">
        <f aca="false">IF(ISNUMBER(B678),YEAR(B678),"")</f>
        <v/>
      </c>
      <c r="L678" s="13" t="str">
        <f aca="false">IF(ISNUMBER(B678),MONTH(B678),"")</f>
        <v/>
      </c>
      <c r="M678" s="13" t="str">
        <f aca="false">IF(AND(ISNUMBER(B678),ISNUMBER(I678)),B678-I678+1,"")</f>
        <v/>
      </c>
      <c r="N678" s="14" t="str">
        <f aca="false">IF(B678="","",IF(M678="","시작일 미입력",IF(M678&lt;1,"시작일 이전(확인)",IF(M678=1,"1일째",IF(M678=2,"2일째",IF(M678=3,"3일째",IF(M678&lt;=7,"일주일 이내",IF(M678&lt;=14,"이주일 이내","15일 이후"))))))))</f>
        <v/>
      </c>
      <c r="O678" s="0" t="str">
        <f aca="false">IF(AND(COUNTA($A678:$J678)&gt;0,OR(클레임조회!$C$4="",AND(ISNUMBER($B678),$B678&gt;=클레임조회!$C$4)),OR(클레임조회!$C$5="",AND(ISNUMBER($B678),$B678&lt;=클레임조회!$C$5)),OR(클레임조회!$C$6="",$C678=클레임조회!$C$6),OR(클레임조회!$C$7="",$D678=클레임조회!$C$7),OR(클레임조회!$C$8="",$E678=클레임조회!$C$8),OR(클레임조회!$C$9="",$F678=클레임조회!$C$9),OR(클레임조회!$C$10="",ISNUMBER(SEARCH(클레임조회!$C$10,$C678&amp;" "&amp;$F678&amp;" "&amp;$G678&amp;" "&amp;$H678)))),COUNT(O$1:O677)+1,"")</f>
        <v/>
      </c>
      <c r="P678" s="0" t="str">
        <f aca="false">IF(AND(TRIM(C678)&lt;&gt;"",COUNTIF(C$2:C678,C678)=1),MAX(P$1:P677)+1,"")</f>
        <v/>
      </c>
      <c r="Q678" s="0" t="str">
        <f aca="false">IF(AND(TRIM(F678)&lt;&gt;"",COUNTIF(F$2:F678,F678)=1),MAX(Q$1:Q677)+1,"")</f>
        <v/>
      </c>
    </row>
    <row r="679" customFormat="false" ht="15" hidden="false" customHeight="false" outlineLevel="0" collapsed="false">
      <c r="A679" s="9"/>
      <c r="B679" s="10"/>
      <c r="C679" s="11"/>
      <c r="D679" s="11"/>
      <c r="E679" s="11"/>
      <c r="F679" s="11"/>
      <c r="G679" s="12"/>
      <c r="H679" s="12"/>
      <c r="I679" s="10"/>
      <c r="J679" s="12"/>
      <c r="K679" s="13" t="str">
        <f aca="false">IF(ISNUMBER(B679),YEAR(B679),"")</f>
        <v/>
      </c>
      <c r="L679" s="13" t="str">
        <f aca="false">IF(ISNUMBER(B679),MONTH(B679),"")</f>
        <v/>
      </c>
      <c r="M679" s="13" t="str">
        <f aca="false">IF(AND(ISNUMBER(B679),ISNUMBER(I679)),B679-I679+1,"")</f>
        <v/>
      </c>
      <c r="N679" s="14" t="str">
        <f aca="false">IF(B679="","",IF(M679="","시작일 미입력",IF(M679&lt;1,"시작일 이전(확인)",IF(M679=1,"1일째",IF(M679=2,"2일째",IF(M679=3,"3일째",IF(M679&lt;=7,"일주일 이내",IF(M679&lt;=14,"이주일 이내","15일 이후"))))))))</f>
        <v/>
      </c>
      <c r="O679" s="0" t="str">
        <f aca="false">IF(AND(COUNTA($A679:$J679)&gt;0,OR(클레임조회!$C$4="",AND(ISNUMBER($B679),$B679&gt;=클레임조회!$C$4)),OR(클레임조회!$C$5="",AND(ISNUMBER($B679),$B679&lt;=클레임조회!$C$5)),OR(클레임조회!$C$6="",$C679=클레임조회!$C$6),OR(클레임조회!$C$7="",$D679=클레임조회!$C$7),OR(클레임조회!$C$8="",$E679=클레임조회!$C$8),OR(클레임조회!$C$9="",$F679=클레임조회!$C$9),OR(클레임조회!$C$10="",ISNUMBER(SEARCH(클레임조회!$C$10,$C679&amp;" "&amp;$F679&amp;" "&amp;$G679&amp;" "&amp;$H679)))),COUNT(O$1:O678)+1,"")</f>
        <v/>
      </c>
      <c r="P679" s="0" t="str">
        <f aca="false">IF(AND(TRIM(C679)&lt;&gt;"",COUNTIF(C$2:C679,C679)=1),MAX(P$1:P678)+1,"")</f>
        <v/>
      </c>
      <c r="Q679" s="0" t="str">
        <f aca="false">IF(AND(TRIM(F679)&lt;&gt;"",COUNTIF(F$2:F679,F679)=1),MAX(Q$1:Q678)+1,"")</f>
        <v/>
      </c>
    </row>
    <row r="680" customFormat="false" ht="15" hidden="false" customHeight="false" outlineLevel="0" collapsed="false">
      <c r="A680" s="9"/>
      <c r="B680" s="10"/>
      <c r="C680" s="11"/>
      <c r="D680" s="11"/>
      <c r="E680" s="11"/>
      <c r="F680" s="11"/>
      <c r="G680" s="12"/>
      <c r="H680" s="12"/>
      <c r="I680" s="10"/>
      <c r="J680" s="12"/>
      <c r="K680" s="13" t="str">
        <f aca="false">IF(ISNUMBER(B680),YEAR(B680),"")</f>
        <v/>
      </c>
      <c r="L680" s="13" t="str">
        <f aca="false">IF(ISNUMBER(B680),MONTH(B680),"")</f>
        <v/>
      </c>
      <c r="M680" s="13" t="str">
        <f aca="false">IF(AND(ISNUMBER(B680),ISNUMBER(I680)),B680-I680+1,"")</f>
        <v/>
      </c>
      <c r="N680" s="14" t="str">
        <f aca="false">IF(B680="","",IF(M680="","시작일 미입력",IF(M680&lt;1,"시작일 이전(확인)",IF(M680=1,"1일째",IF(M680=2,"2일째",IF(M680=3,"3일째",IF(M680&lt;=7,"일주일 이내",IF(M680&lt;=14,"이주일 이내","15일 이후"))))))))</f>
        <v/>
      </c>
      <c r="O680" s="0" t="str">
        <f aca="false">IF(AND(COUNTA($A680:$J680)&gt;0,OR(클레임조회!$C$4="",AND(ISNUMBER($B680),$B680&gt;=클레임조회!$C$4)),OR(클레임조회!$C$5="",AND(ISNUMBER($B680),$B680&lt;=클레임조회!$C$5)),OR(클레임조회!$C$6="",$C680=클레임조회!$C$6),OR(클레임조회!$C$7="",$D680=클레임조회!$C$7),OR(클레임조회!$C$8="",$E680=클레임조회!$C$8),OR(클레임조회!$C$9="",$F680=클레임조회!$C$9),OR(클레임조회!$C$10="",ISNUMBER(SEARCH(클레임조회!$C$10,$C680&amp;" "&amp;$F680&amp;" "&amp;$G680&amp;" "&amp;$H680)))),COUNT(O$1:O679)+1,"")</f>
        <v/>
      </c>
      <c r="P680" s="0" t="str">
        <f aca="false">IF(AND(TRIM(C680)&lt;&gt;"",COUNTIF(C$2:C680,C680)=1),MAX(P$1:P679)+1,"")</f>
        <v/>
      </c>
      <c r="Q680" s="0" t="str">
        <f aca="false">IF(AND(TRIM(F680)&lt;&gt;"",COUNTIF(F$2:F680,F680)=1),MAX(Q$1:Q679)+1,"")</f>
        <v/>
      </c>
    </row>
    <row r="681" customFormat="false" ht="15" hidden="false" customHeight="false" outlineLevel="0" collapsed="false">
      <c r="A681" s="9"/>
      <c r="B681" s="10"/>
      <c r="C681" s="11"/>
      <c r="D681" s="11"/>
      <c r="E681" s="11"/>
      <c r="F681" s="11"/>
      <c r="G681" s="12"/>
      <c r="H681" s="12"/>
      <c r="I681" s="10"/>
      <c r="J681" s="12"/>
      <c r="K681" s="13" t="str">
        <f aca="false">IF(ISNUMBER(B681),YEAR(B681),"")</f>
        <v/>
      </c>
      <c r="L681" s="13" t="str">
        <f aca="false">IF(ISNUMBER(B681),MONTH(B681),"")</f>
        <v/>
      </c>
      <c r="M681" s="13" t="str">
        <f aca="false">IF(AND(ISNUMBER(B681),ISNUMBER(I681)),B681-I681+1,"")</f>
        <v/>
      </c>
      <c r="N681" s="14" t="str">
        <f aca="false">IF(B681="","",IF(M681="","시작일 미입력",IF(M681&lt;1,"시작일 이전(확인)",IF(M681=1,"1일째",IF(M681=2,"2일째",IF(M681=3,"3일째",IF(M681&lt;=7,"일주일 이내",IF(M681&lt;=14,"이주일 이내","15일 이후"))))))))</f>
        <v/>
      </c>
      <c r="O681" s="0" t="str">
        <f aca="false">IF(AND(COUNTA($A681:$J681)&gt;0,OR(클레임조회!$C$4="",AND(ISNUMBER($B681),$B681&gt;=클레임조회!$C$4)),OR(클레임조회!$C$5="",AND(ISNUMBER($B681),$B681&lt;=클레임조회!$C$5)),OR(클레임조회!$C$6="",$C681=클레임조회!$C$6),OR(클레임조회!$C$7="",$D681=클레임조회!$C$7),OR(클레임조회!$C$8="",$E681=클레임조회!$C$8),OR(클레임조회!$C$9="",$F681=클레임조회!$C$9),OR(클레임조회!$C$10="",ISNUMBER(SEARCH(클레임조회!$C$10,$C681&amp;" "&amp;$F681&amp;" "&amp;$G681&amp;" "&amp;$H681)))),COUNT(O$1:O680)+1,"")</f>
        <v/>
      </c>
      <c r="P681" s="0" t="str">
        <f aca="false">IF(AND(TRIM(C681)&lt;&gt;"",COUNTIF(C$2:C681,C681)=1),MAX(P$1:P680)+1,"")</f>
        <v/>
      </c>
      <c r="Q681" s="0" t="str">
        <f aca="false">IF(AND(TRIM(F681)&lt;&gt;"",COUNTIF(F$2:F681,F681)=1),MAX(Q$1:Q680)+1,"")</f>
        <v/>
      </c>
    </row>
    <row r="682" customFormat="false" ht="15" hidden="false" customHeight="false" outlineLevel="0" collapsed="false">
      <c r="A682" s="9"/>
      <c r="B682" s="10"/>
      <c r="C682" s="11"/>
      <c r="D682" s="11"/>
      <c r="E682" s="11"/>
      <c r="F682" s="11"/>
      <c r="G682" s="12"/>
      <c r="H682" s="12"/>
      <c r="I682" s="10"/>
      <c r="J682" s="12"/>
      <c r="K682" s="13" t="str">
        <f aca="false">IF(ISNUMBER(B682),YEAR(B682),"")</f>
        <v/>
      </c>
      <c r="L682" s="13" t="str">
        <f aca="false">IF(ISNUMBER(B682),MONTH(B682),"")</f>
        <v/>
      </c>
      <c r="M682" s="13" t="str">
        <f aca="false">IF(AND(ISNUMBER(B682),ISNUMBER(I682)),B682-I682+1,"")</f>
        <v/>
      </c>
      <c r="N682" s="14" t="str">
        <f aca="false">IF(B682="","",IF(M682="","시작일 미입력",IF(M682&lt;1,"시작일 이전(확인)",IF(M682=1,"1일째",IF(M682=2,"2일째",IF(M682=3,"3일째",IF(M682&lt;=7,"일주일 이내",IF(M682&lt;=14,"이주일 이내","15일 이후"))))))))</f>
        <v/>
      </c>
      <c r="O682" s="0" t="str">
        <f aca="false">IF(AND(COUNTA($A682:$J682)&gt;0,OR(클레임조회!$C$4="",AND(ISNUMBER($B682),$B682&gt;=클레임조회!$C$4)),OR(클레임조회!$C$5="",AND(ISNUMBER($B682),$B682&lt;=클레임조회!$C$5)),OR(클레임조회!$C$6="",$C682=클레임조회!$C$6),OR(클레임조회!$C$7="",$D682=클레임조회!$C$7),OR(클레임조회!$C$8="",$E682=클레임조회!$C$8),OR(클레임조회!$C$9="",$F682=클레임조회!$C$9),OR(클레임조회!$C$10="",ISNUMBER(SEARCH(클레임조회!$C$10,$C682&amp;" "&amp;$F682&amp;" "&amp;$G682&amp;" "&amp;$H682)))),COUNT(O$1:O681)+1,"")</f>
        <v/>
      </c>
      <c r="P682" s="0" t="str">
        <f aca="false">IF(AND(TRIM(C682)&lt;&gt;"",COUNTIF(C$2:C682,C682)=1),MAX(P$1:P681)+1,"")</f>
        <v/>
      </c>
      <c r="Q682" s="0" t="str">
        <f aca="false">IF(AND(TRIM(F682)&lt;&gt;"",COUNTIF(F$2:F682,F682)=1),MAX(Q$1:Q681)+1,"")</f>
        <v/>
      </c>
    </row>
    <row r="683" customFormat="false" ht="15" hidden="false" customHeight="false" outlineLevel="0" collapsed="false">
      <c r="A683" s="9"/>
      <c r="B683" s="10"/>
      <c r="C683" s="11"/>
      <c r="D683" s="11"/>
      <c r="E683" s="11"/>
      <c r="F683" s="11"/>
      <c r="G683" s="12"/>
      <c r="H683" s="12"/>
      <c r="I683" s="10"/>
      <c r="J683" s="12"/>
      <c r="K683" s="13" t="str">
        <f aca="false">IF(ISNUMBER(B683),YEAR(B683),"")</f>
        <v/>
      </c>
      <c r="L683" s="13" t="str">
        <f aca="false">IF(ISNUMBER(B683),MONTH(B683),"")</f>
        <v/>
      </c>
      <c r="M683" s="13" t="str">
        <f aca="false">IF(AND(ISNUMBER(B683),ISNUMBER(I683)),B683-I683+1,"")</f>
        <v/>
      </c>
      <c r="N683" s="14" t="str">
        <f aca="false">IF(B683="","",IF(M683="","시작일 미입력",IF(M683&lt;1,"시작일 이전(확인)",IF(M683=1,"1일째",IF(M683=2,"2일째",IF(M683=3,"3일째",IF(M683&lt;=7,"일주일 이내",IF(M683&lt;=14,"이주일 이내","15일 이후"))))))))</f>
        <v/>
      </c>
      <c r="O683" s="0" t="str">
        <f aca="false">IF(AND(COUNTA($A683:$J683)&gt;0,OR(클레임조회!$C$4="",AND(ISNUMBER($B683),$B683&gt;=클레임조회!$C$4)),OR(클레임조회!$C$5="",AND(ISNUMBER($B683),$B683&lt;=클레임조회!$C$5)),OR(클레임조회!$C$6="",$C683=클레임조회!$C$6),OR(클레임조회!$C$7="",$D683=클레임조회!$C$7),OR(클레임조회!$C$8="",$E683=클레임조회!$C$8),OR(클레임조회!$C$9="",$F683=클레임조회!$C$9),OR(클레임조회!$C$10="",ISNUMBER(SEARCH(클레임조회!$C$10,$C683&amp;" "&amp;$F683&amp;" "&amp;$G683&amp;" "&amp;$H683)))),COUNT(O$1:O682)+1,"")</f>
        <v/>
      </c>
      <c r="P683" s="0" t="str">
        <f aca="false">IF(AND(TRIM(C683)&lt;&gt;"",COUNTIF(C$2:C683,C683)=1),MAX(P$1:P682)+1,"")</f>
        <v/>
      </c>
      <c r="Q683" s="0" t="str">
        <f aca="false">IF(AND(TRIM(F683)&lt;&gt;"",COUNTIF(F$2:F683,F683)=1),MAX(Q$1:Q682)+1,"")</f>
        <v/>
      </c>
    </row>
    <row r="684" customFormat="false" ht="15" hidden="false" customHeight="false" outlineLevel="0" collapsed="false">
      <c r="A684" s="9"/>
      <c r="B684" s="10"/>
      <c r="C684" s="11"/>
      <c r="D684" s="11"/>
      <c r="E684" s="11"/>
      <c r="F684" s="11"/>
      <c r="G684" s="12"/>
      <c r="H684" s="12"/>
      <c r="I684" s="10"/>
      <c r="J684" s="12"/>
      <c r="K684" s="13" t="str">
        <f aca="false">IF(ISNUMBER(B684),YEAR(B684),"")</f>
        <v/>
      </c>
      <c r="L684" s="13" t="str">
        <f aca="false">IF(ISNUMBER(B684),MONTH(B684),"")</f>
        <v/>
      </c>
      <c r="M684" s="13" t="str">
        <f aca="false">IF(AND(ISNUMBER(B684),ISNUMBER(I684)),B684-I684+1,"")</f>
        <v/>
      </c>
      <c r="N684" s="14" t="str">
        <f aca="false">IF(B684="","",IF(M684="","시작일 미입력",IF(M684&lt;1,"시작일 이전(확인)",IF(M684=1,"1일째",IF(M684=2,"2일째",IF(M684=3,"3일째",IF(M684&lt;=7,"일주일 이내",IF(M684&lt;=14,"이주일 이내","15일 이후"))))))))</f>
        <v/>
      </c>
      <c r="O684" s="0" t="str">
        <f aca="false">IF(AND(COUNTA($A684:$J684)&gt;0,OR(클레임조회!$C$4="",AND(ISNUMBER($B684),$B684&gt;=클레임조회!$C$4)),OR(클레임조회!$C$5="",AND(ISNUMBER($B684),$B684&lt;=클레임조회!$C$5)),OR(클레임조회!$C$6="",$C684=클레임조회!$C$6),OR(클레임조회!$C$7="",$D684=클레임조회!$C$7),OR(클레임조회!$C$8="",$E684=클레임조회!$C$8),OR(클레임조회!$C$9="",$F684=클레임조회!$C$9),OR(클레임조회!$C$10="",ISNUMBER(SEARCH(클레임조회!$C$10,$C684&amp;" "&amp;$F684&amp;" "&amp;$G684&amp;" "&amp;$H684)))),COUNT(O$1:O683)+1,"")</f>
        <v/>
      </c>
      <c r="P684" s="0" t="str">
        <f aca="false">IF(AND(TRIM(C684)&lt;&gt;"",COUNTIF(C$2:C684,C684)=1),MAX(P$1:P683)+1,"")</f>
        <v/>
      </c>
      <c r="Q684" s="0" t="str">
        <f aca="false">IF(AND(TRIM(F684)&lt;&gt;"",COUNTIF(F$2:F684,F684)=1),MAX(Q$1:Q683)+1,"")</f>
        <v/>
      </c>
    </row>
    <row r="685" customFormat="false" ht="15" hidden="false" customHeight="false" outlineLevel="0" collapsed="false">
      <c r="A685" s="9"/>
      <c r="B685" s="10"/>
      <c r="C685" s="11"/>
      <c r="D685" s="11"/>
      <c r="E685" s="11"/>
      <c r="F685" s="11"/>
      <c r="G685" s="12"/>
      <c r="H685" s="12"/>
      <c r="I685" s="10"/>
      <c r="J685" s="12"/>
      <c r="K685" s="13" t="str">
        <f aca="false">IF(ISNUMBER(B685),YEAR(B685),"")</f>
        <v/>
      </c>
      <c r="L685" s="13" t="str">
        <f aca="false">IF(ISNUMBER(B685),MONTH(B685),"")</f>
        <v/>
      </c>
      <c r="M685" s="13" t="str">
        <f aca="false">IF(AND(ISNUMBER(B685),ISNUMBER(I685)),B685-I685+1,"")</f>
        <v/>
      </c>
      <c r="N685" s="14" t="str">
        <f aca="false">IF(B685="","",IF(M685="","시작일 미입력",IF(M685&lt;1,"시작일 이전(확인)",IF(M685=1,"1일째",IF(M685=2,"2일째",IF(M685=3,"3일째",IF(M685&lt;=7,"일주일 이내",IF(M685&lt;=14,"이주일 이내","15일 이후"))))))))</f>
        <v/>
      </c>
      <c r="O685" s="0" t="str">
        <f aca="false">IF(AND(COUNTA($A685:$J685)&gt;0,OR(클레임조회!$C$4="",AND(ISNUMBER($B685),$B685&gt;=클레임조회!$C$4)),OR(클레임조회!$C$5="",AND(ISNUMBER($B685),$B685&lt;=클레임조회!$C$5)),OR(클레임조회!$C$6="",$C685=클레임조회!$C$6),OR(클레임조회!$C$7="",$D685=클레임조회!$C$7),OR(클레임조회!$C$8="",$E685=클레임조회!$C$8),OR(클레임조회!$C$9="",$F685=클레임조회!$C$9),OR(클레임조회!$C$10="",ISNUMBER(SEARCH(클레임조회!$C$10,$C685&amp;" "&amp;$F685&amp;" "&amp;$G685&amp;" "&amp;$H685)))),COUNT(O$1:O684)+1,"")</f>
        <v/>
      </c>
      <c r="P685" s="0" t="str">
        <f aca="false">IF(AND(TRIM(C685)&lt;&gt;"",COUNTIF(C$2:C685,C685)=1),MAX(P$1:P684)+1,"")</f>
        <v/>
      </c>
      <c r="Q685" s="0" t="str">
        <f aca="false">IF(AND(TRIM(F685)&lt;&gt;"",COUNTIF(F$2:F685,F685)=1),MAX(Q$1:Q684)+1,"")</f>
        <v/>
      </c>
    </row>
    <row r="686" customFormat="false" ht="15" hidden="false" customHeight="false" outlineLevel="0" collapsed="false">
      <c r="A686" s="9"/>
      <c r="B686" s="10"/>
      <c r="C686" s="11"/>
      <c r="D686" s="11"/>
      <c r="E686" s="11"/>
      <c r="F686" s="11"/>
      <c r="G686" s="12"/>
      <c r="H686" s="12"/>
      <c r="I686" s="10"/>
      <c r="J686" s="12"/>
      <c r="K686" s="13" t="str">
        <f aca="false">IF(ISNUMBER(B686),YEAR(B686),"")</f>
        <v/>
      </c>
      <c r="L686" s="13" t="str">
        <f aca="false">IF(ISNUMBER(B686),MONTH(B686),"")</f>
        <v/>
      </c>
      <c r="M686" s="13" t="str">
        <f aca="false">IF(AND(ISNUMBER(B686),ISNUMBER(I686)),B686-I686+1,"")</f>
        <v/>
      </c>
      <c r="N686" s="14" t="str">
        <f aca="false">IF(B686="","",IF(M686="","시작일 미입력",IF(M686&lt;1,"시작일 이전(확인)",IF(M686=1,"1일째",IF(M686=2,"2일째",IF(M686=3,"3일째",IF(M686&lt;=7,"일주일 이내",IF(M686&lt;=14,"이주일 이내","15일 이후"))))))))</f>
        <v/>
      </c>
      <c r="O686" s="0" t="str">
        <f aca="false">IF(AND(COUNTA($A686:$J686)&gt;0,OR(클레임조회!$C$4="",AND(ISNUMBER($B686),$B686&gt;=클레임조회!$C$4)),OR(클레임조회!$C$5="",AND(ISNUMBER($B686),$B686&lt;=클레임조회!$C$5)),OR(클레임조회!$C$6="",$C686=클레임조회!$C$6),OR(클레임조회!$C$7="",$D686=클레임조회!$C$7),OR(클레임조회!$C$8="",$E686=클레임조회!$C$8),OR(클레임조회!$C$9="",$F686=클레임조회!$C$9),OR(클레임조회!$C$10="",ISNUMBER(SEARCH(클레임조회!$C$10,$C686&amp;" "&amp;$F686&amp;" "&amp;$G686&amp;" "&amp;$H686)))),COUNT(O$1:O685)+1,"")</f>
        <v/>
      </c>
      <c r="P686" s="0" t="str">
        <f aca="false">IF(AND(TRIM(C686)&lt;&gt;"",COUNTIF(C$2:C686,C686)=1),MAX(P$1:P685)+1,"")</f>
        <v/>
      </c>
      <c r="Q686" s="0" t="str">
        <f aca="false">IF(AND(TRIM(F686)&lt;&gt;"",COUNTIF(F$2:F686,F686)=1),MAX(Q$1:Q685)+1,"")</f>
        <v/>
      </c>
    </row>
    <row r="687" customFormat="false" ht="15" hidden="false" customHeight="false" outlineLevel="0" collapsed="false">
      <c r="A687" s="9"/>
      <c r="B687" s="10"/>
      <c r="C687" s="11"/>
      <c r="D687" s="11"/>
      <c r="E687" s="11"/>
      <c r="F687" s="11"/>
      <c r="G687" s="12"/>
      <c r="H687" s="12"/>
      <c r="I687" s="10"/>
      <c r="J687" s="12"/>
      <c r="K687" s="13" t="str">
        <f aca="false">IF(ISNUMBER(B687),YEAR(B687),"")</f>
        <v/>
      </c>
      <c r="L687" s="13" t="str">
        <f aca="false">IF(ISNUMBER(B687),MONTH(B687),"")</f>
        <v/>
      </c>
      <c r="M687" s="13" t="str">
        <f aca="false">IF(AND(ISNUMBER(B687),ISNUMBER(I687)),B687-I687+1,"")</f>
        <v/>
      </c>
      <c r="N687" s="14" t="str">
        <f aca="false">IF(B687="","",IF(M687="","시작일 미입력",IF(M687&lt;1,"시작일 이전(확인)",IF(M687=1,"1일째",IF(M687=2,"2일째",IF(M687=3,"3일째",IF(M687&lt;=7,"일주일 이내",IF(M687&lt;=14,"이주일 이내","15일 이후"))))))))</f>
        <v/>
      </c>
      <c r="O687" s="0" t="str">
        <f aca="false">IF(AND(COUNTA($A687:$J687)&gt;0,OR(클레임조회!$C$4="",AND(ISNUMBER($B687),$B687&gt;=클레임조회!$C$4)),OR(클레임조회!$C$5="",AND(ISNUMBER($B687),$B687&lt;=클레임조회!$C$5)),OR(클레임조회!$C$6="",$C687=클레임조회!$C$6),OR(클레임조회!$C$7="",$D687=클레임조회!$C$7),OR(클레임조회!$C$8="",$E687=클레임조회!$C$8),OR(클레임조회!$C$9="",$F687=클레임조회!$C$9),OR(클레임조회!$C$10="",ISNUMBER(SEARCH(클레임조회!$C$10,$C687&amp;" "&amp;$F687&amp;" "&amp;$G687&amp;" "&amp;$H687)))),COUNT(O$1:O686)+1,"")</f>
        <v/>
      </c>
      <c r="P687" s="0" t="str">
        <f aca="false">IF(AND(TRIM(C687)&lt;&gt;"",COUNTIF(C$2:C687,C687)=1),MAX(P$1:P686)+1,"")</f>
        <v/>
      </c>
      <c r="Q687" s="0" t="str">
        <f aca="false">IF(AND(TRIM(F687)&lt;&gt;"",COUNTIF(F$2:F687,F687)=1),MAX(Q$1:Q686)+1,"")</f>
        <v/>
      </c>
    </row>
    <row r="688" customFormat="false" ht="15" hidden="false" customHeight="false" outlineLevel="0" collapsed="false">
      <c r="A688" s="9"/>
      <c r="B688" s="10"/>
      <c r="C688" s="11"/>
      <c r="D688" s="11"/>
      <c r="E688" s="11"/>
      <c r="F688" s="11"/>
      <c r="G688" s="12"/>
      <c r="H688" s="12"/>
      <c r="I688" s="10"/>
      <c r="J688" s="12"/>
      <c r="K688" s="13" t="str">
        <f aca="false">IF(ISNUMBER(B688),YEAR(B688),"")</f>
        <v/>
      </c>
      <c r="L688" s="13" t="str">
        <f aca="false">IF(ISNUMBER(B688),MONTH(B688),"")</f>
        <v/>
      </c>
      <c r="M688" s="13" t="str">
        <f aca="false">IF(AND(ISNUMBER(B688),ISNUMBER(I688)),B688-I688+1,"")</f>
        <v/>
      </c>
      <c r="N688" s="14" t="str">
        <f aca="false">IF(B688="","",IF(M688="","시작일 미입력",IF(M688&lt;1,"시작일 이전(확인)",IF(M688=1,"1일째",IF(M688=2,"2일째",IF(M688=3,"3일째",IF(M688&lt;=7,"일주일 이내",IF(M688&lt;=14,"이주일 이내","15일 이후"))))))))</f>
        <v/>
      </c>
      <c r="O688" s="0" t="str">
        <f aca="false">IF(AND(COUNTA($A688:$J688)&gt;0,OR(클레임조회!$C$4="",AND(ISNUMBER($B688),$B688&gt;=클레임조회!$C$4)),OR(클레임조회!$C$5="",AND(ISNUMBER($B688),$B688&lt;=클레임조회!$C$5)),OR(클레임조회!$C$6="",$C688=클레임조회!$C$6),OR(클레임조회!$C$7="",$D688=클레임조회!$C$7),OR(클레임조회!$C$8="",$E688=클레임조회!$C$8),OR(클레임조회!$C$9="",$F688=클레임조회!$C$9),OR(클레임조회!$C$10="",ISNUMBER(SEARCH(클레임조회!$C$10,$C688&amp;" "&amp;$F688&amp;" "&amp;$G688&amp;" "&amp;$H688)))),COUNT(O$1:O687)+1,"")</f>
        <v/>
      </c>
      <c r="P688" s="0" t="str">
        <f aca="false">IF(AND(TRIM(C688)&lt;&gt;"",COUNTIF(C$2:C688,C688)=1),MAX(P$1:P687)+1,"")</f>
        <v/>
      </c>
      <c r="Q688" s="0" t="str">
        <f aca="false">IF(AND(TRIM(F688)&lt;&gt;"",COUNTIF(F$2:F688,F688)=1),MAX(Q$1:Q687)+1,"")</f>
        <v/>
      </c>
    </row>
    <row r="689" customFormat="false" ht="15" hidden="false" customHeight="false" outlineLevel="0" collapsed="false">
      <c r="A689" s="9"/>
      <c r="B689" s="10"/>
      <c r="C689" s="11"/>
      <c r="D689" s="11"/>
      <c r="E689" s="11"/>
      <c r="F689" s="11"/>
      <c r="G689" s="12"/>
      <c r="H689" s="12"/>
      <c r="I689" s="10"/>
      <c r="J689" s="12"/>
      <c r="K689" s="13" t="str">
        <f aca="false">IF(ISNUMBER(B689),YEAR(B689),"")</f>
        <v/>
      </c>
      <c r="L689" s="13" t="str">
        <f aca="false">IF(ISNUMBER(B689),MONTH(B689),"")</f>
        <v/>
      </c>
      <c r="M689" s="13" t="str">
        <f aca="false">IF(AND(ISNUMBER(B689),ISNUMBER(I689)),B689-I689+1,"")</f>
        <v/>
      </c>
      <c r="N689" s="14" t="str">
        <f aca="false">IF(B689="","",IF(M689="","시작일 미입력",IF(M689&lt;1,"시작일 이전(확인)",IF(M689=1,"1일째",IF(M689=2,"2일째",IF(M689=3,"3일째",IF(M689&lt;=7,"일주일 이내",IF(M689&lt;=14,"이주일 이내","15일 이후"))))))))</f>
        <v/>
      </c>
      <c r="O689" s="0" t="str">
        <f aca="false">IF(AND(COUNTA($A689:$J689)&gt;0,OR(클레임조회!$C$4="",AND(ISNUMBER($B689),$B689&gt;=클레임조회!$C$4)),OR(클레임조회!$C$5="",AND(ISNUMBER($B689),$B689&lt;=클레임조회!$C$5)),OR(클레임조회!$C$6="",$C689=클레임조회!$C$6),OR(클레임조회!$C$7="",$D689=클레임조회!$C$7),OR(클레임조회!$C$8="",$E689=클레임조회!$C$8),OR(클레임조회!$C$9="",$F689=클레임조회!$C$9),OR(클레임조회!$C$10="",ISNUMBER(SEARCH(클레임조회!$C$10,$C689&amp;" "&amp;$F689&amp;" "&amp;$G689&amp;" "&amp;$H689)))),COUNT(O$1:O688)+1,"")</f>
        <v/>
      </c>
      <c r="P689" s="0" t="str">
        <f aca="false">IF(AND(TRIM(C689)&lt;&gt;"",COUNTIF(C$2:C689,C689)=1),MAX(P$1:P688)+1,"")</f>
        <v/>
      </c>
      <c r="Q689" s="0" t="str">
        <f aca="false">IF(AND(TRIM(F689)&lt;&gt;"",COUNTIF(F$2:F689,F689)=1),MAX(Q$1:Q688)+1,"")</f>
        <v/>
      </c>
    </row>
    <row r="690" customFormat="false" ht="15" hidden="false" customHeight="false" outlineLevel="0" collapsed="false">
      <c r="A690" s="9"/>
      <c r="B690" s="10"/>
      <c r="C690" s="11"/>
      <c r="D690" s="11"/>
      <c r="E690" s="11"/>
      <c r="F690" s="11"/>
      <c r="G690" s="12"/>
      <c r="H690" s="12"/>
      <c r="I690" s="10"/>
      <c r="J690" s="12"/>
      <c r="K690" s="13" t="str">
        <f aca="false">IF(ISNUMBER(B690),YEAR(B690),"")</f>
        <v/>
      </c>
      <c r="L690" s="13" t="str">
        <f aca="false">IF(ISNUMBER(B690),MONTH(B690),"")</f>
        <v/>
      </c>
      <c r="M690" s="13" t="str">
        <f aca="false">IF(AND(ISNUMBER(B690),ISNUMBER(I690)),B690-I690+1,"")</f>
        <v/>
      </c>
      <c r="N690" s="14" t="str">
        <f aca="false">IF(B690="","",IF(M690="","시작일 미입력",IF(M690&lt;1,"시작일 이전(확인)",IF(M690=1,"1일째",IF(M690=2,"2일째",IF(M690=3,"3일째",IF(M690&lt;=7,"일주일 이내",IF(M690&lt;=14,"이주일 이내","15일 이후"))))))))</f>
        <v/>
      </c>
      <c r="O690" s="0" t="str">
        <f aca="false">IF(AND(COUNTA($A690:$J690)&gt;0,OR(클레임조회!$C$4="",AND(ISNUMBER($B690),$B690&gt;=클레임조회!$C$4)),OR(클레임조회!$C$5="",AND(ISNUMBER($B690),$B690&lt;=클레임조회!$C$5)),OR(클레임조회!$C$6="",$C690=클레임조회!$C$6),OR(클레임조회!$C$7="",$D690=클레임조회!$C$7),OR(클레임조회!$C$8="",$E690=클레임조회!$C$8),OR(클레임조회!$C$9="",$F690=클레임조회!$C$9),OR(클레임조회!$C$10="",ISNUMBER(SEARCH(클레임조회!$C$10,$C690&amp;" "&amp;$F690&amp;" "&amp;$G690&amp;" "&amp;$H690)))),COUNT(O$1:O689)+1,"")</f>
        <v/>
      </c>
      <c r="P690" s="0" t="str">
        <f aca="false">IF(AND(TRIM(C690)&lt;&gt;"",COUNTIF(C$2:C690,C690)=1),MAX(P$1:P689)+1,"")</f>
        <v/>
      </c>
      <c r="Q690" s="0" t="str">
        <f aca="false">IF(AND(TRIM(F690)&lt;&gt;"",COUNTIF(F$2:F690,F690)=1),MAX(Q$1:Q689)+1,"")</f>
        <v/>
      </c>
    </row>
    <row r="691" customFormat="false" ht="15" hidden="false" customHeight="false" outlineLevel="0" collapsed="false">
      <c r="A691" s="9"/>
      <c r="B691" s="10"/>
      <c r="C691" s="11"/>
      <c r="D691" s="11"/>
      <c r="E691" s="11"/>
      <c r="F691" s="11"/>
      <c r="G691" s="12"/>
      <c r="H691" s="12"/>
      <c r="I691" s="10"/>
      <c r="J691" s="12"/>
      <c r="K691" s="13" t="str">
        <f aca="false">IF(ISNUMBER(B691),YEAR(B691),"")</f>
        <v/>
      </c>
      <c r="L691" s="13" t="str">
        <f aca="false">IF(ISNUMBER(B691),MONTH(B691),"")</f>
        <v/>
      </c>
      <c r="M691" s="13" t="str">
        <f aca="false">IF(AND(ISNUMBER(B691),ISNUMBER(I691)),B691-I691+1,"")</f>
        <v/>
      </c>
      <c r="N691" s="14" t="str">
        <f aca="false">IF(B691="","",IF(M691="","시작일 미입력",IF(M691&lt;1,"시작일 이전(확인)",IF(M691=1,"1일째",IF(M691=2,"2일째",IF(M691=3,"3일째",IF(M691&lt;=7,"일주일 이내",IF(M691&lt;=14,"이주일 이내","15일 이후"))))))))</f>
        <v/>
      </c>
      <c r="O691" s="0" t="str">
        <f aca="false">IF(AND(COUNTA($A691:$J691)&gt;0,OR(클레임조회!$C$4="",AND(ISNUMBER($B691),$B691&gt;=클레임조회!$C$4)),OR(클레임조회!$C$5="",AND(ISNUMBER($B691),$B691&lt;=클레임조회!$C$5)),OR(클레임조회!$C$6="",$C691=클레임조회!$C$6),OR(클레임조회!$C$7="",$D691=클레임조회!$C$7),OR(클레임조회!$C$8="",$E691=클레임조회!$C$8),OR(클레임조회!$C$9="",$F691=클레임조회!$C$9),OR(클레임조회!$C$10="",ISNUMBER(SEARCH(클레임조회!$C$10,$C691&amp;" "&amp;$F691&amp;" "&amp;$G691&amp;" "&amp;$H691)))),COUNT(O$1:O690)+1,"")</f>
        <v/>
      </c>
      <c r="P691" s="0" t="str">
        <f aca="false">IF(AND(TRIM(C691)&lt;&gt;"",COUNTIF(C$2:C691,C691)=1),MAX(P$1:P690)+1,"")</f>
        <v/>
      </c>
      <c r="Q691" s="0" t="str">
        <f aca="false">IF(AND(TRIM(F691)&lt;&gt;"",COUNTIF(F$2:F691,F691)=1),MAX(Q$1:Q690)+1,"")</f>
        <v/>
      </c>
    </row>
    <row r="692" customFormat="false" ht="15" hidden="false" customHeight="false" outlineLevel="0" collapsed="false">
      <c r="A692" s="9"/>
      <c r="B692" s="10"/>
      <c r="C692" s="11"/>
      <c r="D692" s="11"/>
      <c r="E692" s="11"/>
      <c r="F692" s="11"/>
      <c r="G692" s="12"/>
      <c r="H692" s="12"/>
      <c r="I692" s="10"/>
      <c r="J692" s="12"/>
      <c r="K692" s="13" t="str">
        <f aca="false">IF(ISNUMBER(B692),YEAR(B692),"")</f>
        <v/>
      </c>
      <c r="L692" s="13" t="str">
        <f aca="false">IF(ISNUMBER(B692),MONTH(B692),"")</f>
        <v/>
      </c>
      <c r="M692" s="13" t="str">
        <f aca="false">IF(AND(ISNUMBER(B692),ISNUMBER(I692)),B692-I692+1,"")</f>
        <v/>
      </c>
      <c r="N692" s="14" t="str">
        <f aca="false">IF(B692="","",IF(M692="","시작일 미입력",IF(M692&lt;1,"시작일 이전(확인)",IF(M692=1,"1일째",IF(M692=2,"2일째",IF(M692=3,"3일째",IF(M692&lt;=7,"일주일 이내",IF(M692&lt;=14,"이주일 이내","15일 이후"))))))))</f>
        <v/>
      </c>
      <c r="O692" s="0" t="str">
        <f aca="false">IF(AND(COUNTA($A692:$J692)&gt;0,OR(클레임조회!$C$4="",AND(ISNUMBER($B692),$B692&gt;=클레임조회!$C$4)),OR(클레임조회!$C$5="",AND(ISNUMBER($B692),$B692&lt;=클레임조회!$C$5)),OR(클레임조회!$C$6="",$C692=클레임조회!$C$6),OR(클레임조회!$C$7="",$D692=클레임조회!$C$7),OR(클레임조회!$C$8="",$E692=클레임조회!$C$8),OR(클레임조회!$C$9="",$F692=클레임조회!$C$9),OR(클레임조회!$C$10="",ISNUMBER(SEARCH(클레임조회!$C$10,$C692&amp;" "&amp;$F692&amp;" "&amp;$G692&amp;" "&amp;$H692)))),COUNT(O$1:O691)+1,"")</f>
        <v/>
      </c>
      <c r="P692" s="0" t="str">
        <f aca="false">IF(AND(TRIM(C692)&lt;&gt;"",COUNTIF(C$2:C692,C692)=1),MAX(P$1:P691)+1,"")</f>
        <v/>
      </c>
      <c r="Q692" s="0" t="str">
        <f aca="false">IF(AND(TRIM(F692)&lt;&gt;"",COUNTIF(F$2:F692,F692)=1),MAX(Q$1:Q691)+1,"")</f>
        <v/>
      </c>
    </row>
    <row r="693" customFormat="false" ht="15" hidden="false" customHeight="false" outlineLevel="0" collapsed="false">
      <c r="A693" s="9"/>
      <c r="B693" s="10"/>
      <c r="C693" s="11"/>
      <c r="D693" s="11"/>
      <c r="E693" s="11"/>
      <c r="F693" s="11"/>
      <c r="G693" s="12"/>
      <c r="H693" s="12"/>
      <c r="I693" s="10"/>
      <c r="J693" s="12"/>
      <c r="K693" s="13" t="str">
        <f aca="false">IF(ISNUMBER(B693),YEAR(B693),"")</f>
        <v/>
      </c>
      <c r="L693" s="13" t="str">
        <f aca="false">IF(ISNUMBER(B693),MONTH(B693),"")</f>
        <v/>
      </c>
      <c r="M693" s="13" t="str">
        <f aca="false">IF(AND(ISNUMBER(B693),ISNUMBER(I693)),B693-I693+1,"")</f>
        <v/>
      </c>
      <c r="N693" s="14" t="str">
        <f aca="false">IF(B693="","",IF(M693="","시작일 미입력",IF(M693&lt;1,"시작일 이전(확인)",IF(M693=1,"1일째",IF(M693=2,"2일째",IF(M693=3,"3일째",IF(M693&lt;=7,"일주일 이내",IF(M693&lt;=14,"이주일 이내","15일 이후"))))))))</f>
        <v/>
      </c>
      <c r="O693" s="0" t="str">
        <f aca="false">IF(AND(COUNTA($A693:$J693)&gt;0,OR(클레임조회!$C$4="",AND(ISNUMBER($B693),$B693&gt;=클레임조회!$C$4)),OR(클레임조회!$C$5="",AND(ISNUMBER($B693),$B693&lt;=클레임조회!$C$5)),OR(클레임조회!$C$6="",$C693=클레임조회!$C$6),OR(클레임조회!$C$7="",$D693=클레임조회!$C$7),OR(클레임조회!$C$8="",$E693=클레임조회!$C$8),OR(클레임조회!$C$9="",$F693=클레임조회!$C$9),OR(클레임조회!$C$10="",ISNUMBER(SEARCH(클레임조회!$C$10,$C693&amp;" "&amp;$F693&amp;" "&amp;$G693&amp;" "&amp;$H693)))),COUNT(O$1:O692)+1,"")</f>
        <v/>
      </c>
      <c r="P693" s="0" t="str">
        <f aca="false">IF(AND(TRIM(C693)&lt;&gt;"",COUNTIF(C$2:C693,C693)=1),MAX(P$1:P692)+1,"")</f>
        <v/>
      </c>
      <c r="Q693" s="0" t="str">
        <f aca="false">IF(AND(TRIM(F693)&lt;&gt;"",COUNTIF(F$2:F693,F693)=1),MAX(Q$1:Q692)+1,"")</f>
        <v/>
      </c>
    </row>
    <row r="694" customFormat="false" ht="15" hidden="false" customHeight="false" outlineLevel="0" collapsed="false">
      <c r="A694" s="9"/>
      <c r="B694" s="10"/>
      <c r="C694" s="11"/>
      <c r="D694" s="11"/>
      <c r="E694" s="11"/>
      <c r="F694" s="11"/>
      <c r="G694" s="12"/>
      <c r="H694" s="12"/>
      <c r="I694" s="10"/>
      <c r="J694" s="12"/>
      <c r="K694" s="13" t="str">
        <f aca="false">IF(ISNUMBER(B694),YEAR(B694),"")</f>
        <v/>
      </c>
      <c r="L694" s="13" t="str">
        <f aca="false">IF(ISNUMBER(B694),MONTH(B694),"")</f>
        <v/>
      </c>
      <c r="M694" s="13" t="str">
        <f aca="false">IF(AND(ISNUMBER(B694),ISNUMBER(I694)),B694-I694+1,"")</f>
        <v/>
      </c>
      <c r="N694" s="14" t="str">
        <f aca="false">IF(B694="","",IF(M694="","시작일 미입력",IF(M694&lt;1,"시작일 이전(확인)",IF(M694=1,"1일째",IF(M694=2,"2일째",IF(M694=3,"3일째",IF(M694&lt;=7,"일주일 이내",IF(M694&lt;=14,"이주일 이내","15일 이후"))))))))</f>
        <v/>
      </c>
      <c r="O694" s="0" t="str">
        <f aca="false">IF(AND(COUNTA($A694:$J694)&gt;0,OR(클레임조회!$C$4="",AND(ISNUMBER($B694),$B694&gt;=클레임조회!$C$4)),OR(클레임조회!$C$5="",AND(ISNUMBER($B694),$B694&lt;=클레임조회!$C$5)),OR(클레임조회!$C$6="",$C694=클레임조회!$C$6),OR(클레임조회!$C$7="",$D694=클레임조회!$C$7),OR(클레임조회!$C$8="",$E694=클레임조회!$C$8),OR(클레임조회!$C$9="",$F694=클레임조회!$C$9),OR(클레임조회!$C$10="",ISNUMBER(SEARCH(클레임조회!$C$10,$C694&amp;" "&amp;$F694&amp;" "&amp;$G694&amp;" "&amp;$H694)))),COUNT(O$1:O693)+1,"")</f>
        <v/>
      </c>
      <c r="P694" s="0" t="str">
        <f aca="false">IF(AND(TRIM(C694)&lt;&gt;"",COUNTIF(C$2:C694,C694)=1),MAX(P$1:P693)+1,"")</f>
        <v/>
      </c>
      <c r="Q694" s="0" t="str">
        <f aca="false">IF(AND(TRIM(F694)&lt;&gt;"",COUNTIF(F$2:F694,F694)=1),MAX(Q$1:Q693)+1,"")</f>
        <v/>
      </c>
    </row>
    <row r="695" customFormat="false" ht="15" hidden="false" customHeight="false" outlineLevel="0" collapsed="false">
      <c r="A695" s="9"/>
      <c r="B695" s="10"/>
      <c r="C695" s="11"/>
      <c r="D695" s="11"/>
      <c r="E695" s="11"/>
      <c r="F695" s="11"/>
      <c r="G695" s="12"/>
      <c r="H695" s="12"/>
      <c r="I695" s="10"/>
      <c r="J695" s="12"/>
      <c r="K695" s="13" t="str">
        <f aca="false">IF(ISNUMBER(B695),YEAR(B695),"")</f>
        <v/>
      </c>
      <c r="L695" s="13" t="str">
        <f aca="false">IF(ISNUMBER(B695),MONTH(B695),"")</f>
        <v/>
      </c>
      <c r="M695" s="13" t="str">
        <f aca="false">IF(AND(ISNUMBER(B695),ISNUMBER(I695)),B695-I695+1,"")</f>
        <v/>
      </c>
      <c r="N695" s="14" t="str">
        <f aca="false">IF(B695="","",IF(M695="","시작일 미입력",IF(M695&lt;1,"시작일 이전(확인)",IF(M695=1,"1일째",IF(M695=2,"2일째",IF(M695=3,"3일째",IF(M695&lt;=7,"일주일 이내",IF(M695&lt;=14,"이주일 이내","15일 이후"))))))))</f>
        <v/>
      </c>
      <c r="O695" s="0" t="str">
        <f aca="false">IF(AND(COUNTA($A695:$J695)&gt;0,OR(클레임조회!$C$4="",AND(ISNUMBER($B695),$B695&gt;=클레임조회!$C$4)),OR(클레임조회!$C$5="",AND(ISNUMBER($B695),$B695&lt;=클레임조회!$C$5)),OR(클레임조회!$C$6="",$C695=클레임조회!$C$6),OR(클레임조회!$C$7="",$D695=클레임조회!$C$7),OR(클레임조회!$C$8="",$E695=클레임조회!$C$8),OR(클레임조회!$C$9="",$F695=클레임조회!$C$9),OR(클레임조회!$C$10="",ISNUMBER(SEARCH(클레임조회!$C$10,$C695&amp;" "&amp;$F695&amp;" "&amp;$G695&amp;" "&amp;$H695)))),COUNT(O$1:O694)+1,"")</f>
        <v/>
      </c>
      <c r="P695" s="0" t="str">
        <f aca="false">IF(AND(TRIM(C695)&lt;&gt;"",COUNTIF(C$2:C695,C695)=1),MAX(P$1:P694)+1,"")</f>
        <v/>
      </c>
      <c r="Q695" s="0" t="str">
        <f aca="false">IF(AND(TRIM(F695)&lt;&gt;"",COUNTIF(F$2:F695,F695)=1),MAX(Q$1:Q694)+1,"")</f>
        <v/>
      </c>
    </row>
    <row r="696" customFormat="false" ht="15" hidden="false" customHeight="false" outlineLevel="0" collapsed="false">
      <c r="A696" s="9"/>
      <c r="B696" s="10"/>
      <c r="C696" s="11"/>
      <c r="D696" s="11"/>
      <c r="E696" s="11"/>
      <c r="F696" s="11"/>
      <c r="G696" s="12"/>
      <c r="H696" s="12"/>
      <c r="I696" s="10"/>
      <c r="J696" s="12"/>
      <c r="K696" s="13" t="str">
        <f aca="false">IF(ISNUMBER(B696),YEAR(B696),"")</f>
        <v/>
      </c>
      <c r="L696" s="13" t="str">
        <f aca="false">IF(ISNUMBER(B696),MONTH(B696),"")</f>
        <v/>
      </c>
      <c r="M696" s="13" t="str">
        <f aca="false">IF(AND(ISNUMBER(B696),ISNUMBER(I696)),B696-I696+1,"")</f>
        <v/>
      </c>
      <c r="N696" s="14" t="str">
        <f aca="false">IF(B696="","",IF(M696="","시작일 미입력",IF(M696&lt;1,"시작일 이전(확인)",IF(M696=1,"1일째",IF(M696=2,"2일째",IF(M696=3,"3일째",IF(M696&lt;=7,"일주일 이내",IF(M696&lt;=14,"이주일 이내","15일 이후"))))))))</f>
        <v/>
      </c>
      <c r="O696" s="0" t="str">
        <f aca="false">IF(AND(COUNTA($A696:$J696)&gt;0,OR(클레임조회!$C$4="",AND(ISNUMBER($B696),$B696&gt;=클레임조회!$C$4)),OR(클레임조회!$C$5="",AND(ISNUMBER($B696),$B696&lt;=클레임조회!$C$5)),OR(클레임조회!$C$6="",$C696=클레임조회!$C$6),OR(클레임조회!$C$7="",$D696=클레임조회!$C$7),OR(클레임조회!$C$8="",$E696=클레임조회!$C$8),OR(클레임조회!$C$9="",$F696=클레임조회!$C$9),OR(클레임조회!$C$10="",ISNUMBER(SEARCH(클레임조회!$C$10,$C696&amp;" "&amp;$F696&amp;" "&amp;$G696&amp;" "&amp;$H696)))),COUNT(O$1:O695)+1,"")</f>
        <v/>
      </c>
      <c r="P696" s="0" t="str">
        <f aca="false">IF(AND(TRIM(C696)&lt;&gt;"",COUNTIF(C$2:C696,C696)=1),MAX(P$1:P695)+1,"")</f>
        <v/>
      </c>
      <c r="Q696" s="0" t="str">
        <f aca="false">IF(AND(TRIM(F696)&lt;&gt;"",COUNTIF(F$2:F696,F696)=1),MAX(Q$1:Q695)+1,"")</f>
        <v/>
      </c>
    </row>
    <row r="697" customFormat="false" ht="15" hidden="false" customHeight="false" outlineLevel="0" collapsed="false">
      <c r="A697" s="9"/>
      <c r="B697" s="10"/>
      <c r="C697" s="11"/>
      <c r="D697" s="11"/>
      <c r="E697" s="11"/>
      <c r="F697" s="11"/>
      <c r="G697" s="12"/>
      <c r="H697" s="12"/>
      <c r="I697" s="10"/>
      <c r="J697" s="12"/>
      <c r="K697" s="13" t="str">
        <f aca="false">IF(ISNUMBER(B697),YEAR(B697),"")</f>
        <v/>
      </c>
      <c r="L697" s="13" t="str">
        <f aca="false">IF(ISNUMBER(B697),MONTH(B697),"")</f>
        <v/>
      </c>
      <c r="M697" s="13" t="str">
        <f aca="false">IF(AND(ISNUMBER(B697),ISNUMBER(I697)),B697-I697+1,"")</f>
        <v/>
      </c>
      <c r="N697" s="14" t="str">
        <f aca="false">IF(B697="","",IF(M697="","시작일 미입력",IF(M697&lt;1,"시작일 이전(확인)",IF(M697=1,"1일째",IF(M697=2,"2일째",IF(M697=3,"3일째",IF(M697&lt;=7,"일주일 이내",IF(M697&lt;=14,"이주일 이내","15일 이후"))))))))</f>
        <v/>
      </c>
      <c r="O697" s="0" t="str">
        <f aca="false">IF(AND(COUNTA($A697:$J697)&gt;0,OR(클레임조회!$C$4="",AND(ISNUMBER($B697),$B697&gt;=클레임조회!$C$4)),OR(클레임조회!$C$5="",AND(ISNUMBER($B697),$B697&lt;=클레임조회!$C$5)),OR(클레임조회!$C$6="",$C697=클레임조회!$C$6),OR(클레임조회!$C$7="",$D697=클레임조회!$C$7),OR(클레임조회!$C$8="",$E697=클레임조회!$C$8),OR(클레임조회!$C$9="",$F697=클레임조회!$C$9),OR(클레임조회!$C$10="",ISNUMBER(SEARCH(클레임조회!$C$10,$C697&amp;" "&amp;$F697&amp;" "&amp;$G697&amp;" "&amp;$H697)))),COUNT(O$1:O696)+1,"")</f>
        <v/>
      </c>
      <c r="P697" s="0" t="str">
        <f aca="false">IF(AND(TRIM(C697)&lt;&gt;"",COUNTIF(C$2:C697,C697)=1),MAX(P$1:P696)+1,"")</f>
        <v/>
      </c>
      <c r="Q697" s="0" t="str">
        <f aca="false">IF(AND(TRIM(F697)&lt;&gt;"",COUNTIF(F$2:F697,F697)=1),MAX(Q$1:Q696)+1,"")</f>
        <v/>
      </c>
    </row>
    <row r="698" customFormat="false" ht="15" hidden="false" customHeight="false" outlineLevel="0" collapsed="false">
      <c r="A698" s="9"/>
      <c r="B698" s="10"/>
      <c r="C698" s="11"/>
      <c r="D698" s="11"/>
      <c r="E698" s="11"/>
      <c r="F698" s="11"/>
      <c r="G698" s="12"/>
      <c r="H698" s="12"/>
      <c r="I698" s="10"/>
      <c r="J698" s="12"/>
      <c r="K698" s="13" t="str">
        <f aca="false">IF(ISNUMBER(B698),YEAR(B698),"")</f>
        <v/>
      </c>
      <c r="L698" s="13" t="str">
        <f aca="false">IF(ISNUMBER(B698),MONTH(B698),"")</f>
        <v/>
      </c>
      <c r="M698" s="13" t="str">
        <f aca="false">IF(AND(ISNUMBER(B698),ISNUMBER(I698)),B698-I698+1,"")</f>
        <v/>
      </c>
      <c r="N698" s="14" t="str">
        <f aca="false">IF(B698="","",IF(M698="","시작일 미입력",IF(M698&lt;1,"시작일 이전(확인)",IF(M698=1,"1일째",IF(M698=2,"2일째",IF(M698=3,"3일째",IF(M698&lt;=7,"일주일 이내",IF(M698&lt;=14,"이주일 이내","15일 이후"))))))))</f>
        <v/>
      </c>
      <c r="O698" s="0" t="str">
        <f aca="false">IF(AND(COUNTA($A698:$J698)&gt;0,OR(클레임조회!$C$4="",AND(ISNUMBER($B698),$B698&gt;=클레임조회!$C$4)),OR(클레임조회!$C$5="",AND(ISNUMBER($B698),$B698&lt;=클레임조회!$C$5)),OR(클레임조회!$C$6="",$C698=클레임조회!$C$6),OR(클레임조회!$C$7="",$D698=클레임조회!$C$7),OR(클레임조회!$C$8="",$E698=클레임조회!$C$8),OR(클레임조회!$C$9="",$F698=클레임조회!$C$9),OR(클레임조회!$C$10="",ISNUMBER(SEARCH(클레임조회!$C$10,$C698&amp;" "&amp;$F698&amp;" "&amp;$G698&amp;" "&amp;$H698)))),COUNT(O$1:O697)+1,"")</f>
        <v/>
      </c>
      <c r="P698" s="0" t="str">
        <f aca="false">IF(AND(TRIM(C698)&lt;&gt;"",COUNTIF(C$2:C698,C698)=1),MAX(P$1:P697)+1,"")</f>
        <v/>
      </c>
      <c r="Q698" s="0" t="str">
        <f aca="false">IF(AND(TRIM(F698)&lt;&gt;"",COUNTIF(F$2:F698,F698)=1),MAX(Q$1:Q697)+1,"")</f>
        <v/>
      </c>
    </row>
    <row r="699" customFormat="false" ht="15" hidden="false" customHeight="false" outlineLevel="0" collapsed="false">
      <c r="A699" s="9"/>
      <c r="B699" s="10"/>
      <c r="C699" s="11"/>
      <c r="D699" s="11"/>
      <c r="E699" s="11"/>
      <c r="F699" s="11"/>
      <c r="G699" s="12"/>
      <c r="H699" s="12"/>
      <c r="I699" s="10"/>
      <c r="J699" s="12"/>
      <c r="K699" s="13" t="str">
        <f aca="false">IF(ISNUMBER(B699),YEAR(B699),"")</f>
        <v/>
      </c>
      <c r="L699" s="13" t="str">
        <f aca="false">IF(ISNUMBER(B699),MONTH(B699),"")</f>
        <v/>
      </c>
      <c r="M699" s="13" t="str">
        <f aca="false">IF(AND(ISNUMBER(B699),ISNUMBER(I699)),B699-I699+1,"")</f>
        <v/>
      </c>
      <c r="N699" s="14" t="str">
        <f aca="false">IF(B699="","",IF(M699="","시작일 미입력",IF(M699&lt;1,"시작일 이전(확인)",IF(M699=1,"1일째",IF(M699=2,"2일째",IF(M699=3,"3일째",IF(M699&lt;=7,"일주일 이내",IF(M699&lt;=14,"이주일 이내","15일 이후"))))))))</f>
        <v/>
      </c>
      <c r="O699" s="0" t="str">
        <f aca="false">IF(AND(COUNTA($A699:$J699)&gt;0,OR(클레임조회!$C$4="",AND(ISNUMBER($B699),$B699&gt;=클레임조회!$C$4)),OR(클레임조회!$C$5="",AND(ISNUMBER($B699),$B699&lt;=클레임조회!$C$5)),OR(클레임조회!$C$6="",$C699=클레임조회!$C$6),OR(클레임조회!$C$7="",$D699=클레임조회!$C$7),OR(클레임조회!$C$8="",$E699=클레임조회!$C$8),OR(클레임조회!$C$9="",$F699=클레임조회!$C$9),OR(클레임조회!$C$10="",ISNUMBER(SEARCH(클레임조회!$C$10,$C699&amp;" "&amp;$F699&amp;" "&amp;$G699&amp;" "&amp;$H699)))),COUNT(O$1:O698)+1,"")</f>
        <v/>
      </c>
      <c r="P699" s="0" t="str">
        <f aca="false">IF(AND(TRIM(C699)&lt;&gt;"",COUNTIF(C$2:C699,C699)=1),MAX(P$1:P698)+1,"")</f>
        <v/>
      </c>
      <c r="Q699" s="0" t="str">
        <f aca="false">IF(AND(TRIM(F699)&lt;&gt;"",COUNTIF(F$2:F699,F699)=1),MAX(Q$1:Q698)+1,"")</f>
        <v/>
      </c>
    </row>
    <row r="700" customFormat="false" ht="15" hidden="false" customHeight="false" outlineLevel="0" collapsed="false">
      <c r="A700" s="9"/>
      <c r="B700" s="10"/>
      <c r="C700" s="11"/>
      <c r="D700" s="11"/>
      <c r="E700" s="11"/>
      <c r="F700" s="11"/>
      <c r="G700" s="12"/>
      <c r="H700" s="12"/>
      <c r="I700" s="10"/>
      <c r="J700" s="12"/>
      <c r="K700" s="13" t="str">
        <f aca="false">IF(ISNUMBER(B700),YEAR(B700),"")</f>
        <v/>
      </c>
      <c r="L700" s="13" t="str">
        <f aca="false">IF(ISNUMBER(B700),MONTH(B700),"")</f>
        <v/>
      </c>
      <c r="M700" s="13" t="str">
        <f aca="false">IF(AND(ISNUMBER(B700),ISNUMBER(I700)),B700-I700+1,"")</f>
        <v/>
      </c>
      <c r="N700" s="14" t="str">
        <f aca="false">IF(B700="","",IF(M700="","시작일 미입력",IF(M700&lt;1,"시작일 이전(확인)",IF(M700=1,"1일째",IF(M700=2,"2일째",IF(M700=3,"3일째",IF(M700&lt;=7,"일주일 이내",IF(M700&lt;=14,"이주일 이내","15일 이후"))))))))</f>
        <v/>
      </c>
      <c r="O700" s="0" t="str">
        <f aca="false">IF(AND(COUNTA($A700:$J700)&gt;0,OR(클레임조회!$C$4="",AND(ISNUMBER($B700),$B700&gt;=클레임조회!$C$4)),OR(클레임조회!$C$5="",AND(ISNUMBER($B700),$B700&lt;=클레임조회!$C$5)),OR(클레임조회!$C$6="",$C700=클레임조회!$C$6),OR(클레임조회!$C$7="",$D700=클레임조회!$C$7),OR(클레임조회!$C$8="",$E700=클레임조회!$C$8),OR(클레임조회!$C$9="",$F700=클레임조회!$C$9),OR(클레임조회!$C$10="",ISNUMBER(SEARCH(클레임조회!$C$10,$C700&amp;" "&amp;$F700&amp;" "&amp;$G700&amp;" "&amp;$H700)))),COUNT(O$1:O699)+1,"")</f>
        <v/>
      </c>
      <c r="P700" s="0" t="str">
        <f aca="false">IF(AND(TRIM(C700)&lt;&gt;"",COUNTIF(C$2:C700,C700)=1),MAX(P$1:P699)+1,"")</f>
        <v/>
      </c>
      <c r="Q700" s="0" t="str">
        <f aca="false">IF(AND(TRIM(F700)&lt;&gt;"",COUNTIF(F$2:F700,F700)=1),MAX(Q$1:Q699)+1,"")</f>
        <v/>
      </c>
    </row>
    <row r="701" customFormat="false" ht="15" hidden="false" customHeight="false" outlineLevel="0" collapsed="false">
      <c r="A701" s="9"/>
      <c r="B701" s="10"/>
      <c r="C701" s="11"/>
      <c r="D701" s="11"/>
      <c r="E701" s="11"/>
      <c r="F701" s="11"/>
      <c r="G701" s="12"/>
      <c r="H701" s="12"/>
      <c r="I701" s="10"/>
      <c r="J701" s="12"/>
      <c r="K701" s="13" t="str">
        <f aca="false">IF(ISNUMBER(B701),YEAR(B701),"")</f>
        <v/>
      </c>
      <c r="L701" s="13" t="str">
        <f aca="false">IF(ISNUMBER(B701),MONTH(B701),"")</f>
        <v/>
      </c>
      <c r="M701" s="13" t="str">
        <f aca="false">IF(AND(ISNUMBER(B701),ISNUMBER(I701)),B701-I701+1,"")</f>
        <v/>
      </c>
      <c r="N701" s="14" t="str">
        <f aca="false">IF(B701="","",IF(M701="","시작일 미입력",IF(M701&lt;1,"시작일 이전(확인)",IF(M701=1,"1일째",IF(M701=2,"2일째",IF(M701=3,"3일째",IF(M701&lt;=7,"일주일 이내",IF(M701&lt;=14,"이주일 이내","15일 이후"))))))))</f>
        <v/>
      </c>
      <c r="O701" s="0" t="str">
        <f aca="false">IF(AND(COUNTA($A701:$J701)&gt;0,OR(클레임조회!$C$4="",AND(ISNUMBER($B701),$B701&gt;=클레임조회!$C$4)),OR(클레임조회!$C$5="",AND(ISNUMBER($B701),$B701&lt;=클레임조회!$C$5)),OR(클레임조회!$C$6="",$C701=클레임조회!$C$6),OR(클레임조회!$C$7="",$D701=클레임조회!$C$7),OR(클레임조회!$C$8="",$E701=클레임조회!$C$8),OR(클레임조회!$C$9="",$F701=클레임조회!$C$9),OR(클레임조회!$C$10="",ISNUMBER(SEARCH(클레임조회!$C$10,$C701&amp;" "&amp;$F701&amp;" "&amp;$G701&amp;" "&amp;$H701)))),COUNT(O$1:O700)+1,"")</f>
        <v/>
      </c>
      <c r="P701" s="0" t="str">
        <f aca="false">IF(AND(TRIM(C701)&lt;&gt;"",COUNTIF(C$2:C701,C701)=1),MAX(P$1:P700)+1,"")</f>
        <v/>
      </c>
      <c r="Q701" s="0" t="str">
        <f aca="false">IF(AND(TRIM(F701)&lt;&gt;"",COUNTIF(F$2:F701,F701)=1),MAX(Q$1:Q700)+1,"")</f>
        <v/>
      </c>
    </row>
    <row r="702" customFormat="false" ht="15" hidden="false" customHeight="false" outlineLevel="0" collapsed="false">
      <c r="A702" s="9"/>
      <c r="B702" s="10"/>
      <c r="C702" s="11"/>
      <c r="D702" s="11"/>
      <c r="E702" s="11"/>
      <c r="F702" s="11"/>
      <c r="G702" s="12"/>
      <c r="H702" s="12"/>
      <c r="I702" s="10"/>
      <c r="J702" s="12"/>
      <c r="K702" s="13" t="str">
        <f aca="false">IF(ISNUMBER(B702),YEAR(B702),"")</f>
        <v/>
      </c>
      <c r="L702" s="13" t="str">
        <f aca="false">IF(ISNUMBER(B702),MONTH(B702),"")</f>
        <v/>
      </c>
      <c r="M702" s="13" t="str">
        <f aca="false">IF(AND(ISNUMBER(B702),ISNUMBER(I702)),B702-I702+1,"")</f>
        <v/>
      </c>
      <c r="N702" s="14" t="str">
        <f aca="false">IF(B702="","",IF(M702="","시작일 미입력",IF(M702&lt;1,"시작일 이전(확인)",IF(M702=1,"1일째",IF(M702=2,"2일째",IF(M702=3,"3일째",IF(M702&lt;=7,"일주일 이내",IF(M702&lt;=14,"이주일 이내","15일 이후"))))))))</f>
        <v/>
      </c>
      <c r="O702" s="0" t="str">
        <f aca="false">IF(AND(COUNTA($A702:$J702)&gt;0,OR(클레임조회!$C$4="",AND(ISNUMBER($B702),$B702&gt;=클레임조회!$C$4)),OR(클레임조회!$C$5="",AND(ISNUMBER($B702),$B702&lt;=클레임조회!$C$5)),OR(클레임조회!$C$6="",$C702=클레임조회!$C$6),OR(클레임조회!$C$7="",$D702=클레임조회!$C$7),OR(클레임조회!$C$8="",$E702=클레임조회!$C$8),OR(클레임조회!$C$9="",$F702=클레임조회!$C$9),OR(클레임조회!$C$10="",ISNUMBER(SEARCH(클레임조회!$C$10,$C702&amp;" "&amp;$F702&amp;" "&amp;$G702&amp;" "&amp;$H702)))),COUNT(O$1:O701)+1,"")</f>
        <v/>
      </c>
      <c r="P702" s="0" t="str">
        <f aca="false">IF(AND(TRIM(C702)&lt;&gt;"",COUNTIF(C$2:C702,C702)=1),MAX(P$1:P701)+1,"")</f>
        <v/>
      </c>
      <c r="Q702" s="0" t="str">
        <f aca="false">IF(AND(TRIM(F702)&lt;&gt;"",COUNTIF(F$2:F702,F702)=1),MAX(Q$1:Q701)+1,"")</f>
        <v/>
      </c>
    </row>
    <row r="703" customFormat="false" ht="15" hidden="false" customHeight="false" outlineLevel="0" collapsed="false">
      <c r="A703" s="9"/>
      <c r="B703" s="10"/>
      <c r="C703" s="11"/>
      <c r="D703" s="11"/>
      <c r="E703" s="11"/>
      <c r="F703" s="11"/>
      <c r="G703" s="12"/>
      <c r="H703" s="12"/>
      <c r="I703" s="10"/>
      <c r="J703" s="12"/>
      <c r="K703" s="13" t="str">
        <f aca="false">IF(ISNUMBER(B703),YEAR(B703),"")</f>
        <v/>
      </c>
      <c r="L703" s="13" t="str">
        <f aca="false">IF(ISNUMBER(B703),MONTH(B703),"")</f>
        <v/>
      </c>
      <c r="M703" s="13" t="str">
        <f aca="false">IF(AND(ISNUMBER(B703),ISNUMBER(I703)),B703-I703+1,"")</f>
        <v/>
      </c>
      <c r="N703" s="14" t="str">
        <f aca="false">IF(B703="","",IF(M703="","시작일 미입력",IF(M703&lt;1,"시작일 이전(확인)",IF(M703=1,"1일째",IF(M703=2,"2일째",IF(M703=3,"3일째",IF(M703&lt;=7,"일주일 이내",IF(M703&lt;=14,"이주일 이내","15일 이후"))))))))</f>
        <v/>
      </c>
      <c r="O703" s="0" t="str">
        <f aca="false">IF(AND(COUNTA($A703:$J703)&gt;0,OR(클레임조회!$C$4="",AND(ISNUMBER($B703),$B703&gt;=클레임조회!$C$4)),OR(클레임조회!$C$5="",AND(ISNUMBER($B703),$B703&lt;=클레임조회!$C$5)),OR(클레임조회!$C$6="",$C703=클레임조회!$C$6),OR(클레임조회!$C$7="",$D703=클레임조회!$C$7),OR(클레임조회!$C$8="",$E703=클레임조회!$C$8),OR(클레임조회!$C$9="",$F703=클레임조회!$C$9),OR(클레임조회!$C$10="",ISNUMBER(SEARCH(클레임조회!$C$10,$C703&amp;" "&amp;$F703&amp;" "&amp;$G703&amp;" "&amp;$H703)))),COUNT(O$1:O702)+1,"")</f>
        <v/>
      </c>
      <c r="P703" s="0" t="str">
        <f aca="false">IF(AND(TRIM(C703)&lt;&gt;"",COUNTIF(C$2:C703,C703)=1),MAX(P$1:P702)+1,"")</f>
        <v/>
      </c>
      <c r="Q703" s="0" t="str">
        <f aca="false">IF(AND(TRIM(F703)&lt;&gt;"",COUNTIF(F$2:F703,F703)=1),MAX(Q$1:Q702)+1,"")</f>
        <v/>
      </c>
    </row>
    <row r="704" customFormat="false" ht="15" hidden="false" customHeight="false" outlineLevel="0" collapsed="false">
      <c r="A704" s="9"/>
      <c r="B704" s="10"/>
      <c r="C704" s="11"/>
      <c r="D704" s="11"/>
      <c r="E704" s="11"/>
      <c r="F704" s="11"/>
      <c r="G704" s="12"/>
      <c r="H704" s="12"/>
      <c r="I704" s="10"/>
      <c r="J704" s="12"/>
      <c r="K704" s="13" t="str">
        <f aca="false">IF(ISNUMBER(B704),YEAR(B704),"")</f>
        <v/>
      </c>
      <c r="L704" s="13" t="str">
        <f aca="false">IF(ISNUMBER(B704),MONTH(B704),"")</f>
        <v/>
      </c>
      <c r="M704" s="13" t="str">
        <f aca="false">IF(AND(ISNUMBER(B704),ISNUMBER(I704)),B704-I704+1,"")</f>
        <v/>
      </c>
      <c r="N704" s="14" t="str">
        <f aca="false">IF(B704="","",IF(M704="","시작일 미입력",IF(M704&lt;1,"시작일 이전(확인)",IF(M704=1,"1일째",IF(M704=2,"2일째",IF(M704=3,"3일째",IF(M704&lt;=7,"일주일 이내",IF(M704&lt;=14,"이주일 이내","15일 이후"))))))))</f>
        <v/>
      </c>
      <c r="O704" s="0" t="str">
        <f aca="false">IF(AND(COUNTA($A704:$J704)&gt;0,OR(클레임조회!$C$4="",AND(ISNUMBER($B704),$B704&gt;=클레임조회!$C$4)),OR(클레임조회!$C$5="",AND(ISNUMBER($B704),$B704&lt;=클레임조회!$C$5)),OR(클레임조회!$C$6="",$C704=클레임조회!$C$6),OR(클레임조회!$C$7="",$D704=클레임조회!$C$7),OR(클레임조회!$C$8="",$E704=클레임조회!$C$8),OR(클레임조회!$C$9="",$F704=클레임조회!$C$9),OR(클레임조회!$C$10="",ISNUMBER(SEARCH(클레임조회!$C$10,$C704&amp;" "&amp;$F704&amp;" "&amp;$G704&amp;" "&amp;$H704)))),COUNT(O$1:O703)+1,"")</f>
        <v/>
      </c>
      <c r="P704" s="0" t="str">
        <f aca="false">IF(AND(TRIM(C704)&lt;&gt;"",COUNTIF(C$2:C704,C704)=1),MAX(P$1:P703)+1,"")</f>
        <v/>
      </c>
      <c r="Q704" s="0" t="str">
        <f aca="false">IF(AND(TRIM(F704)&lt;&gt;"",COUNTIF(F$2:F704,F704)=1),MAX(Q$1:Q703)+1,"")</f>
        <v/>
      </c>
    </row>
    <row r="705" customFormat="false" ht="15" hidden="false" customHeight="false" outlineLevel="0" collapsed="false">
      <c r="A705" s="9"/>
      <c r="B705" s="10"/>
      <c r="C705" s="11"/>
      <c r="D705" s="11"/>
      <c r="E705" s="11"/>
      <c r="F705" s="11"/>
      <c r="G705" s="12"/>
      <c r="H705" s="12"/>
      <c r="I705" s="10"/>
      <c r="J705" s="12"/>
      <c r="K705" s="13" t="str">
        <f aca="false">IF(ISNUMBER(B705),YEAR(B705),"")</f>
        <v/>
      </c>
      <c r="L705" s="13" t="str">
        <f aca="false">IF(ISNUMBER(B705),MONTH(B705),"")</f>
        <v/>
      </c>
      <c r="M705" s="13" t="str">
        <f aca="false">IF(AND(ISNUMBER(B705),ISNUMBER(I705)),B705-I705+1,"")</f>
        <v/>
      </c>
      <c r="N705" s="14" t="str">
        <f aca="false">IF(B705="","",IF(M705="","시작일 미입력",IF(M705&lt;1,"시작일 이전(확인)",IF(M705=1,"1일째",IF(M705=2,"2일째",IF(M705=3,"3일째",IF(M705&lt;=7,"일주일 이내",IF(M705&lt;=14,"이주일 이내","15일 이후"))))))))</f>
        <v/>
      </c>
      <c r="O705" s="0" t="str">
        <f aca="false">IF(AND(COUNTA($A705:$J705)&gt;0,OR(클레임조회!$C$4="",AND(ISNUMBER($B705),$B705&gt;=클레임조회!$C$4)),OR(클레임조회!$C$5="",AND(ISNUMBER($B705),$B705&lt;=클레임조회!$C$5)),OR(클레임조회!$C$6="",$C705=클레임조회!$C$6),OR(클레임조회!$C$7="",$D705=클레임조회!$C$7),OR(클레임조회!$C$8="",$E705=클레임조회!$C$8),OR(클레임조회!$C$9="",$F705=클레임조회!$C$9),OR(클레임조회!$C$10="",ISNUMBER(SEARCH(클레임조회!$C$10,$C705&amp;" "&amp;$F705&amp;" "&amp;$G705&amp;" "&amp;$H705)))),COUNT(O$1:O704)+1,"")</f>
        <v/>
      </c>
      <c r="P705" s="0" t="str">
        <f aca="false">IF(AND(TRIM(C705)&lt;&gt;"",COUNTIF(C$2:C705,C705)=1),MAX(P$1:P704)+1,"")</f>
        <v/>
      </c>
      <c r="Q705" s="0" t="str">
        <f aca="false">IF(AND(TRIM(F705)&lt;&gt;"",COUNTIF(F$2:F705,F705)=1),MAX(Q$1:Q704)+1,"")</f>
        <v/>
      </c>
    </row>
    <row r="706" customFormat="false" ht="15" hidden="false" customHeight="false" outlineLevel="0" collapsed="false">
      <c r="A706" s="9"/>
      <c r="B706" s="10"/>
      <c r="C706" s="11"/>
      <c r="D706" s="11"/>
      <c r="E706" s="11"/>
      <c r="F706" s="11"/>
      <c r="G706" s="12"/>
      <c r="H706" s="12"/>
      <c r="I706" s="10"/>
      <c r="J706" s="12"/>
      <c r="K706" s="13" t="str">
        <f aca="false">IF(ISNUMBER(B706),YEAR(B706),"")</f>
        <v/>
      </c>
      <c r="L706" s="13" t="str">
        <f aca="false">IF(ISNUMBER(B706),MONTH(B706),"")</f>
        <v/>
      </c>
      <c r="M706" s="13" t="str">
        <f aca="false">IF(AND(ISNUMBER(B706),ISNUMBER(I706)),B706-I706+1,"")</f>
        <v/>
      </c>
      <c r="N706" s="14" t="str">
        <f aca="false">IF(B706="","",IF(M706="","시작일 미입력",IF(M706&lt;1,"시작일 이전(확인)",IF(M706=1,"1일째",IF(M706=2,"2일째",IF(M706=3,"3일째",IF(M706&lt;=7,"일주일 이내",IF(M706&lt;=14,"이주일 이내","15일 이후"))))))))</f>
        <v/>
      </c>
      <c r="O706" s="0" t="str">
        <f aca="false">IF(AND(COUNTA($A706:$J706)&gt;0,OR(클레임조회!$C$4="",AND(ISNUMBER($B706),$B706&gt;=클레임조회!$C$4)),OR(클레임조회!$C$5="",AND(ISNUMBER($B706),$B706&lt;=클레임조회!$C$5)),OR(클레임조회!$C$6="",$C706=클레임조회!$C$6),OR(클레임조회!$C$7="",$D706=클레임조회!$C$7),OR(클레임조회!$C$8="",$E706=클레임조회!$C$8),OR(클레임조회!$C$9="",$F706=클레임조회!$C$9),OR(클레임조회!$C$10="",ISNUMBER(SEARCH(클레임조회!$C$10,$C706&amp;" "&amp;$F706&amp;" "&amp;$G706&amp;" "&amp;$H706)))),COUNT(O$1:O705)+1,"")</f>
        <v/>
      </c>
      <c r="P706" s="0" t="str">
        <f aca="false">IF(AND(TRIM(C706)&lt;&gt;"",COUNTIF(C$2:C706,C706)=1),MAX(P$1:P705)+1,"")</f>
        <v/>
      </c>
      <c r="Q706" s="0" t="str">
        <f aca="false">IF(AND(TRIM(F706)&lt;&gt;"",COUNTIF(F$2:F706,F706)=1),MAX(Q$1:Q705)+1,"")</f>
        <v/>
      </c>
    </row>
    <row r="707" customFormat="false" ht="15" hidden="false" customHeight="false" outlineLevel="0" collapsed="false">
      <c r="A707" s="9"/>
      <c r="B707" s="10"/>
      <c r="C707" s="11"/>
      <c r="D707" s="11"/>
      <c r="E707" s="11"/>
      <c r="F707" s="11"/>
      <c r="G707" s="12"/>
      <c r="H707" s="12"/>
      <c r="I707" s="10"/>
      <c r="J707" s="12"/>
      <c r="K707" s="13" t="str">
        <f aca="false">IF(ISNUMBER(B707),YEAR(B707),"")</f>
        <v/>
      </c>
      <c r="L707" s="13" t="str">
        <f aca="false">IF(ISNUMBER(B707),MONTH(B707),"")</f>
        <v/>
      </c>
      <c r="M707" s="13" t="str">
        <f aca="false">IF(AND(ISNUMBER(B707),ISNUMBER(I707)),B707-I707+1,"")</f>
        <v/>
      </c>
      <c r="N707" s="14" t="str">
        <f aca="false">IF(B707="","",IF(M707="","시작일 미입력",IF(M707&lt;1,"시작일 이전(확인)",IF(M707=1,"1일째",IF(M707=2,"2일째",IF(M707=3,"3일째",IF(M707&lt;=7,"일주일 이내",IF(M707&lt;=14,"이주일 이내","15일 이후"))))))))</f>
        <v/>
      </c>
      <c r="O707" s="0" t="str">
        <f aca="false">IF(AND(COUNTA($A707:$J707)&gt;0,OR(클레임조회!$C$4="",AND(ISNUMBER($B707),$B707&gt;=클레임조회!$C$4)),OR(클레임조회!$C$5="",AND(ISNUMBER($B707),$B707&lt;=클레임조회!$C$5)),OR(클레임조회!$C$6="",$C707=클레임조회!$C$6),OR(클레임조회!$C$7="",$D707=클레임조회!$C$7),OR(클레임조회!$C$8="",$E707=클레임조회!$C$8),OR(클레임조회!$C$9="",$F707=클레임조회!$C$9),OR(클레임조회!$C$10="",ISNUMBER(SEARCH(클레임조회!$C$10,$C707&amp;" "&amp;$F707&amp;" "&amp;$G707&amp;" "&amp;$H707)))),COUNT(O$1:O706)+1,"")</f>
        <v/>
      </c>
      <c r="P707" s="0" t="str">
        <f aca="false">IF(AND(TRIM(C707)&lt;&gt;"",COUNTIF(C$2:C707,C707)=1),MAX(P$1:P706)+1,"")</f>
        <v/>
      </c>
      <c r="Q707" s="0" t="str">
        <f aca="false">IF(AND(TRIM(F707)&lt;&gt;"",COUNTIF(F$2:F707,F707)=1),MAX(Q$1:Q706)+1,"")</f>
        <v/>
      </c>
    </row>
    <row r="708" customFormat="false" ht="15" hidden="false" customHeight="false" outlineLevel="0" collapsed="false">
      <c r="A708" s="9"/>
      <c r="B708" s="10"/>
      <c r="C708" s="11"/>
      <c r="D708" s="11"/>
      <c r="E708" s="11"/>
      <c r="F708" s="11"/>
      <c r="G708" s="12"/>
      <c r="H708" s="12"/>
      <c r="I708" s="10"/>
      <c r="J708" s="12"/>
      <c r="K708" s="13" t="str">
        <f aca="false">IF(ISNUMBER(B708),YEAR(B708),"")</f>
        <v/>
      </c>
      <c r="L708" s="13" t="str">
        <f aca="false">IF(ISNUMBER(B708),MONTH(B708),"")</f>
        <v/>
      </c>
      <c r="M708" s="13" t="str">
        <f aca="false">IF(AND(ISNUMBER(B708),ISNUMBER(I708)),B708-I708+1,"")</f>
        <v/>
      </c>
      <c r="N708" s="14" t="str">
        <f aca="false">IF(B708="","",IF(M708="","시작일 미입력",IF(M708&lt;1,"시작일 이전(확인)",IF(M708=1,"1일째",IF(M708=2,"2일째",IF(M708=3,"3일째",IF(M708&lt;=7,"일주일 이내",IF(M708&lt;=14,"이주일 이내","15일 이후"))))))))</f>
        <v/>
      </c>
      <c r="O708" s="0" t="str">
        <f aca="false">IF(AND(COUNTA($A708:$J708)&gt;0,OR(클레임조회!$C$4="",AND(ISNUMBER($B708),$B708&gt;=클레임조회!$C$4)),OR(클레임조회!$C$5="",AND(ISNUMBER($B708),$B708&lt;=클레임조회!$C$5)),OR(클레임조회!$C$6="",$C708=클레임조회!$C$6),OR(클레임조회!$C$7="",$D708=클레임조회!$C$7),OR(클레임조회!$C$8="",$E708=클레임조회!$C$8),OR(클레임조회!$C$9="",$F708=클레임조회!$C$9),OR(클레임조회!$C$10="",ISNUMBER(SEARCH(클레임조회!$C$10,$C708&amp;" "&amp;$F708&amp;" "&amp;$G708&amp;" "&amp;$H708)))),COUNT(O$1:O707)+1,"")</f>
        <v/>
      </c>
      <c r="P708" s="0" t="str">
        <f aca="false">IF(AND(TRIM(C708)&lt;&gt;"",COUNTIF(C$2:C708,C708)=1),MAX(P$1:P707)+1,"")</f>
        <v/>
      </c>
      <c r="Q708" s="0" t="str">
        <f aca="false">IF(AND(TRIM(F708)&lt;&gt;"",COUNTIF(F$2:F708,F708)=1),MAX(Q$1:Q707)+1,"")</f>
        <v/>
      </c>
    </row>
    <row r="709" customFormat="false" ht="15" hidden="false" customHeight="false" outlineLevel="0" collapsed="false">
      <c r="A709" s="9"/>
      <c r="B709" s="10"/>
      <c r="C709" s="11"/>
      <c r="D709" s="11"/>
      <c r="E709" s="11"/>
      <c r="F709" s="11"/>
      <c r="G709" s="12"/>
      <c r="H709" s="12"/>
      <c r="I709" s="10"/>
      <c r="J709" s="12"/>
      <c r="K709" s="13" t="str">
        <f aca="false">IF(ISNUMBER(B709),YEAR(B709),"")</f>
        <v/>
      </c>
      <c r="L709" s="13" t="str">
        <f aca="false">IF(ISNUMBER(B709),MONTH(B709),"")</f>
        <v/>
      </c>
      <c r="M709" s="13" t="str">
        <f aca="false">IF(AND(ISNUMBER(B709),ISNUMBER(I709)),B709-I709+1,"")</f>
        <v/>
      </c>
      <c r="N709" s="14" t="str">
        <f aca="false">IF(B709="","",IF(M709="","시작일 미입력",IF(M709&lt;1,"시작일 이전(확인)",IF(M709=1,"1일째",IF(M709=2,"2일째",IF(M709=3,"3일째",IF(M709&lt;=7,"일주일 이내",IF(M709&lt;=14,"이주일 이내","15일 이후"))))))))</f>
        <v/>
      </c>
      <c r="O709" s="0" t="str">
        <f aca="false">IF(AND(COUNTA($A709:$J709)&gt;0,OR(클레임조회!$C$4="",AND(ISNUMBER($B709),$B709&gt;=클레임조회!$C$4)),OR(클레임조회!$C$5="",AND(ISNUMBER($B709),$B709&lt;=클레임조회!$C$5)),OR(클레임조회!$C$6="",$C709=클레임조회!$C$6),OR(클레임조회!$C$7="",$D709=클레임조회!$C$7),OR(클레임조회!$C$8="",$E709=클레임조회!$C$8),OR(클레임조회!$C$9="",$F709=클레임조회!$C$9),OR(클레임조회!$C$10="",ISNUMBER(SEARCH(클레임조회!$C$10,$C709&amp;" "&amp;$F709&amp;" "&amp;$G709&amp;" "&amp;$H709)))),COUNT(O$1:O708)+1,"")</f>
        <v/>
      </c>
      <c r="P709" s="0" t="str">
        <f aca="false">IF(AND(TRIM(C709)&lt;&gt;"",COUNTIF(C$2:C709,C709)=1),MAX(P$1:P708)+1,"")</f>
        <v/>
      </c>
      <c r="Q709" s="0" t="str">
        <f aca="false">IF(AND(TRIM(F709)&lt;&gt;"",COUNTIF(F$2:F709,F709)=1),MAX(Q$1:Q708)+1,"")</f>
        <v/>
      </c>
    </row>
    <row r="710" customFormat="false" ht="15" hidden="false" customHeight="false" outlineLevel="0" collapsed="false">
      <c r="A710" s="9"/>
      <c r="B710" s="10"/>
      <c r="C710" s="11"/>
      <c r="D710" s="11"/>
      <c r="E710" s="11"/>
      <c r="F710" s="11"/>
      <c r="G710" s="12"/>
      <c r="H710" s="12"/>
      <c r="I710" s="10"/>
      <c r="J710" s="12"/>
      <c r="K710" s="13" t="str">
        <f aca="false">IF(ISNUMBER(B710),YEAR(B710),"")</f>
        <v/>
      </c>
      <c r="L710" s="13" t="str">
        <f aca="false">IF(ISNUMBER(B710),MONTH(B710),"")</f>
        <v/>
      </c>
      <c r="M710" s="13" t="str">
        <f aca="false">IF(AND(ISNUMBER(B710),ISNUMBER(I710)),B710-I710+1,"")</f>
        <v/>
      </c>
      <c r="N710" s="14" t="str">
        <f aca="false">IF(B710="","",IF(M710="","시작일 미입력",IF(M710&lt;1,"시작일 이전(확인)",IF(M710=1,"1일째",IF(M710=2,"2일째",IF(M710=3,"3일째",IF(M710&lt;=7,"일주일 이내",IF(M710&lt;=14,"이주일 이내","15일 이후"))))))))</f>
        <v/>
      </c>
      <c r="O710" s="0" t="str">
        <f aca="false">IF(AND(COUNTA($A710:$J710)&gt;0,OR(클레임조회!$C$4="",AND(ISNUMBER($B710),$B710&gt;=클레임조회!$C$4)),OR(클레임조회!$C$5="",AND(ISNUMBER($B710),$B710&lt;=클레임조회!$C$5)),OR(클레임조회!$C$6="",$C710=클레임조회!$C$6),OR(클레임조회!$C$7="",$D710=클레임조회!$C$7),OR(클레임조회!$C$8="",$E710=클레임조회!$C$8),OR(클레임조회!$C$9="",$F710=클레임조회!$C$9),OR(클레임조회!$C$10="",ISNUMBER(SEARCH(클레임조회!$C$10,$C710&amp;" "&amp;$F710&amp;" "&amp;$G710&amp;" "&amp;$H710)))),COUNT(O$1:O709)+1,"")</f>
        <v/>
      </c>
      <c r="P710" s="0" t="str">
        <f aca="false">IF(AND(TRIM(C710)&lt;&gt;"",COUNTIF(C$2:C710,C710)=1),MAX(P$1:P709)+1,"")</f>
        <v/>
      </c>
      <c r="Q710" s="0" t="str">
        <f aca="false">IF(AND(TRIM(F710)&lt;&gt;"",COUNTIF(F$2:F710,F710)=1),MAX(Q$1:Q709)+1,"")</f>
        <v/>
      </c>
    </row>
    <row r="711" customFormat="false" ht="15" hidden="false" customHeight="false" outlineLevel="0" collapsed="false">
      <c r="A711" s="9"/>
      <c r="B711" s="10"/>
      <c r="C711" s="11"/>
      <c r="D711" s="11"/>
      <c r="E711" s="11"/>
      <c r="F711" s="11"/>
      <c r="G711" s="12"/>
      <c r="H711" s="12"/>
      <c r="I711" s="10"/>
      <c r="J711" s="12"/>
      <c r="K711" s="13" t="str">
        <f aca="false">IF(ISNUMBER(B711),YEAR(B711),"")</f>
        <v/>
      </c>
      <c r="L711" s="13" t="str">
        <f aca="false">IF(ISNUMBER(B711),MONTH(B711),"")</f>
        <v/>
      </c>
      <c r="M711" s="13" t="str">
        <f aca="false">IF(AND(ISNUMBER(B711),ISNUMBER(I711)),B711-I711+1,"")</f>
        <v/>
      </c>
      <c r="N711" s="14" t="str">
        <f aca="false">IF(B711="","",IF(M711="","시작일 미입력",IF(M711&lt;1,"시작일 이전(확인)",IF(M711=1,"1일째",IF(M711=2,"2일째",IF(M711=3,"3일째",IF(M711&lt;=7,"일주일 이내",IF(M711&lt;=14,"이주일 이내","15일 이후"))))))))</f>
        <v/>
      </c>
      <c r="O711" s="0" t="str">
        <f aca="false">IF(AND(COUNTA($A711:$J711)&gt;0,OR(클레임조회!$C$4="",AND(ISNUMBER($B711),$B711&gt;=클레임조회!$C$4)),OR(클레임조회!$C$5="",AND(ISNUMBER($B711),$B711&lt;=클레임조회!$C$5)),OR(클레임조회!$C$6="",$C711=클레임조회!$C$6),OR(클레임조회!$C$7="",$D711=클레임조회!$C$7),OR(클레임조회!$C$8="",$E711=클레임조회!$C$8),OR(클레임조회!$C$9="",$F711=클레임조회!$C$9),OR(클레임조회!$C$10="",ISNUMBER(SEARCH(클레임조회!$C$10,$C711&amp;" "&amp;$F711&amp;" "&amp;$G711&amp;" "&amp;$H711)))),COUNT(O$1:O710)+1,"")</f>
        <v/>
      </c>
      <c r="P711" s="0" t="str">
        <f aca="false">IF(AND(TRIM(C711)&lt;&gt;"",COUNTIF(C$2:C711,C711)=1),MAX(P$1:P710)+1,"")</f>
        <v/>
      </c>
      <c r="Q711" s="0" t="str">
        <f aca="false">IF(AND(TRIM(F711)&lt;&gt;"",COUNTIF(F$2:F711,F711)=1),MAX(Q$1:Q710)+1,"")</f>
        <v/>
      </c>
    </row>
    <row r="712" customFormat="false" ht="15" hidden="false" customHeight="false" outlineLevel="0" collapsed="false">
      <c r="A712" s="9"/>
      <c r="B712" s="10"/>
      <c r="C712" s="11"/>
      <c r="D712" s="11"/>
      <c r="E712" s="11"/>
      <c r="F712" s="11"/>
      <c r="G712" s="12"/>
      <c r="H712" s="12"/>
      <c r="I712" s="10"/>
      <c r="J712" s="12"/>
      <c r="K712" s="13" t="str">
        <f aca="false">IF(ISNUMBER(B712),YEAR(B712),"")</f>
        <v/>
      </c>
      <c r="L712" s="13" t="str">
        <f aca="false">IF(ISNUMBER(B712),MONTH(B712),"")</f>
        <v/>
      </c>
      <c r="M712" s="13" t="str">
        <f aca="false">IF(AND(ISNUMBER(B712),ISNUMBER(I712)),B712-I712+1,"")</f>
        <v/>
      </c>
      <c r="N712" s="14" t="str">
        <f aca="false">IF(B712="","",IF(M712="","시작일 미입력",IF(M712&lt;1,"시작일 이전(확인)",IF(M712=1,"1일째",IF(M712=2,"2일째",IF(M712=3,"3일째",IF(M712&lt;=7,"일주일 이내",IF(M712&lt;=14,"이주일 이내","15일 이후"))))))))</f>
        <v/>
      </c>
      <c r="O712" s="0" t="str">
        <f aca="false">IF(AND(COUNTA($A712:$J712)&gt;0,OR(클레임조회!$C$4="",AND(ISNUMBER($B712),$B712&gt;=클레임조회!$C$4)),OR(클레임조회!$C$5="",AND(ISNUMBER($B712),$B712&lt;=클레임조회!$C$5)),OR(클레임조회!$C$6="",$C712=클레임조회!$C$6),OR(클레임조회!$C$7="",$D712=클레임조회!$C$7),OR(클레임조회!$C$8="",$E712=클레임조회!$C$8),OR(클레임조회!$C$9="",$F712=클레임조회!$C$9),OR(클레임조회!$C$10="",ISNUMBER(SEARCH(클레임조회!$C$10,$C712&amp;" "&amp;$F712&amp;" "&amp;$G712&amp;" "&amp;$H712)))),COUNT(O$1:O711)+1,"")</f>
        <v/>
      </c>
      <c r="P712" s="0" t="str">
        <f aca="false">IF(AND(TRIM(C712)&lt;&gt;"",COUNTIF(C$2:C712,C712)=1),MAX(P$1:P711)+1,"")</f>
        <v/>
      </c>
      <c r="Q712" s="0" t="str">
        <f aca="false">IF(AND(TRIM(F712)&lt;&gt;"",COUNTIF(F$2:F712,F712)=1),MAX(Q$1:Q711)+1,"")</f>
        <v/>
      </c>
    </row>
    <row r="713" customFormat="false" ht="15" hidden="false" customHeight="false" outlineLevel="0" collapsed="false">
      <c r="A713" s="9"/>
      <c r="B713" s="10"/>
      <c r="C713" s="11"/>
      <c r="D713" s="11"/>
      <c r="E713" s="11"/>
      <c r="F713" s="11"/>
      <c r="G713" s="12"/>
      <c r="H713" s="12"/>
      <c r="I713" s="10"/>
      <c r="J713" s="12"/>
      <c r="K713" s="13" t="str">
        <f aca="false">IF(ISNUMBER(B713),YEAR(B713),"")</f>
        <v/>
      </c>
      <c r="L713" s="13" t="str">
        <f aca="false">IF(ISNUMBER(B713),MONTH(B713),"")</f>
        <v/>
      </c>
      <c r="M713" s="13" t="str">
        <f aca="false">IF(AND(ISNUMBER(B713),ISNUMBER(I713)),B713-I713+1,"")</f>
        <v/>
      </c>
      <c r="N713" s="14" t="str">
        <f aca="false">IF(B713="","",IF(M713="","시작일 미입력",IF(M713&lt;1,"시작일 이전(확인)",IF(M713=1,"1일째",IF(M713=2,"2일째",IF(M713=3,"3일째",IF(M713&lt;=7,"일주일 이내",IF(M713&lt;=14,"이주일 이내","15일 이후"))))))))</f>
        <v/>
      </c>
      <c r="O713" s="0" t="str">
        <f aca="false">IF(AND(COUNTA($A713:$J713)&gt;0,OR(클레임조회!$C$4="",AND(ISNUMBER($B713),$B713&gt;=클레임조회!$C$4)),OR(클레임조회!$C$5="",AND(ISNUMBER($B713),$B713&lt;=클레임조회!$C$5)),OR(클레임조회!$C$6="",$C713=클레임조회!$C$6),OR(클레임조회!$C$7="",$D713=클레임조회!$C$7),OR(클레임조회!$C$8="",$E713=클레임조회!$C$8),OR(클레임조회!$C$9="",$F713=클레임조회!$C$9),OR(클레임조회!$C$10="",ISNUMBER(SEARCH(클레임조회!$C$10,$C713&amp;" "&amp;$F713&amp;" "&amp;$G713&amp;" "&amp;$H713)))),COUNT(O$1:O712)+1,"")</f>
        <v/>
      </c>
      <c r="P713" s="0" t="str">
        <f aca="false">IF(AND(TRIM(C713)&lt;&gt;"",COUNTIF(C$2:C713,C713)=1),MAX(P$1:P712)+1,"")</f>
        <v/>
      </c>
      <c r="Q713" s="0" t="str">
        <f aca="false">IF(AND(TRIM(F713)&lt;&gt;"",COUNTIF(F$2:F713,F713)=1),MAX(Q$1:Q712)+1,"")</f>
        <v/>
      </c>
    </row>
    <row r="714" customFormat="false" ht="15" hidden="false" customHeight="false" outlineLevel="0" collapsed="false">
      <c r="A714" s="9"/>
      <c r="B714" s="10"/>
      <c r="C714" s="11"/>
      <c r="D714" s="11"/>
      <c r="E714" s="11"/>
      <c r="F714" s="11"/>
      <c r="G714" s="12"/>
      <c r="H714" s="12"/>
      <c r="I714" s="10"/>
      <c r="J714" s="12"/>
      <c r="K714" s="13" t="str">
        <f aca="false">IF(ISNUMBER(B714),YEAR(B714),"")</f>
        <v/>
      </c>
      <c r="L714" s="13" t="str">
        <f aca="false">IF(ISNUMBER(B714),MONTH(B714),"")</f>
        <v/>
      </c>
      <c r="M714" s="13" t="str">
        <f aca="false">IF(AND(ISNUMBER(B714),ISNUMBER(I714)),B714-I714+1,"")</f>
        <v/>
      </c>
      <c r="N714" s="14" t="str">
        <f aca="false">IF(B714="","",IF(M714="","시작일 미입력",IF(M714&lt;1,"시작일 이전(확인)",IF(M714=1,"1일째",IF(M714=2,"2일째",IF(M714=3,"3일째",IF(M714&lt;=7,"일주일 이내",IF(M714&lt;=14,"이주일 이내","15일 이후"))))))))</f>
        <v/>
      </c>
      <c r="O714" s="0" t="str">
        <f aca="false">IF(AND(COUNTA($A714:$J714)&gt;0,OR(클레임조회!$C$4="",AND(ISNUMBER($B714),$B714&gt;=클레임조회!$C$4)),OR(클레임조회!$C$5="",AND(ISNUMBER($B714),$B714&lt;=클레임조회!$C$5)),OR(클레임조회!$C$6="",$C714=클레임조회!$C$6),OR(클레임조회!$C$7="",$D714=클레임조회!$C$7),OR(클레임조회!$C$8="",$E714=클레임조회!$C$8),OR(클레임조회!$C$9="",$F714=클레임조회!$C$9),OR(클레임조회!$C$10="",ISNUMBER(SEARCH(클레임조회!$C$10,$C714&amp;" "&amp;$F714&amp;" "&amp;$G714&amp;" "&amp;$H714)))),COUNT(O$1:O713)+1,"")</f>
        <v/>
      </c>
      <c r="P714" s="0" t="str">
        <f aca="false">IF(AND(TRIM(C714)&lt;&gt;"",COUNTIF(C$2:C714,C714)=1),MAX(P$1:P713)+1,"")</f>
        <v/>
      </c>
      <c r="Q714" s="0" t="str">
        <f aca="false">IF(AND(TRIM(F714)&lt;&gt;"",COUNTIF(F$2:F714,F714)=1),MAX(Q$1:Q713)+1,"")</f>
        <v/>
      </c>
    </row>
    <row r="715" customFormat="false" ht="15" hidden="false" customHeight="false" outlineLevel="0" collapsed="false">
      <c r="A715" s="9"/>
      <c r="B715" s="10"/>
      <c r="C715" s="11"/>
      <c r="D715" s="11"/>
      <c r="E715" s="11"/>
      <c r="F715" s="11"/>
      <c r="G715" s="12"/>
      <c r="H715" s="12"/>
      <c r="I715" s="10"/>
      <c r="J715" s="12"/>
      <c r="K715" s="13" t="str">
        <f aca="false">IF(ISNUMBER(B715),YEAR(B715),"")</f>
        <v/>
      </c>
      <c r="L715" s="13" t="str">
        <f aca="false">IF(ISNUMBER(B715),MONTH(B715),"")</f>
        <v/>
      </c>
      <c r="M715" s="13" t="str">
        <f aca="false">IF(AND(ISNUMBER(B715),ISNUMBER(I715)),B715-I715+1,"")</f>
        <v/>
      </c>
      <c r="N715" s="14" t="str">
        <f aca="false">IF(B715="","",IF(M715="","시작일 미입력",IF(M715&lt;1,"시작일 이전(확인)",IF(M715=1,"1일째",IF(M715=2,"2일째",IF(M715=3,"3일째",IF(M715&lt;=7,"일주일 이내",IF(M715&lt;=14,"이주일 이내","15일 이후"))))))))</f>
        <v/>
      </c>
      <c r="O715" s="0" t="str">
        <f aca="false">IF(AND(COUNTA($A715:$J715)&gt;0,OR(클레임조회!$C$4="",AND(ISNUMBER($B715),$B715&gt;=클레임조회!$C$4)),OR(클레임조회!$C$5="",AND(ISNUMBER($B715),$B715&lt;=클레임조회!$C$5)),OR(클레임조회!$C$6="",$C715=클레임조회!$C$6),OR(클레임조회!$C$7="",$D715=클레임조회!$C$7),OR(클레임조회!$C$8="",$E715=클레임조회!$C$8),OR(클레임조회!$C$9="",$F715=클레임조회!$C$9),OR(클레임조회!$C$10="",ISNUMBER(SEARCH(클레임조회!$C$10,$C715&amp;" "&amp;$F715&amp;" "&amp;$G715&amp;" "&amp;$H715)))),COUNT(O$1:O714)+1,"")</f>
        <v/>
      </c>
      <c r="P715" s="0" t="str">
        <f aca="false">IF(AND(TRIM(C715)&lt;&gt;"",COUNTIF(C$2:C715,C715)=1),MAX(P$1:P714)+1,"")</f>
        <v/>
      </c>
      <c r="Q715" s="0" t="str">
        <f aca="false">IF(AND(TRIM(F715)&lt;&gt;"",COUNTIF(F$2:F715,F715)=1),MAX(Q$1:Q714)+1,"")</f>
        <v/>
      </c>
    </row>
    <row r="716" customFormat="false" ht="15" hidden="false" customHeight="false" outlineLevel="0" collapsed="false">
      <c r="A716" s="9"/>
      <c r="B716" s="10"/>
      <c r="C716" s="11"/>
      <c r="D716" s="11"/>
      <c r="E716" s="11"/>
      <c r="F716" s="11"/>
      <c r="G716" s="12"/>
      <c r="H716" s="12"/>
      <c r="I716" s="10"/>
      <c r="J716" s="12"/>
      <c r="K716" s="13" t="str">
        <f aca="false">IF(ISNUMBER(B716),YEAR(B716),"")</f>
        <v/>
      </c>
      <c r="L716" s="13" t="str">
        <f aca="false">IF(ISNUMBER(B716),MONTH(B716),"")</f>
        <v/>
      </c>
      <c r="M716" s="13" t="str">
        <f aca="false">IF(AND(ISNUMBER(B716),ISNUMBER(I716)),B716-I716+1,"")</f>
        <v/>
      </c>
      <c r="N716" s="14" t="str">
        <f aca="false">IF(B716="","",IF(M716="","시작일 미입력",IF(M716&lt;1,"시작일 이전(확인)",IF(M716=1,"1일째",IF(M716=2,"2일째",IF(M716=3,"3일째",IF(M716&lt;=7,"일주일 이내",IF(M716&lt;=14,"이주일 이내","15일 이후"))))))))</f>
        <v/>
      </c>
      <c r="O716" s="0" t="str">
        <f aca="false">IF(AND(COUNTA($A716:$J716)&gt;0,OR(클레임조회!$C$4="",AND(ISNUMBER($B716),$B716&gt;=클레임조회!$C$4)),OR(클레임조회!$C$5="",AND(ISNUMBER($B716),$B716&lt;=클레임조회!$C$5)),OR(클레임조회!$C$6="",$C716=클레임조회!$C$6),OR(클레임조회!$C$7="",$D716=클레임조회!$C$7),OR(클레임조회!$C$8="",$E716=클레임조회!$C$8),OR(클레임조회!$C$9="",$F716=클레임조회!$C$9),OR(클레임조회!$C$10="",ISNUMBER(SEARCH(클레임조회!$C$10,$C716&amp;" "&amp;$F716&amp;" "&amp;$G716&amp;" "&amp;$H716)))),COUNT(O$1:O715)+1,"")</f>
        <v/>
      </c>
      <c r="P716" s="0" t="str">
        <f aca="false">IF(AND(TRIM(C716)&lt;&gt;"",COUNTIF(C$2:C716,C716)=1),MAX(P$1:P715)+1,"")</f>
        <v/>
      </c>
      <c r="Q716" s="0" t="str">
        <f aca="false">IF(AND(TRIM(F716)&lt;&gt;"",COUNTIF(F$2:F716,F716)=1),MAX(Q$1:Q715)+1,"")</f>
        <v/>
      </c>
    </row>
    <row r="717" customFormat="false" ht="15" hidden="false" customHeight="false" outlineLevel="0" collapsed="false">
      <c r="A717" s="9"/>
      <c r="B717" s="10"/>
      <c r="C717" s="11"/>
      <c r="D717" s="11"/>
      <c r="E717" s="11"/>
      <c r="F717" s="11"/>
      <c r="G717" s="12"/>
      <c r="H717" s="12"/>
      <c r="I717" s="10"/>
      <c r="J717" s="12"/>
      <c r="K717" s="13" t="str">
        <f aca="false">IF(ISNUMBER(B717),YEAR(B717),"")</f>
        <v/>
      </c>
      <c r="L717" s="13" t="str">
        <f aca="false">IF(ISNUMBER(B717),MONTH(B717),"")</f>
        <v/>
      </c>
      <c r="M717" s="13" t="str">
        <f aca="false">IF(AND(ISNUMBER(B717),ISNUMBER(I717)),B717-I717+1,"")</f>
        <v/>
      </c>
      <c r="N717" s="14" t="str">
        <f aca="false">IF(B717="","",IF(M717="","시작일 미입력",IF(M717&lt;1,"시작일 이전(확인)",IF(M717=1,"1일째",IF(M717=2,"2일째",IF(M717=3,"3일째",IF(M717&lt;=7,"일주일 이내",IF(M717&lt;=14,"이주일 이내","15일 이후"))))))))</f>
        <v/>
      </c>
      <c r="O717" s="0" t="str">
        <f aca="false">IF(AND(COUNTA($A717:$J717)&gt;0,OR(클레임조회!$C$4="",AND(ISNUMBER($B717),$B717&gt;=클레임조회!$C$4)),OR(클레임조회!$C$5="",AND(ISNUMBER($B717),$B717&lt;=클레임조회!$C$5)),OR(클레임조회!$C$6="",$C717=클레임조회!$C$6),OR(클레임조회!$C$7="",$D717=클레임조회!$C$7),OR(클레임조회!$C$8="",$E717=클레임조회!$C$8),OR(클레임조회!$C$9="",$F717=클레임조회!$C$9),OR(클레임조회!$C$10="",ISNUMBER(SEARCH(클레임조회!$C$10,$C717&amp;" "&amp;$F717&amp;" "&amp;$G717&amp;" "&amp;$H717)))),COUNT(O$1:O716)+1,"")</f>
        <v/>
      </c>
      <c r="P717" s="0" t="str">
        <f aca="false">IF(AND(TRIM(C717)&lt;&gt;"",COUNTIF(C$2:C717,C717)=1),MAX(P$1:P716)+1,"")</f>
        <v/>
      </c>
      <c r="Q717" s="0" t="str">
        <f aca="false">IF(AND(TRIM(F717)&lt;&gt;"",COUNTIF(F$2:F717,F717)=1),MAX(Q$1:Q716)+1,"")</f>
        <v/>
      </c>
    </row>
    <row r="718" customFormat="false" ht="15" hidden="false" customHeight="false" outlineLevel="0" collapsed="false">
      <c r="A718" s="9"/>
      <c r="B718" s="10"/>
      <c r="C718" s="11"/>
      <c r="D718" s="11"/>
      <c r="E718" s="11"/>
      <c r="F718" s="11"/>
      <c r="G718" s="12"/>
      <c r="H718" s="12"/>
      <c r="I718" s="10"/>
      <c r="J718" s="12"/>
      <c r="K718" s="13" t="str">
        <f aca="false">IF(ISNUMBER(B718),YEAR(B718),"")</f>
        <v/>
      </c>
      <c r="L718" s="13" t="str">
        <f aca="false">IF(ISNUMBER(B718),MONTH(B718),"")</f>
        <v/>
      </c>
      <c r="M718" s="13" t="str">
        <f aca="false">IF(AND(ISNUMBER(B718),ISNUMBER(I718)),B718-I718+1,"")</f>
        <v/>
      </c>
      <c r="N718" s="14" t="str">
        <f aca="false">IF(B718="","",IF(M718="","시작일 미입력",IF(M718&lt;1,"시작일 이전(확인)",IF(M718=1,"1일째",IF(M718=2,"2일째",IF(M718=3,"3일째",IF(M718&lt;=7,"일주일 이내",IF(M718&lt;=14,"이주일 이내","15일 이후"))))))))</f>
        <v/>
      </c>
      <c r="O718" s="0" t="str">
        <f aca="false">IF(AND(COUNTA($A718:$J718)&gt;0,OR(클레임조회!$C$4="",AND(ISNUMBER($B718),$B718&gt;=클레임조회!$C$4)),OR(클레임조회!$C$5="",AND(ISNUMBER($B718),$B718&lt;=클레임조회!$C$5)),OR(클레임조회!$C$6="",$C718=클레임조회!$C$6),OR(클레임조회!$C$7="",$D718=클레임조회!$C$7),OR(클레임조회!$C$8="",$E718=클레임조회!$C$8),OR(클레임조회!$C$9="",$F718=클레임조회!$C$9),OR(클레임조회!$C$10="",ISNUMBER(SEARCH(클레임조회!$C$10,$C718&amp;" "&amp;$F718&amp;" "&amp;$G718&amp;" "&amp;$H718)))),COUNT(O$1:O717)+1,"")</f>
        <v/>
      </c>
      <c r="P718" s="0" t="str">
        <f aca="false">IF(AND(TRIM(C718)&lt;&gt;"",COUNTIF(C$2:C718,C718)=1),MAX(P$1:P717)+1,"")</f>
        <v/>
      </c>
      <c r="Q718" s="0" t="str">
        <f aca="false">IF(AND(TRIM(F718)&lt;&gt;"",COUNTIF(F$2:F718,F718)=1),MAX(Q$1:Q717)+1,"")</f>
        <v/>
      </c>
    </row>
    <row r="719" customFormat="false" ht="15" hidden="false" customHeight="false" outlineLevel="0" collapsed="false">
      <c r="A719" s="9"/>
      <c r="B719" s="10"/>
      <c r="C719" s="11"/>
      <c r="D719" s="11"/>
      <c r="E719" s="11"/>
      <c r="F719" s="11"/>
      <c r="G719" s="12"/>
      <c r="H719" s="12"/>
      <c r="I719" s="10"/>
      <c r="J719" s="12"/>
      <c r="K719" s="13" t="str">
        <f aca="false">IF(ISNUMBER(B719),YEAR(B719),"")</f>
        <v/>
      </c>
      <c r="L719" s="13" t="str">
        <f aca="false">IF(ISNUMBER(B719),MONTH(B719),"")</f>
        <v/>
      </c>
      <c r="M719" s="13" t="str">
        <f aca="false">IF(AND(ISNUMBER(B719),ISNUMBER(I719)),B719-I719+1,"")</f>
        <v/>
      </c>
      <c r="N719" s="14" t="str">
        <f aca="false">IF(B719="","",IF(M719="","시작일 미입력",IF(M719&lt;1,"시작일 이전(확인)",IF(M719=1,"1일째",IF(M719=2,"2일째",IF(M719=3,"3일째",IF(M719&lt;=7,"일주일 이내",IF(M719&lt;=14,"이주일 이내","15일 이후"))))))))</f>
        <v/>
      </c>
      <c r="O719" s="0" t="str">
        <f aca="false">IF(AND(COUNTA($A719:$J719)&gt;0,OR(클레임조회!$C$4="",AND(ISNUMBER($B719),$B719&gt;=클레임조회!$C$4)),OR(클레임조회!$C$5="",AND(ISNUMBER($B719),$B719&lt;=클레임조회!$C$5)),OR(클레임조회!$C$6="",$C719=클레임조회!$C$6),OR(클레임조회!$C$7="",$D719=클레임조회!$C$7),OR(클레임조회!$C$8="",$E719=클레임조회!$C$8),OR(클레임조회!$C$9="",$F719=클레임조회!$C$9),OR(클레임조회!$C$10="",ISNUMBER(SEARCH(클레임조회!$C$10,$C719&amp;" "&amp;$F719&amp;" "&amp;$G719&amp;" "&amp;$H719)))),COUNT(O$1:O718)+1,"")</f>
        <v/>
      </c>
      <c r="P719" s="0" t="str">
        <f aca="false">IF(AND(TRIM(C719)&lt;&gt;"",COUNTIF(C$2:C719,C719)=1),MAX(P$1:P718)+1,"")</f>
        <v/>
      </c>
      <c r="Q719" s="0" t="str">
        <f aca="false">IF(AND(TRIM(F719)&lt;&gt;"",COUNTIF(F$2:F719,F719)=1),MAX(Q$1:Q718)+1,"")</f>
        <v/>
      </c>
    </row>
    <row r="720" customFormat="false" ht="15" hidden="false" customHeight="false" outlineLevel="0" collapsed="false">
      <c r="A720" s="9"/>
      <c r="B720" s="10"/>
      <c r="C720" s="11"/>
      <c r="D720" s="11"/>
      <c r="E720" s="11"/>
      <c r="F720" s="11"/>
      <c r="G720" s="12"/>
      <c r="H720" s="12"/>
      <c r="I720" s="10"/>
      <c r="J720" s="12"/>
      <c r="K720" s="13" t="str">
        <f aca="false">IF(ISNUMBER(B720),YEAR(B720),"")</f>
        <v/>
      </c>
      <c r="L720" s="13" t="str">
        <f aca="false">IF(ISNUMBER(B720),MONTH(B720),"")</f>
        <v/>
      </c>
      <c r="M720" s="13" t="str">
        <f aca="false">IF(AND(ISNUMBER(B720),ISNUMBER(I720)),B720-I720+1,"")</f>
        <v/>
      </c>
      <c r="N720" s="14" t="str">
        <f aca="false">IF(B720="","",IF(M720="","시작일 미입력",IF(M720&lt;1,"시작일 이전(확인)",IF(M720=1,"1일째",IF(M720=2,"2일째",IF(M720=3,"3일째",IF(M720&lt;=7,"일주일 이내",IF(M720&lt;=14,"이주일 이내","15일 이후"))))))))</f>
        <v/>
      </c>
      <c r="O720" s="0" t="str">
        <f aca="false">IF(AND(COUNTA($A720:$J720)&gt;0,OR(클레임조회!$C$4="",AND(ISNUMBER($B720),$B720&gt;=클레임조회!$C$4)),OR(클레임조회!$C$5="",AND(ISNUMBER($B720),$B720&lt;=클레임조회!$C$5)),OR(클레임조회!$C$6="",$C720=클레임조회!$C$6),OR(클레임조회!$C$7="",$D720=클레임조회!$C$7),OR(클레임조회!$C$8="",$E720=클레임조회!$C$8),OR(클레임조회!$C$9="",$F720=클레임조회!$C$9),OR(클레임조회!$C$10="",ISNUMBER(SEARCH(클레임조회!$C$10,$C720&amp;" "&amp;$F720&amp;" "&amp;$G720&amp;" "&amp;$H720)))),COUNT(O$1:O719)+1,"")</f>
        <v/>
      </c>
      <c r="P720" s="0" t="str">
        <f aca="false">IF(AND(TRIM(C720)&lt;&gt;"",COUNTIF(C$2:C720,C720)=1),MAX(P$1:P719)+1,"")</f>
        <v/>
      </c>
      <c r="Q720" s="0" t="str">
        <f aca="false">IF(AND(TRIM(F720)&lt;&gt;"",COUNTIF(F$2:F720,F720)=1),MAX(Q$1:Q719)+1,"")</f>
        <v/>
      </c>
    </row>
    <row r="721" customFormat="false" ht="15" hidden="false" customHeight="false" outlineLevel="0" collapsed="false">
      <c r="A721" s="9"/>
      <c r="B721" s="10"/>
      <c r="C721" s="11"/>
      <c r="D721" s="11"/>
      <c r="E721" s="11"/>
      <c r="F721" s="11"/>
      <c r="G721" s="12"/>
      <c r="H721" s="12"/>
      <c r="I721" s="10"/>
      <c r="J721" s="12"/>
      <c r="K721" s="13" t="str">
        <f aca="false">IF(ISNUMBER(B721),YEAR(B721),"")</f>
        <v/>
      </c>
      <c r="L721" s="13" t="str">
        <f aca="false">IF(ISNUMBER(B721),MONTH(B721),"")</f>
        <v/>
      </c>
      <c r="M721" s="13" t="str">
        <f aca="false">IF(AND(ISNUMBER(B721),ISNUMBER(I721)),B721-I721+1,"")</f>
        <v/>
      </c>
      <c r="N721" s="14" t="str">
        <f aca="false">IF(B721="","",IF(M721="","시작일 미입력",IF(M721&lt;1,"시작일 이전(확인)",IF(M721=1,"1일째",IF(M721=2,"2일째",IF(M721=3,"3일째",IF(M721&lt;=7,"일주일 이내",IF(M721&lt;=14,"이주일 이내","15일 이후"))))))))</f>
        <v/>
      </c>
      <c r="O721" s="0" t="str">
        <f aca="false">IF(AND(COUNTA($A721:$J721)&gt;0,OR(클레임조회!$C$4="",AND(ISNUMBER($B721),$B721&gt;=클레임조회!$C$4)),OR(클레임조회!$C$5="",AND(ISNUMBER($B721),$B721&lt;=클레임조회!$C$5)),OR(클레임조회!$C$6="",$C721=클레임조회!$C$6),OR(클레임조회!$C$7="",$D721=클레임조회!$C$7),OR(클레임조회!$C$8="",$E721=클레임조회!$C$8),OR(클레임조회!$C$9="",$F721=클레임조회!$C$9),OR(클레임조회!$C$10="",ISNUMBER(SEARCH(클레임조회!$C$10,$C721&amp;" "&amp;$F721&amp;" "&amp;$G721&amp;" "&amp;$H721)))),COUNT(O$1:O720)+1,"")</f>
        <v/>
      </c>
      <c r="P721" s="0" t="str">
        <f aca="false">IF(AND(TRIM(C721)&lt;&gt;"",COUNTIF(C$2:C721,C721)=1),MAX(P$1:P720)+1,"")</f>
        <v/>
      </c>
      <c r="Q721" s="0" t="str">
        <f aca="false">IF(AND(TRIM(F721)&lt;&gt;"",COUNTIF(F$2:F721,F721)=1),MAX(Q$1:Q720)+1,"")</f>
        <v/>
      </c>
    </row>
    <row r="722" customFormat="false" ht="15" hidden="false" customHeight="false" outlineLevel="0" collapsed="false">
      <c r="A722" s="9"/>
      <c r="B722" s="10"/>
      <c r="C722" s="11"/>
      <c r="D722" s="11"/>
      <c r="E722" s="11"/>
      <c r="F722" s="11"/>
      <c r="G722" s="12"/>
      <c r="H722" s="12"/>
      <c r="I722" s="10"/>
      <c r="J722" s="12"/>
      <c r="K722" s="13" t="str">
        <f aca="false">IF(ISNUMBER(B722),YEAR(B722),"")</f>
        <v/>
      </c>
      <c r="L722" s="13" t="str">
        <f aca="false">IF(ISNUMBER(B722),MONTH(B722),"")</f>
        <v/>
      </c>
      <c r="M722" s="13" t="str">
        <f aca="false">IF(AND(ISNUMBER(B722),ISNUMBER(I722)),B722-I722+1,"")</f>
        <v/>
      </c>
      <c r="N722" s="14" t="str">
        <f aca="false">IF(B722="","",IF(M722="","시작일 미입력",IF(M722&lt;1,"시작일 이전(확인)",IF(M722=1,"1일째",IF(M722=2,"2일째",IF(M722=3,"3일째",IF(M722&lt;=7,"일주일 이내",IF(M722&lt;=14,"이주일 이내","15일 이후"))))))))</f>
        <v/>
      </c>
      <c r="O722" s="0" t="str">
        <f aca="false">IF(AND(COUNTA($A722:$J722)&gt;0,OR(클레임조회!$C$4="",AND(ISNUMBER($B722),$B722&gt;=클레임조회!$C$4)),OR(클레임조회!$C$5="",AND(ISNUMBER($B722),$B722&lt;=클레임조회!$C$5)),OR(클레임조회!$C$6="",$C722=클레임조회!$C$6),OR(클레임조회!$C$7="",$D722=클레임조회!$C$7),OR(클레임조회!$C$8="",$E722=클레임조회!$C$8),OR(클레임조회!$C$9="",$F722=클레임조회!$C$9),OR(클레임조회!$C$10="",ISNUMBER(SEARCH(클레임조회!$C$10,$C722&amp;" "&amp;$F722&amp;" "&amp;$G722&amp;" "&amp;$H722)))),COUNT(O$1:O721)+1,"")</f>
        <v/>
      </c>
      <c r="P722" s="0" t="str">
        <f aca="false">IF(AND(TRIM(C722)&lt;&gt;"",COUNTIF(C$2:C722,C722)=1),MAX(P$1:P721)+1,"")</f>
        <v/>
      </c>
      <c r="Q722" s="0" t="str">
        <f aca="false">IF(AND(TRIM(F722)&lt;&gt;"",COUNTIF(F$2:F722,F722)=1),MAX(Q$1:Q721)+1,"")</f>
        <v/>
      </c>
    </row>
    <row r="723" customFormat="false" ht="15" hidden="false" customHeight="false" outlineLevel="0" collapsed="false">
      <c r="A723" s="9"/>
      <c r="B723" s="10"/>
      <c r="C723" s="11"/>
      <c r="D723" s="11"/>
      <c r="E723" s="11"/>
      <c r="F723" s="11"/>
      <c r="G723" s="12"/>
      <c r="H723" s="12"/>
      <c r="I723" s="10"/>
      <c r="J723" s="12"/>
      <c r="K723" s="13" t="str">
        <f aca="false">IF(ISNUMBER(B723),YEAR(B723),"")</f>
        <v/>
      </c>
      <c r="L723" s="13" t="str">
        <f aca="false">IF(ISNUMBER(B723),MONTH(B723),"")</f>
        <v/>
      </c>
      <c r="M723" s="13" t="str">
        <f aca="false">IF(AND(ISNUMBER(B723),ISNUMBER(I723)),B723-I723+1,"")</f>
        <v/>
      </c>
      <c r="N723" s="14" t="str">
        <f aca="false">IF(B723="","",IF(M723="","시작일 미입력",IF(M723&lt;1,"시작일 이전(확인)",IF(M723=1,"1일째",IF(M723=2,"2일째",IF(M723=3,"3일째",IF(M723&lt;=7,"일주일 이내",IF(M723&lt;=14,"이주일 이내","15일 이후"))))))))</f>
        <v/>
      </c>
      <c r="O723" s="0" t="str">
        <f aca="false">IF(AND(COUNTA($A723:$J723)&gt;0,OR(클레임조회!$C$4="",AND(ISNUMBER($B723),$B723&gt;=클레임조회!$C$4)),OR(클레임조회!$C$5="",AND(ISNUMBER($B723),$B723&lt;=클레임조회!$C$5)),OR(클레임조회!$C$6="",$C723=클레임조회!$C$6),OR(클레임조회!$C$7="",$D723=클레임조회!$C$7),OR(클레임조회!$C$8="",$E723=클레임조회!$C$8),OR(클레임조회!$C$9="",$F723=클레임조회!$C$9),OR(클레임조회!$C$10="",ISNUMBER(SEARCH(클레임조회!$C$10,$C723&amp;" "&amp;$F723&amp;" "&amp;$G723&amp;" "&amp;$H723)))),COUNT(O$1:O722)+1,"")</f>
        <v/>
      </c>
      <c r="P723" s="0" t="str">
        <f aca="false">IF(AND(TRIM(C723)&lt;&gt;"",COUNTIF(C$2:C723,C723)=1),MAX(P$1:P722)+1,"")</f>
        <v/>
      </c>
      <c r="Q723" s="0" t="str">
        <f aca="false">IF(AND(TRIM(F723)&lt;&gt;"",COUNTIF(F$2:F723,F723)=1),MAX(Q$1:Q722)+1,"")</f>
        <v/>
      </c>
    </row>
    <row r="724" customFormat="false" ht="15" hidden="false" customHeight="false" outlineLevel="0" collapsed="false">
      <c r="A724" s="9"/>
      <c r="B724" s="10"/>
      <c r="C724" s="11"/>
      <c r="D724" s="11"/>
      <c r="E724" s="11"/>
      <c r="F724" s="11"/>
      <c r="G724" s="12"/>
      <c r="H724" s="12"/>
      <c r="I724" s="10"/>
      <c r="J724" s="12"/>
      <c r="K724" s="13" t="str">
        <f aca="false">IF(ISNUMBER(B724),YEAR(B724),"")</f>
        <v/>
      </c>
      <c r="L724" s="13" t="str">
        <f aca="false">IF(ISNUMBER(B724),MONTH(B724),"")</f>
        <v/>
      </c>
      <c r="M724" s="13" t="str">
        <f aca="false">IF(AND(ISNUMBER(B724),ISNUMBER(I724)),B724-I724+1,"")</f>
        <v/>
      </c>
      <c r="N724" s="14" t="str">
        <f aca="false">IF(B724="","",IF(M724="","시작일 미입력",IF(M724&lt;1,"시작일 이전(확인)",IF(M724=1,"1일째",IF(M724=2,"2일째",IF(M724=3,"3일째",IF(M724&lt;=7,"일주일 이내",IF(M724&lt;=14,"이주일 이내","15일 이후"))))))))</f>
        <v/>
      </c>
      <c r="O724" s="0" t="str">
        <f aca="false">IF(AND(COUNTA($A724:$J724)&gt;0,OR(클레임조회!$C$4="",AND(ISNUMBER($B724),$B724&gt;=클레임조회!$C$4)),OR(클레임조회!$C$5="",AND(ISNUMBER($B724),$B724&lt;=클레임조회!$C$5)),OR(클레임조회!$C$6="",$C724=클레임조회!$C$6),OR(클레임조회!$C$7="",$D724=클레임조회!$C$7),OR(클레임조회!$C$8="",$E724=클레임조회!$C$8),OR(클레임조회!$C$9="",$F724=클레임조회!$C$9),OR(클레임조회!$C$10="",ISNUMBER(SEARCH(클레임조회!$C$10,$C724&amp;" "&amp;$F724&amp;" "&amp;$G724&amp;" "&amp;$H724)))),COUNT(O$1:O723)+1,"")</f>
        <v/>
      </c>
      <c r="P724" s="0" t="str">
        <f aca="false">IF(AND(TRIM(C724)&lt;&gt;"",COUNTIF(C$2:C724,C724)=1),MAX(P$1:P723)+1,"")</f>
        <v/>
      </c>
      <c r="Q724" s="0" t="str">
        <f aca="false">IF(AND(TRIM(F724)&lt;&gt;"",COUNTIF(F$2:F724,F724)=1),MAX(Q$1:Q723)+1,"")</f>
        <v/>
      </c>
    </row>
    <row r="725" customFormat="false" ht="15" hidden="false" customHeight="false" outlineLevel="0" collapsed="false">
      <c r="A725" s="9"/>
      <c r="B725" s="10"/>
      <c r="C725" s="11"/>
      <c r="D725" s="11"/>
      <c r="E725" s="11"/>
      <c r="F725" s="11"/>
      <c r="G725" s="12"/>
      <c r="H725" s="12"/>
      <c r="I725" s="10"/>
      <c r="J725" s="12"/>
      <c r="K725" s="13" t="str">
        <f aca="false">IF(ISNUMBER(B725),YEAR(B725),"")</f>
        <v/>
      </c>
      <c r="L725" s="13" t="str">
        <f aca="false">IF(ISNUMBER(B725),MONTH(B725),"")</f>
        <v/>
      </c>
      <c r="M725" s="13" t="str">
        <f aca="false">IF(AND(ISNUMBER(B725),ISNUMBER(I725)),B725-I725+1,"")</f>
        <v/>
      </c>
      <c r="N725" s="14" t="str">
        <f aca="false">IF(B725="","",IF(M725="","시작일 미입력",IF(M725&lt;1,"시작일 이전(확인)",IF(M725=1,"1일째",IF(M725=2,"2일째",IF(M725=3,"3일째",IF(M725&lt;=7,"일주일 이내",IF(M725&lt;=14,"이주일 이내","15일 이후"))))))))</f>
        <v/>
      </c>
      <c r="O725" s="0" t="str">
        <f aca="false">IF(AND(COUNTA($A725:$J725)&gt;0,OR(클레임조회!$C$4="",AND(ISNUMBER($B725),$B725&gt;=클레임조회!$C$4)),OR(클레임조회!$C$5="",AND(ISNUMBER($B725),$B725&lt;=클레임조회!$C$5)),OR(클레임조회!$C$6="",$C725=클레임조회!$C$6),OR(클레임조회!$C$7="",$D725=클레임조회!$C$7),OR(클레임조회!$C$8="",$E725=클레임조회!$C$8),OR(클레임조회!$C$9="",$F725=클레임조회!$C$9),OR(클레임조회!$C$10="",ISNUMBER(SEARCH(클레임조회!$C$10,$C725&amp;" "&amp;$F725&amp;" "&amp;$G725&amp;" "&amp;$H725)))),COUNT(O$1:O724)+1,"")</f>
        <v/>
      </c>
      <c r="P725" s="0" t="str">
        <f aca="false">IF(AND(TRIM(C725)&lt;&gt;"",COUNTIF(C$2:C725,C725)=1),MAX(P$1:P724)+1,"")</f>
        <v/>
      </c>
      <c r="Q725" s="0" t="str">
        <f aca="false">IF(AND(TRIM(F725)&lt;&gt;"",COUNTIF(F$2:F725,F725)=1),MAX(Q$1:Q724)+1,"")</f>
        <v/>
      </c>
    </row>
    <row r="726" customFormat="false" ht="15" hidden="false" customHeight="false" outlineLevel="0" collapsed="false">
      <c r="A726" s="9"/>
      <c r="B726" s="10"/>
      <c r="C726" s="11"/>
      <c r="D726" s="11"/>
      <c r="E726" s="11"/>
      <c r="F726" s="11"/>
      <c r="G726" s="12"/>
      <c r="H726" s="12"/>
      <c r="I726" s="10"/>
      <c r="J726" s="12"/>
      <c r="K726" s="13" t="str">
        <f aca="false">IF(ISNUMBER(B726),YEAR(B726),"")</f>
        <v/>
      </c>
      <c r="L726" s="13" t="str">
        <f aca="false">IF(ISNUMBER(B726),MONTH(B726),"")</f>
        <v/>
      </c>
      <c r="M726" s="13" t="str">
        <f aca="false">IF(AND(ISNUMBER(B726),ISNUMBER(I726)),B726-I726+1,"")</f>
        <v/>
      </c>
      <c r="N726" s="14" t="str">
        <f aca="false">IF(B726="","",IF(M726="","시작일 미입력",IF(M726&lt;1,"시작일 이전(확인)",IF(M726=1,"1일째",IF(M726=2,"2일째",IF(M726=3,"3일째",IF(M726&lt;=7,"일주일 이내",IF(M726&lt;=14,"이주일 이내","15일 이후"))))))))</f>
        <v/>
      </c>
      <c r="O726" s="0" t="str">
        <f aca="false">IF(AND(COUNTA($A726:$J726)&gt;0,OR(클레임조회!$C$4="",AND(ISNUMBER($B726),$B726&gt;=클레임조회!$C$4)),OR(클레임조회!$C$5="",AND(ISNUMBER($B726),$B726&lt;=클레임조회!$C$5)),OR(클레임조회!$C$6="",$C726=클레임조회!$C$6),OR(클레임조회!$C$7="",$D726=클레임조회!$C$7),OR(클레임조회!$C$8="",$E726=클레임조회!$C$8),OR(클레임조회!$C$9="",$F726=클레임조회!$C$9),OR(클레임조회!$C$10="",ISNUMBER(SEARCH(클레임조회!$C$10,$C726&amp;" "&amp;$F726&amp;" "&amp;$G726&amp;" "&amp;$H726)))),COUNT(O$1:O725)+1,"")</f>
        <v/>
      </c>
      <c r="P726" s="0" t="str">
        <f aca="false">IF(AND(TRIM(C726)&lt;&gt;"",COUNTIF(C$2:C726,C726)=1),MAX(P$1:P725)+1,"")</f>
        <v/>
      </c>
      <c r="Q726" s="0" t="str">
        <f aca="false">IF(AND(TRIM(F726)&lt;&gt;"",COUNTIF(F$2:F726,F726)=1),MAX(Q$1:Q725)+1,"")</f>
        <v/>
      </c>
    </row>
    <row r="727" customFormat="false" ht="15" hidden="false" customHeight="false" outlineLevel="0" collapsed="false">
      <c r="A727" s="9"/>
      <c r="B727" s="10"/>
      <c r="C727" s="11"/>
      <c r="D727" s="11"/>
      <c r="E727" s="11"/>
      <c r="F727" s="11"/>
      <c r="G727" s="12"/>
      <c r="H727" s="12"/>
      <c r="I727" s="10"/>
      <c r="J727" s="12"/>
      <c r="K727" s="13" t="str">
        <f aca="false">IF(ISNUMBER(B727),YEAR(B727),"")</f>
        <v/>
      </c>
      <c r="L727" s="13" t="str">
        <f aca="false">IF(ISNUMBER(B727),MONTH(B727),"")</f>
        <v/>
      </c>
      <c r="M727" s="13" t="str">
        <f aca="false">IF(AND(ISNUMBER(B727),ISNUMBER(I727)),B727-I727+1,"")</f>
        <v/>
      </c>
      <c r="N727" s="14" t="str">
        <f aca="false">IF(B727="","",IF(M727="","시작일 미입력",IF(M727&lt;1,"시작일 이전(확인)",IF(M727=1,"1일째",IF(M727=2,"2일째",IF(M727=3,"3일째",IF(M727&lt;=7,"일주일 이내",IF(M727&lt;=14,"이주일 이내","15일 이후"))))))))</f>
        <v/>
      </c>
      <c r="O727" s="0" t="str">
        <f aca="false">IF(AND(COUNTA($A727:$J727)&gt;0,OR(클레임조회!$C$4="",AND(ISNUMBER($B727),$B727&gt;=클레임조회!$C$4)),OR(클레임조회!$C$5="",AND(ISNUMBER($B727),$B727&lt;=클레임조회!$C$5)),OR(클레임조회!$C$6="",$C727=클레임조회!$C$6),OR(클레임조회!$C$7="",$D727=클레임조회!$C$7),OR(클레임조회!$C$8="",$E727=클레임조회!$C$8),OR(클레임조회!$C$9="",$F727=클레임조회!$C$9),OR(클레임조회!$C$10="",ISNUMBER(SEARCH(클레임조회!$C$10,$C727&amp;" "&amp;$F727&amp;" "&amp;$G727&amp;" "&amp;$H727)))),COUNT(O$1:O726)+1,"")</f>
        <v/>
      </c>
      <c r="P727" s="0" t="str">
        <f aca="false">IF(AND(TRIM(C727)&lt;&gt;"",COUNTIF(C$2:C727,C727)=1),MAX(P$1:P726)+1,"")</f>
        <v/>
      </c>
      <c r="Q727" s="0" t="str">
        <f aca="false">IF(AND(TRIM(F727)&lt;&gt;"",COUNTIF(F$2:F727,F727)=1),MAX(Q$1:Q726)+1,"")</f>
        <v/>
      </c>
    </row>
    <row r="728" customFormat="false" ht="15" hidden="false" customHeight="false" outlineLevel="0" collapsed="false">
      <c r="A728" s="9"/>
      <c r="B728" s="10"/>
      <c r="C728" s="11"/>
      <c r="D728" s="11"/>
      <c r="E728" s="11"/>
      <c r="F728" s="11"/>
      <c r="G728" s="12"/>
      <c r="H728" s="12"/>
      <c r="I728" s="10"/>
      <c r="J728" s="12"/>
      <c r="K728" s="13" t="str">
        <f aca="false">IF(ISNUMBER(B728),YEAR(B728),"")</f>
        <v/>
      </c>
      <c r="L728" s="13" t="str">
        <f aca="false">IF(ISNUMBER(B728),MONTH(B728),"")</f>
        <v/>
      </c>
      <c r="M728" s="13" t="str">
        <f aca="false">IF(AND(ISNUMBER(B728),ISNUMBER(I728)),B728-I728+1,"")</f>
        <v/>
      </c>
      <c r="N728" s="14" t="str">
        <f aca="false">IF(B728="","",IF(M728="","시작일 미입력",IF(M728&lt;1,"시작일 이전(확인)",IF(M728=1,"1일째",IF(M728=2,"2일째",IF(M728=3,"3일째",IF(M728&lt;=7,"일주일 이내",IF(M728&lt;=14,"이주일 이내","15일 이후"))))))))</f>
        <v/>
      </c>
      <c r="O728" s="0" t="str">
        <f aca="false">IF(AND(COUNTA($A728:$J728)&gt;0,OR(클레임조회!$C$4="",AND(ISNUMBER($B728),$B728&gt;=클레임조회!$C$4)),OR(클레임조회!$C$5="",AND(ISNUMBER($B728),$B728&lt;=클레임조회!$C$5)),OR(클레임조회!$C$6="",$C728=클레임조회!$C$6),OR(클레임조회!$C$7="",$D728=클레임조회!$C$7),OR(클레임조회!$C$8="",$E728=클레임조회!$C$8),OR(클레임조회!$C$9="",$F728=클레임조회!$C$9),OR(클레임조회!$C$10="",ISNUMBER(SEARCH(클레임조회!$C$10,$C728&amp;" "&amp;$F728&amp;" "&amp;$G728&amp;" "&amp;$H728)))),COUNT(O$1:O727)+1,"")</f>
        <v/>
      </c>
      <c r="P728" s="0" t="str">
        <f aca="false">IF(AND(TRIM(C728)&lt;&gt;"",COUNTIF(C$2:C728,C728)=1),MAX(P$1:P727)+1,"")</f>
        <v/>
      </c>
      <c r="Q728" s="0" t="str">
        <f aca="false">IF(AND(TRIM(F728)&lt;&gt;"",COUNTIF(F$2:F728,F728)=1),MAX(Q$1:Q727)+1,"")</f>
        <v/>
      </c>
    </row>
    <row r="729" customFormat="false" ht="15" hidden="false" customHeight="false" outlineLevel="0" collapsed="false">
      <c r="A729" s="9"/>
      <c r="B729" s="10"/>
      <c r="C729" s="11"/>
      <c r="D729" s="11"/>
      <c r="E729" s="11"/>
      <c r="F729" s="11"/>
      <c r="G729" s="12"/>
      <c r="H729" s="12"/>
      <c r="I729" s="10"/>
      <c r="J729" s="12"/>
      <c r="K729" s="13" t="str">
        <f aca="false">IF(ISNUMBER(B729),YEAR(B729),"")</f>
        <v/>
      </c>
      <c r="L729" s="13" t="str">
        <f aca="false">IF(ISNUMBER(B729),MONTH(B729),"")</f>
        <v/>
      </c>
      <c r="M729" s="13" t="str">
        <f aca="false">IF(AND(ISNUMBER(B729),ISNUMBER(I729)),B729-I729+1,"")</f>
        <v/>
      </c>
      <c r="N729" s="14" t="str">
        <f aca="false">IF(B729="","",IF(M729="","시작일 미입력",IF(M729&lt;1,"시작일 이전(확인)",IF(M729=1,"1일째",IF(M729=2,"2일째",IF(M729=3,"3일째",IF(M729&lt;=7,"일주일 이내",IF(M729&lt;=14,"이주일 이내","15일 이후"))))))))</f>
        <v/>
      </c>
      <c r="O729" s="0" t="str">
        <f aca="false">IF(AND(COUNTA($A729:$J729)&gt;0,OR(클레임조회!$C$4="",AND(ISNUMBER($B729),$B729&gt;=클레임조회!$C$4)),OR(클레임조회!$C$5="",AND(ISNUMBER($B729),$B729&lt;=클레임조회!$C$5)),OR(클레임조회!$C$6="",$C729=클레임조회!$C$6),OR(클레임조회!$C$7="",$D729=클레임조회!$C$7),OR(클레임조회!$C$8="",$E729=클레임조회!$C$8),OR(클레임조회!$C$9="",$F729=클레임조회!$C$9),OR(클레임조회!$C$10="",ISNUMBER(SEARCH(클레임조회!$C$10,$C729&amp;" "&amp;$F729&amp;" "&amp;$G729&amp;" "&amp;$H729)))),COUNT(O$1:O728)+1,"")</f>
        <v/>
      </c>
      <c r="P729" s="0" t="str">
        <f aca="false">IF(AND(TRIM(C729)&lt;&gt;"",COUNTIF(C$2:C729,C729)=1),MAX(P$1:P728)+1,"")</f>
        <v/>
      </c>
      <c r="Q729" s="0" t="str">
        <f aca="false">IF(AND(TRIM(F729)&lt;&gt;"",COUNTIF(F$2:F729,F729)=1),MAX(Q$1:Q728)+1,"")</f>
        <v/>
      </c>
    </row>
    <row r="730" customFormat="false" ht="15" hidden="false" customHeight="false" outlineLevel="0" collapsed="false">
      <c r="A730" s="9"/>
      <c r="B730" s="10"/>
      <c r="C730" s="11"/>
      <c r="D730" s="11"/>
      <c r="E730" s="11"/>
      <c r="F730" s="11"/>
      <c r="G730" s="12"/>
      <c r="H730" s="12"/>
      <c r="I730" s="10"/>
      <c r="J730" s="12"/>
      <c r="K730" s="13" t="str">
        <f aca="false">IF(ISNUMBER(B730),YEAR(B730),"")</f>
        <v/>
      </c>
      <c r="L730" s="13" t="str">
        <f aca="false">IF(ISNUMBER(B730),MONTH(B730),"")</f>
        <v/>
      </c>
      <c r="M730" s="13" t="str">
        <f aca="false">IF(AND(ISNUMBER(B730),ISNUMBER(I730)),B730-I730+1,"")</f>
        <v/>
      </c>
      <c r="N730" s="14" t="str">
        <f aca="false">IF(B730="","",IF(M730="","시작일 미입력",IF(M730&lt;1,"시작일 이전(확인)",IF(M730=1,"1일째",IF(M730=2,"2일째",IF(M730=3,"3일째",IF(M730&lt;=7,"일주일 이내",IF(M730&lt;=14,"이주일 이내","15일 이후"))))))))</f>
        <v/>
      </c>
      <c r="O730" s="0" t="str">
        <f aca="false">IF(AND(COUNTA($A730:$J730)&gt;0,OR(클레임조회!$C$4="",AND(ISNUMBER($B730),$B730&gt;=클레임조회!$C$4)),OR(클레임조회!$C$5="",AND(ISNUMBER($B730),$B730&lt;=클레임조회!$C$5)),OR(클레임조회!$C$6="",$C730=클레임조회!$C$6),OR(클레임조회!$C$7="",$D730=클레임조회!$C$7),OR(클레임조회!$C$8="",$E730=클레임조회!$C$8),OR(클레임조회!$C$9="",$F730=클레임조회!$C$9),OR(클레임조회!$C$10="",ISNUMBER(SEARCH(클레임조회!$C$10,$C730&amp;" "&amp;$F730&amp;" "&amp;$G730&amp;" "&amp;$H730)))),COUNT(O$1:O729)+1,"")</f>
        <v/>
      </c>
      <c r="P730" s="0" t="str">
        <f aca="false">IF(AND(TRIM(C730)&lt;&gt;"",COUNTIF(C$2:C730,C730)=1),MAX(P$1:P729)+1,"")</f>
        <v/>
      </c>
      <c r="Q730" s="0" t="str">
        <f aca="false">IF(AND(TRIM(F730)&lt;&gt;"",COUNTIF(F$2:F730,F730)=1),MAX(Q$1:Q729)+1,"")</f>
        <v/>
      </c>
    </row>
    <row r="731" customFormat="false" ht="15" hidden="false" customHeight="false" outlineLevel="0" collapsed="false">
      <c r="A731" s="9"/>
      <c r="B731" s="10"/>
      <c r="C731" s="11"/>
      <c r="D731" s="11"/>
      <c r="E731" s="11"/>
      <c r="F731" s="11"/>
      <c r="G731" s="12"/>
      <c r="H731" s="12"/>
      <c r="I731" s="10"/>
      <c r="J731" s="12"/>
      <c r="K731" s="13" t="str">
        <f aca="false">IF(ISNUMBER(B731),YEAR(B731),"")</f>
        <v/>
      </c>
      <c r="L731" s="13" t="str">
        <f aca="false">IF(ISNUMBER(B731),MONTH(B731),"")</f>
        <v/>
      </c>
      <c r="M731" s="13" t="str">
        <f aca="false">IF(AND(ISNUMBER(B731),ISNUMBER(I731)),B731-I731+1,"")</f>
        <v/>
      </c>
      <c r="N731" s="14" t="str">
        <f aca="false">IF(B731="","",IF(M731="","시작일 미입력",IF(M731&lt;1,"시작일 이전(확인)",IF(M731=1,"1일째",IF(M731=2,"2일째",IF(M731=3,"3일째",IF(M731&lt;=7,"일주일 이내",IF(M731&lt;=14,"이주일 이내","15일 이후"))))))))</f>
        <v/>
      </c>
      <c r="O731" s="0" t="str">
        <f aca="false">IF(AND(COUNTA($A731:$J731)&gt;0,OR(클레임조회!$C$4="",AND(ISNUMBER($B731),$B731&gt;=클레임조회!$C$4)),OR(클레임조회!$C$5="",AND(ISNUMBER($B731),$B731&lt;=클레임조회!$C$5)),OR(클레임조회!$C$6="",$C731=클레임조회!$C$6),OR(클레임조회!$C$7="",$D731=클레임조회!$C$7),OR(클레임조회!$C$8="",$E731=클레임조회!$C$8),OR(클레임조회!$C$9="",$F731=클레임조회!$C$9),OR(클레임조회!$C$10="",ISNUMBER(SEARCH(클레임조회!$C$10,$C731&amp;" "&amp;$F731&amp;" "&amp;$G731&amp;" "&amp;$H731)))),COUNT(O$1:O730)+1,"")</f>
        <v/>
      </c>
      <c r="P731" s="0" t="str">
        <f aca="false">IF(AND(TRIM(C731)&lt;&gt;"",COUNTIF(C$2:C731,C731)=1),MAX(P$1:P730)+1,"")</f>
        <v/>
      </c>
      <c r="Q731" s="0" t="str">
        <f aca="false">IF(AND(TRIM(F731)&lt;&gt;"",COUNTIF(F$2:F731,F731)=1),MAX(Q$1:Q730)+1,"")</f>
        <v/>
      </c>
    </row>
    <row r="732" customFormat="false" ht="15" hidden="false" customHeight="false" outlineLevel="0" collapsed="false">
      <c r="A732" s="9"/>
      <c r="B732" s="10"/>
      <c r="C732" s="11"/>
      <c r="D732" s="11"/>
      <c r="E732" s="11"/>
      <c r="F732" s="11"/>
      <c r="G732" s="12"/>
      <c r="H732" s="12"/>
      <c r="I732" s="10"/>
      <c r="J732" s="12"/>
      <c r="K732" s="13" t="str">
        <f aca="false">IF(ISNUMBER(B732),YEAR(B732),"")</f>
        <v/>
      </c>
      <c r="L732" s="13" t="str">
        <f aca="false">IF(ISNUMBER(B732),MONTH(B732),"")</f>
        <v/>
      </c>
      <c r="M732" s="13" t="str">
        <f aca="false">IF(AND(ISNUMBER(B732),ISNUMBER(I732)),B732-I732+1,"")</f>
        <v/>
      </c>
      <c r="N732" s="14" t="str">
        <f aca="false">IF(B732="","",IF(M732="","시작일 미입력",IF(M732&lt;1,"시작일 이전(확인)",IF(M732=1,"1일째",IF(M732=2,"2일째",IF(M732=3,"3일째",IF(M732&lt;=7,"일주일 이내",IF(M732&lt;=14,"이주일 이내","15일 이후"))))))))</f>
        <v/>
      </c>
      <c r="O732" s="0" t="str">
        <f aca="false">IF(AND(COUNTA($A732:$J732)&gt;0,OR(클레임조회!$C$4="",AND(ISNUMBER($B732),$B732&gt;=클레임조회!$C$4)),OR(클레임조회!$C$5="",AND(ISNUMBER($B732),$B732&lt;=클레임조회!$C$5)),OR(클레임조회!$C$6="",$C732=클레임조회!$C$6),OR(클레임조회!$C$7="",$D732=클레임조회!$C$7),OR(클레임조회!$C$8="",$E732=클레임조회!$C$8),OR(클레임조회!$C$9="",$F732=클레임조회!$C$9),OR(클레임조회!$C$10="",ISNUMBER(SEARCH(클레임조회!$C$10,$C732&amp;" "&amp;$F732&amp;" "&amp;$G732&amp;" "&amp;$H732)))),COUNT(O$1:O731)+1,"")</f>
        <v/>
      </c>
      <c r="P732" s="0" t="str">
        <f aca="false">IF(AND(TRIM(C732)&lt;&gt;"",COUNTIF(C$2:C732,C732)=1),MAX(P$1:P731)+1,"")</f>
        <v/>
      </c>
      <c r="Q732" s="0" t="str">
        <f aca="false">IF(AND(TRIM(F732)&lt;&gt;"",COUNTIF(F$2:F732,F732)=1),MAX(Q$1:Q731)+1,"")</f>
        <v/>
      </c>
    </row>
    <row r="733" customFormat="false" ht="15" hidden="false" customHeight="false" outlineLevel="0" collapsed="false">
      <c r="A733" s="9"/>
      <c r="B733" s="10"/>
      <c r="C733" s="11"/>
      <c r="D733" s="11"/>
      <c r="E733" s="11"/>
      <c r="F733" s="11"/>
      <c r="G733" s="12"/>
      <c r="H733" s="12"/>
      <c r="I733" s="10"/>
      <c r="J733" s="12"/>
      <c r="K733" s="13" t="str">
        <f aca="false">IF(ISNUMBER(B733),YEAR(B733),"")</f>
        <v/>
      </c>
      <c r="L733" s="13" t="str">
        <f aca="false">IF(ISNUMBER(B733),MONTH(B733),"")</f>
        <v/>
      </c>
      <c r="M733" s="13" t="str">
        <f aca="false">IF(AND(ISNUMBER(B733),ISNUMBER(I733)),B733-I733+1,"")</f>
        <v/>
      </c>
      <c r="N733" s="14" t="str">
        <f aca="false">IF(B733="","",IF(M733="","시작일 미입력",IF(M733&lt;1,"시작일 이전(확인)",IF(M733=1,"1일째",IF(M733=2,"2일째",IF(M733=3,"3일째",IF(M733&lt;=7,"일주일 이내",IF(M733&lt;=14,"이주일 이내","15일 이후"))))))))</f>
        <v/>
      </c>
      <c r="O733" s="0" t="str">
        <f aca="false">IF(AND(COUNTA($A733:$J733)&gt;0,OR(클레임조회!$C$4="",AND(ISNUMBER($B733),$B733&gt;=클레임조회!$C$4)),OR(클레임조회!$C$5="",AND(ISNUMBER($B733),$B733&lt;=클레임조회!$C$5)),OR(클레임조회!$C$6="",$C733=클레임조회!$C$6),OR(클레임조회!$C$7="",$D733=클레임조회!$C$7),OR(클레임조회!$C$8="",$E733=클레임조회!$C$8),OR(클레임조회!$C$9="",$F733=클레임조회!$C$9),OR(클레임조회!$C$10="",ISNUMBER(SEARCH(클레임조회!$C$10,$C733&amp;" "&amp;$F733&amp;" "&amp;$G733&amp;" "&amp;$H733)))),COUNT(O$1:O732)+1,"")</f>
        <v/>
      </c>
      <c r="P733" s="0" t="str">
        <f aca="false">IF(AND(TRIM(C733)&lt;&gt;"",COUNTIF(C$2:C733,C733)=1),MAX(P$1:P732)+1,"")</f>
        <v/>
      </c>
      <c r="Q733" s="0" t="str">
        <f aca="false">IF(AND(TRIM(F733)&lt;&gt;"",COUNTIF(F$2:F733,F733)=1),MAX(Q$1:Q732)+1,"")</f>
        <v/>
      </c>
    </row>
    <row r="734" customFormat="false" ht="15" hidden="false" customHeight="false" outlineLevel="0" collapsed="false">
      <c r="A734" s="9"/>
      <c r="B734" s="10"/>
      <c r="C734" s="11"/>
      <c r="D734" s="11"/>
      <c r="E734" s="11"/>
      <c r="F734" s="11"/>
      <c r="G734" s="12"/>
      <c r="H734" s="12"/>
      <c r="I734" s="10"/>
      <c r="J734" s="12"/>
      <c r="K734" s="13" t="str">
        <f aca="false">IF(ISNUMBER(B734),YEAR(B734),"")</f>
        <v/>
      </c>
      <c r="L734" s="13" t="str">
        <f aca="false">IF(ISNUMBER(B734),MONTH(B734),"")</f>
        <v/>
      </c>
      <c r="M734" s="13" t="str">
        <f aca="false">IF(AND(ISNUMBER(B734),ISNUMBER(I734)),B734-I734+1,"")</f>
        <v/>
      </c>
      <c r="N734" s="14" t="str">
        <f aca="false">IF(B734="","",IF(M734="","시작일 미입력",IF(M734&lt;1,"시작일 이전(확인)",IF(M734=1,"1일째",IF(M734=2,"2일째",IF(M734=3,"3일째",IF(M734&lt;=7,"일주일 이내",IF(M734&lt;=14,"이주일 이내","15일 이후"))))))))</f>
        <v/>
      </c>
      <c r="O734" s="0" t="str">
        <f aca="false">IF(AND(COUNTA($A734:$J734)&gt;0,OR(클레임조회!$C$4="",AND(ISNUMBER($B734),$B734&gt;=클레임조회!$C$4)),OR(클레임조회!$C$5="",AND(ISNUMBER($B734),$B734&lt;=클레임조회!$C$5)),OR(클레임조회!$C$6="",$C734=클레임조회!$C$6),OR(클레임조회!$C$7="",$D734=클레임조회!$C$7),OR(클레임조회!$C$8="",$E734=클레임조회!$C$8),OR(클레임조회!$C$9="",$F734=클레임조회!$C$9),OR(클레임조회!$C$10="",ISNUMBER(SEARCH(클레임조회!$C$10,$C734&amp;" "&amp;$F734&amp;" "&amp;$G734&amp;" "&amp;$H734)))),COUNT(O$1:O733)+1,"")</f>
        <v/>
      </c>
      <c r="P734" s="0" t="str">
        <f aca="false">IF(AND(TRIM(C734)&lt;&gt;"",COUNTIF(C$2:C734,C734)=1),MAX(P$1:P733)+1,"")</f>
        <v/>
      </c>
      <c r="Q734" s="0" t="str">
        <f aca="false">IF(AND(TRIM(F734)&lt;&gt;"",COUNTIF(F$2:F734,F734)=1),MAX(Q$1:Q733)+1,"")</f>
        <v/>
      </c>
    </row>
    <row r="735" customFormat="false" ht="15" hidden="false" customHeight="false" outlineLevel="0" collapsed="false">
      <c r="A735" s="9"/>
      <c r="B735" s="10"/>
      <c r="C735" s="11"/>
      <c r="D735" s="11"/>
      <c r="E735" s="11"/>
      <c r="F735" s="11"/>
      <c r="G735" s="12"/>
      <c r="H735" s="12"/>
      <c r="I735" s="10"/>
      <c r="J735" s="12"/>
      <c r="K735" s="13" t="str">
        <f aca="false">IF(ISNUMBER(B735),YEAR(B735),"")</f>
        <v/>
      </c>
      <c r="L735" s="13" t="str">
        <f aca="false">IF(ISNUMBER(B735),MONTH(B735),"")</f>
        <v/>
      </c>
      <c r="M735" s="13" t="str">
        <f aca="false">IF(AND(ISNUMBER(B735),ISNUMBER(I735)),B735-I735+1,"")</f>
        <v/>
      </c>
      <c r="N735" s="14" t="str">
        <f aca="false">IF(B735="","",IF(M735="","시작일 미입력",IF(M735&lt;1,"시작일 이전(확인)",IF(M735=1,"1일째",IF(M735=2,"2일째",IF(M735=3,"3일째",IF(M735&lt;=7,"일주일 이내",IF(M735&lt;=14,"이주일 이내","15일 이후"))))))))</f>
        <v/>
      </c>
      <c r="O735" s="0" t="str">
        <f aca="false">IF(AND(COUNTA($A735:$J735)&gt;0,OR(클레임조회!$C$4="",AND(ISNUMBER($B735),$B735&gt;=클레임조회!$C$4)),OR(클레임조회!$C$5="",AND(ISNUMBER($B735),$B735&lt;=클레임조회!$C$5)),OR(클레임조회!$C$6="",$C735=클레임조회!$C$6),OR(클레임조회!$C$7="",$D735=클레임조회!$C$7),OR(클레임조회!$C$8="",$E735=클레임조회!$C$8),OR(클레임조회!$C$9="",$F735=클레임조회!$C$9),OR(클레임조회!$C$10="",ISNUMBER(SEARCH(클레임조회!$C$10,$C735&amp;" "&amp;$F735&amp;" "&amp;$G735&amp;" "&amp;$H735)))),COUNT(O$1:O734)+1,"")</f>
        <v/>
      </c>
      <c r="P735" s="0" t="str">
        <f aca="false">IF(AND(TRIM(C735)&lt;&gt;"",COUNTIF(C$2:C735,C735)=1),MAX(P$1:P734)+1,"")</f>
        <v/>
      </c>
      <c r="Q735" s="0" t="str">
        <f aca="false">IF(AND(TRIM(F735)&lt;&gt;"",COUNTIF(F$2:F735,F735)=1),MAX(Q$1:Q734)+1,"")</f>
        <v/>
      </c>
    </row>
    <row r="736" customFormat="false" ht="15" hidden="false" customHeight="false" outlineLevel="0" collapsed="false">
      <c r="A736" s="9"/>
      <c r="B736" s="10"/>
      <c r="C736" s="11"/>
      <c r="D736" s="11"/>
      <c r="E736" s="11"/>
      <c r="F736" s="11"/>
      <c r="G736" s="12"/>
      <c r="H736" s="12"/>
      <c r="I736" s="10"/>
      <c r="J736" s="12"/>
      <c r="K736" s="13" t="str">
        <f aca="false">IF(ISNUMBER(B736),YEAR(B736),"")</f>
        <v/>
      </c>
      <c r="L736" s="13" t="str">
        <f aca="false">IF(ISNUMBER(B736),MONTH(B736),"")</f>
        <v/>
      </c>
      <c r="M736" s="13" t="str">
        <f aca="false">IF(AND(ISNUMBER(B736),ISNUMBER(I736)),B736-I736+1,"")</f>
        <v/>
      </c>
      <c r="N736" s="14" t="str">
        <f aca="false">IF(B736="","",IF(M736="","시작일 미입력",IF(M736&lt;1,"시작일 이전(확인)",IF(M736=1,"1일째",IF(M736=2,"2일째",IF(M736=3,"3일째",IF(M736&lt;=7,"일주일 이내",IF(M736&lt;=14,"이주일 이내","15일 이후"))))))))</f>
        <v/>
      </c>
      <c r="O736" s="0" t="str">
        <f aca="false">IF(AND(COUNTA($A736:$J736)&gt;0,OR(클레임조회!$C$4="",AND(ISNUMBER($B736),$B736&gt;=클레임조회!$C$4)),OR(클레임조회!$C$5="",AND(ISNUMBER($B736),$B736&lt;=클레임조회!$C$5)),OR(클레임조회!$C$6="",$C736=클레임조회!$C$6),OR(클레임조회!$C$7="",$D736=클레임조회!$C$7),OR(클레임조회!$C$8="",$E736=클레임조회!$C$8),OR(클레임조회!$C$9="",$F736=클레임조회!$C$9),OR(클레임조회!$C$10="",ISNUMBER(SEARCH(클레임조회!$C$10,$C736&amp;" "&amp;$F736&amp;" "&amp;$G736&amp;" "&amp;$H736)))),COUNT(O$1:O735)+1,"")</f>
        <v/>
      </c>
      <c r="P736" s="0" t="str">
        <f aca="false">IF(AND(TRIM(C736)&lt;&gt;"",COUNTIF(C$2:C736,C736)=1),MAX(P$1:P735)+1,"")</f>
        <v/>
      </c>
      <c r="Q736" s="0" t="str">
        <f aca="false">IF(AND(TRIM(F736)&lt;&gt;"",COUNTIF(F$2:F736,F736)=1),MAX(Q$1:Q735)+1,"")</f>
        <v/>
      </c>
    </row>
    <row r="737" customFormat="false" ht="15" hidden="false" customHeight="false" outlineLevel="0" collapsed="false">
      <c r="A737" s="9"/>
      <c r="B737" s="10"/>
      <c r="C737" s="11"/>
      <c r="D737" s="11"/>
      <c r="E737" s="11"/>
      <c r="F737" s="11"/>
      <c r="G737" s="12"/>
      <c r="H737" s="12"/>
      <c r="I737" s="10"/>
      <c r="J737" s="12"/>
      <c r="K737" s="13" t="str">
        <f aca="false">IF(ISNUMBER(B737),YEAR(B737),"")</f>
        <v/>
      </c>
      <c r="L737" s="13" t="str">
        <f aca="false">IF(ISNUMBER(B737),MONTH(B737),"")</f>
        <v/>
      </c>
      <c r="M737" s="13" t="str">
        <f aca="false">IF(AND(ISNUMBER(B737),ISNUMBER(I737)),B737-I737+1,"")</f>
        <v/>
      </c>
      <c r="N737" s="14" t="str">
        <f aca="false">IF(B737="","",IF(M737="","시작일 미입력",IF(M737&lt;1,"시작일 이전(확인)",IF(M737=1,"1일째",IF(M737=2,"2일째",IF(M737=3,"3일째",IF(M737&lt;=7,"일주일 이내",IF(M737&lt;=14,"이주일 이내","15일 이후"))))))))</f>
        <v/>
      </c>
      <c r="O737" s="0" t="str">
        <f aca="false">IF(AND(COUNTA($A737:$J737)&gt;0,OR(클레임조회!$C$4="",AND(ISNUMBER($B737),$B737&gt;=클레임조회!$C$4)),OR(클레임조회!$C$5="",AND(ISNUMBER($B737),$B737&lt;=클레임조회!$C$5)),OR(클레임조회!$C$6="",$C737=클레임조회!$C$6),OR(클레임조회!$C$7="",$D737=클레임조회!$C$7),OR(클레임조회!$C$8="",$E737=클레임조회!$C$8),OR(클레임조회!$C$9="",$F737=클레임조회!$C$9),OR(클레임조회!$C$10="",ISNUMBER(SEARCH(클레임조회!$C$10,$C737&amp;" "&amp;$F737&amp;" "&amp;$G737&amp;" "&amp;$H737)))),COUNT(O$1:O736)+1,"")</f>
        <v/>
      </c>
      <c r="P737" s="0" t="str">
        <f aca="false">IF(AND(TRIM(C737)&lt;&gt;"",COUNTIF(C$2:C737,C737)=1),MAX(P$1:P736)+1,"")</f>
        <v/>
      </c>
      <c r="Q737" s="0" t="str">
        <f aca="false">IF(AND(TRIM(F737)&lt;&gt;"",COUNTIF(F$2:F737,F737)=1),MAX(Q$1:Q736)+1,"")</f>
        <v/>
      </c>
    </row>
    <row r="738" customFormat="false" ht="15" hidden="false" customHeight="false" outlineLevel="0" collapsed="false">
      <c r="A738" s="9"/>
      <c r="B738" s="10"/>
      <c r="C738" s="11"/>
      <c r="D738" s="11"/>
      <c r="E738" s="11"/>
      <c r="F738" s="11"/>
      <c r="G738" s="12"/>
      <c r="H738" s="12"/>
      <c r="I738" s="10"/>
      <c r="J738" s="12"/>
      <c r="K738" s="13" t="str">
        <f aca="false">IF(ISNUMBER(B738),YEAR(B738),"")</f>
        <v/>
      </c>
      <c r="L738" s="13" t="str">
        <f aca="false">IF(ISNUMBER(B738),MONTH(B738),"")</f>
        <v/>
      </c>
      <c r="M738" s="13" t="str">
        <f aca="false">IF(AND(ISNUMBER(B738),ISNUMBER(I738)),B738-I738+1,"")</f>
        <v/>
      </c>
      <c r="N738" s="14" t="str">
        <f aca="false">IF(B738="","",IF(M738="","시작일 미입력",IF(M738&lt;1,"시작일 이전(확인)",IF(M738=1,"1일째",IF(M738=2,"2일째",IF(M738=3,"3일째",IF(M738&lt;=7,"일주일 이내",IF(M738&lt;=14,"이주일 이내","15일 이후"))))))))</f>
        <v/>
      </c>
      <c r="O738" s="0" t="str">
        <f aca="false">IF(AND(COUNTA($A738:$J738)&gt;0,OR(클레임조회!$C$4="",AND(ISNUMBER($B738),$B738&gt;=클레임조회!$C$4)),OR(클레임조회!$C$5="",AND(ISNUMBER($B738),$B738&lt;=클레임조회!$C$5)),OR(클레임조회!$C$6="",$C738=클레임조회!$C$6),OR(클레임조회!$C$7="",$D738=클레임조회!$C$7),OR(클레임조회!$C$8="",$E738=클레임조회!$C$8),OR(클레임조회!$C$9="",$F738=클레임조회!$C$9),OR(클레임조회!$C$10="",ISNUMBER(SEARCH(클레임조회!$C$10,$C738&amp;" "&amp;$F738&amp;" "&amp;$G738&amp;" "&amp;$H738)))),COUNT(O$1:O737)+1,"")</f>
        <v/>
      </c>
      <c r="P738" s="0" t="str">
        <f aca="false">IF(AND(TRIM(C738)&lt;&gt;"",COUNTIF(C$2:C738,C738)=1),MAX(P$1:P737)+1,"")</f>
        <v/>
      </c>
      <c r="Q738" s="0" t="str">
        <f aca="false">IF(AND(TRIM(F738)&lt;&gt;"",COUNTIF(F$2:F738,F738)=1),MAX(Q$1:Q737)+1,"")</f>
        <v/>
      </c>
    </row>
    <row r="739" customFormat="false" ht="15" hidden="false" customHeight="false" outlineLevel="0" collapsed="false">
      <c r="A739" s="9"/>
      <c r="B739" s="10"/>
      <c r="C739" s="11"/>
      <c r="D739" s="11"/>
      <c r="E739" s="11"/>
      <c r="F739" s="11"/>
      <c r="G739" s="12"/>
      <c r="H739" s="12"/>
      <c r="I739" s="10"/>
      <c r="J739" s="12"/>
      <c r="K739" s="13" t="str">
        <f aca="false">IF(ISNUMBER(B739),YEAR(B739),"")</f>
        <v/>
      </c>
      <c r="L739" s="13" t="str">
        <f aca="false">IF(ISNUMBER(B739),MONTH(B739),"")</f>
        <v/>
      </c>
      <c r="M739" s="13" t="str">
        <f aca="false">IF(AND(ISNUMBER(B739),ISNUMBER(I739)),B739-I739+1,"")</f>
        <v/>
      </c>
      <c r="N739" s="14" t="str">
        <f aca="false">IF(B739="","",IF(M739="","시작일 미입력",IF(M739&lt;1,"시작일 이전(확인)",IF(M739=1,"1일째",IF(M739=2,"2일째",IF(M739=3,"3일째",IF(M739&lt;=7,"일주일 이내",IF(M739&lt;=14,"이주일 이내","15일 이후"))))))))</f>
        <v/>
      </c>
      <c r="O739" s="0" t="str">
        <f aca="false">IF(AND(COUNTA($A739:$J739)&gt;0,OR(클레임조회!$C$4="",AND(ISNUMBER($B739),$B739&gt;=클레임조회!$C$4)),OR(클레임조회!$C$5="",AND(ISNUMBER($B739),$B739&lt;=클레임조회!$C$5)),OR(클레임조회!$C$6="",$C739=클레임조회!$C$6),OR(클레임조회!$C$7="",$D739=클레임조회!$C$7),OR(클레임조회!$C$8="",$E739=클레임조회!$C$8),OR(클레임조회!$C$9="",$F739=클레임조회!$C$9),OR(클레임조회!$C$10="",ISNUMBER(SEARCH(클레임조회!$C$10,$C739&amp;" "&amp;$F739&amp;" "&amp;$G739&amp;" "&amp;$H739)))),COUNT(O$1:O738)+1,"")</f>
        <v/>
      </c>
      <c r="P739" s="0" t="str">
        <f aca="false">IF(AND(TRIM(C739)&lt;&gt;"",COUNTIF(C$2:C739,C739)=1),MAX(P$1:P738)+1,"")</f>
        <v/>
      </c>
      <c r="Q739" s="0" t="str">
        <f aca="false">IF(AND(TRIM(F739)&lt;&gt;"",COUNTIF(F$2:F739,F739)=1),MAX(Q$1:Q738)+1,"")</f>
        <v/>
      </c>
    </row>
    <row r="740" customFormat="false" ht="15" hidden="false" customHeight="false" outlineLevel="0" collapsed="false">
      <c r="A740" s="9"/>
      <c r="B740" s="10"/>
      <c r="C740" s="11"/>
      <c r="D740" s="11"/>
      <c r="E740" s="11"/>
      <c r="F740" s="11"/>
      <c r="G740" s="12"/>
      <c r="H740" s="12"/>
      <c r="I740" s="10"/>
      <c r="J740" s="12"/>
      <c r="K740" s="13" t="str">
        <f aca="false">IF(ISNUMBER(B740),YEAR(B740),"")</f>
        <v/>
      </c>
      <c r="L740" s="13" t="str">
        <f aca="false">IF(ISNUMBER(B740),MONTH(B740),"")</f>
        <v/>
      </c>
      <c r="M740" s="13" t="str">
        <f aca="false">IF(AND(ISNUMBER(B740),ISNUMBER(I740)),B740-I740+1,"")</f>
        <v/>
      </c>
      <c r="N740" s="14" t="str">
        <f aca="false">IF(B740="","",IF(M740="","시작일 미입력",IF(M740&lt;1,"시작일 이전(확인)",IF(M740=1,"1일째",IF(M740=2,"2일째",IF(M740=3,"3일째",IF(M740&lt;=7,"일주일 이내",IF(M740&lt;=14,"이주일 이내","15일 이후"))))))))</f>
        <v/>
      </c>
      <c r="O740" s="0" t="str">
        <f aca="false">IF(AND(COUNTA($A740:$J740)&gt;0,OR(클레임조회!$C$4="",AND(ISNUMBER($B740),$B740&gt;=클레임조회!$C$4)),OR(클레임조회!$C$5="",AND(ISNUMBER($B740),$B740&lt;=클레임조회!$C$5)),OR(클레임조회!$C$6="",$C740=클레임조회!$C$6),OR(클레임조회!$C$7="",$D740=클레임조회!$C$7),OR(클레임조회!$C$8="",$E740=클레임조회!$C$8),OR(클레임조회!$C$9="",$F740=클레임조회!$C$9),OR(클레임조회!$C$10="",ISNUMBER(SEARCH(클레임조회!$C$10,$C740&amp;" "&amp;$F740&amp;" "&amp;$G740&amp;" "&amp;$H740)))),COUNT(O$1:O739)+1,"")</f>
        <v/>
      </c>
      <c r="P740" s="0" t="str">
        <f aca="false">IF(AND(TRIM(C740)&lt;&gt;"",COUNTIF(C$2:C740,C740)=1),MAX(P$1:P739)+1,"")</f>
        <v/>
      </c>
      <c r="Q740" s="0" t="str">
        <f aca="false">IF(AND(TRIM(F740)&lt;&gt;"",COUNTIF(F$2:F740,F740)=1),MAX(Q$1:Q739)+1,"")</f>
        <v/>
      </c>
    </row>
    <row r="741" customFormat="false" ht="15" hidden="false" customHeight="false" outlineLevel="0" collapsed="false">
      <c r="A741" s="9"/>
      <c r="B741" s="10"/>
      <c r="C741" s="11"/>
      <c r="D741" s="11"/>
      <c r="E741" s="11"/>
      <c r="F741" s="11"/>
      <c r="G741" s="12"/>
      <c r="H741" s="12"/>
      <c r="I741" s="10"/>
      <c r="J741" s="12"/>
      <c r="K741" s="13" t="str">
        <f aca="false">IF(ISNUMBER(B741),YEAR(B741),"")</f>
        <v/>
      </c>
      <c r="L741" s="13" t="str">
        <f aca="false">IF(ISNUMBER(B741),MONTH(B741),"")</f>
        <v/>
      </c>
      <c r="M741" s="13" t="str">
        <f aca="false">IF(AND(ISNUMBER(B741),ISNUMBER(I741)),B741-I741+1,"")</f>
        <v/>
      </c>
      <c r="N741" s="14" t="str">
        <f aca="false">IF(B741="","",IF(M741="","시작일 미입력",IF(M741&lt;1,"시작일 이전(확인)",IF(M741=1,"1일째",IF(M741=2,"2일째",IF(M741=3,"3일째",IF(M741&lt;=7,"일주일 이내",IF(M741&lt;=14,"이주일 이내","15일 이후"))))))))</f>
        <v/>
      </c>
      <c r="O741" s="0" t="str">
        <f aca="false">IF(AND(COUNTA($A741:$J741)&gt;0,OR(클레임조회!$C$4="",AND(ISNUMBER($B741),$B741&gt;=클레임조회!$C$4)),OR(클레임조회!$C$5="",AND(ISNUMBER($B741),$B741&lt;=클레임조회!$C$5)),OR(클레임조회!$C$6="",$C741=클레임조회!$C$6),OR(클레임조회!$C$7="",$D741=클레임조회!$C$7),OR(클레임조회!$C$8="",$E741=클레임조회!$C$8),OR(클레임조회!$C$9="",$F741=클레임조회!$C$9),OR(클레임조회!$C$10="",ISNUMBER(SEARCH(클레임조회!$C$10,$C741&amp;" "&amp;$F741&amp;" "&amp;$G741&amp;" "&amp;$H741)))),COUNT(O$1:O740)+1,"")</f>
        <v/>
      </c>
      <c r="P741" s="0" t="str">
        <f aca="false">IF(AND(TRIM(C741)&lt;&gt;"",COUNTIF(C$2:C741,C741)=1),MAX(P$1:P740)+1,"")</f>
        <v/>
      </c>
      <c r="Q741" s="0" t="str">
        <f aca="false">IF(AND(TRIM(F741)&lt;&gt;"",COUNTIF(F$2:F741,F741)=1),MAX(Q$1:Q740)+1,"")</f>
        <v/>
      </c>
    </row>
    <row r="742" customFormat="false" ht="15" hidden="false" customHeight="false" outlineLevel="0" collapsed="false">
      <c r="A742" s="9"/>
      <c r="B742" s="10"/>
      <c r="C742" s="11"/>
      <c r="D742" s="11"/>
      <c r="E742" s="11"/>
      <c r="F742" s="11"/>
      <c r="G742" s="12"/>
      <c r="H742" s="12"/>
      <c r="I742" s="10"/>
      <c r="J742" s="12"/>
      <c r="K742" s="13" t="str">
        <f aca="false">IF(ISNUMBER(B742),YEAR(B742),"")</f>
        <v/>
      </c>
      <c r="L742" s="13" t="str">
        <f aca="false">IF(ISNUMBER(B742),MONTH(B742),"")</f>
        <v/>
      </c>
      <c r="M742" s="13" t="str">
        <f aca="false">IF(AND(ISNUMBER(B742),ISNUMBER(I742)),B742-I742+1,"")</f>
        <v/>
      </c>
      <c r="N742" s="14" t="str">
        <f aca="false">IF(B742="","",IF(M742="","시작일 미입력",IF(M742&lt;1,"시작일 이전(확인)",IF(M742=1,"1일째",IF(M742=2,"2일째",IF(M742=3,"3일째",IF(M742&lt;=7,"일주일 이내",IF(M742&lt;=14,"이주일 이내","15일 이후"))))))))</f>
        <v/>
      </c>
      <c r="O742" s="0" t="str">
        <f aca="false">IF(AND(COUNTA($A742:$J742)&gt;0,OR(클레임조회!$C$4="",AND(ISNUMBER($B742),$B742&gt;=클레임조회!$C$4)),OR(클레임조회!$C$5="",AND(ISNUMBER($B742),$B742&lt;=클레임조회!$C$5)),OR(클레임조회!$C$6="",$C742=클레임조회!$C$6),OR(클레임조회!$C$7="",$D742=클레임조회!$C$7),OR(클레임조회!$C$8="",$E742=클레임조회!$C$8),OR(클레임조회!$C$9="",$F742=클레임조회!$C$9),OR(클레임조회!$C$10="",ISNUMBER(SEARCH(클레임조회!$C$10,$C742&amp;" "&amp;$F742&amp;" "&amp;$G742&amp;" "&amp;$H742)))),COUNT(O$1:O741)+1,"")</f>
        <v/>
      </c>
      <c r="P742" s="0" t="str">
        <f aca="false">IF(AND(TRIM(C742)&lt;&gt;"",COUNTIF(C$2:C742,C742)=1),MAX(P$1:P741)+1,"")</f>
        <v/>
      </c>
      <c r="Q742" s="0" t="str">
        <f aca="false">IF(AND(TRIM(F742)&lt;&gt;"",COUNTIF(F$2:F742,F742)=1),MAX(Q$1:Q741)+1,"")</f>
        <v/>
      </c>
    </row>
    <row r="743" customFormat="false" ht="15" hidden="false" customHeight="false" outlineLevel="0" collapsed="false">
      <c r="A743" s="9"/>
      <c r="B743" s="10"/>
      <c r="C743" s="11"/>
      <c r="D743" s="11"/>
      <c r="E743" s="11"/>
      <c r="F743" s="11"/>
      <c r="G743" s="12"/>
      <c r="H743" s="12"/>
      <c r="I743" s="10"/>
      <c r="J743" s="12"/>
      <c r="K743" s="13" t="str">
        <f aca="false">IF(ISNUMBER(B743),YEAR(B743),"")</f>
        <v/>
      </c>
      <c r="L743" s="13" t="str">
        <f aca="false">IF(ISNUMBER(B743),MONTH(B743),"")</f>
        <v/>
      </c>
      <c r="M743" s="13" t="str">
        <f aca="false">IF(AND(ISNUMBER(B743),ISNUMBER(I743)),B743-I743+1,"")</f>
        <v/>
      </c>
      <c r="N743" s="14" t="str">
        <f aca="false">IF(B743="","",IF(M743="","시작일 미입력",IF(M743&lt;1,"시작일 이전(확인)",IF(M743=1,"1일째",IF(M743=2,"2일째",IF(M743=3,"3일째",IF(M743&lt;=7,"일주일 이내",IF(M743&lt;=14,"이주일 이내","15일 이후"))))))))</f>
        <v/>
      </c>
      <c r="O743" s="0" t="str">
        <f aca="false">IF(AND(COUNTA($A743:$J743)&gt;0,OR(클레임조회!$C$4="",AND(ISNUMBER($B743),$B743&gt;=클레임조회!$C$4)),OR(클레임조회!$C$5="",AND(ISNUMBER($B743),$B743&lt;=클레임조회!$C$5)),OR(클레임조회!$C$6="",$C743=클레임조회!$C$6),OR(클레임조회!$C$7="",$D743=클레임조회!$C$7),OR(클레임조회!$C$8="",$E743=클레임조회!$C$8),OR(클레임조회!$C$9="",$F743=클레임조회!$C$9),OR(클레임조회!$C$10="",ISNUMBER(SEARCH(클레임조회!$C$10,$C743&amp;" "&amp;$F743&amp;" "&amp;$G743&amp;" "&amp;$H743)))),COUNT(O$1:O742)+1,"")</f>
        <v/>
      </c>
      <c r="P743" s="0" t="str">
        <f aca="false">IF(AND(TRIM(C743)&lt;&gt;"",COUNTIF(C$2:C743,C743)=1),MAX(P$1:P742)+1,"")</f>
        <v/>
      </c>
      <c r="Q743" s="0" t="str">
        <f aca="false">IF(AND(TRIM(F743)&lt;&gt;"",COUNTIF(F$2:F743,F743)=1),MAX(Q$1:Q742)+1,"")</f>
        <v/>
      </c>
    </row>
    <row r="744" customFormat="false" ht="15" hidden="false" customHeight="false" outlineLevel="0" collapsed="false">
      <c r="A744" s="9"/>
      <c r="B744" s="10"/>
      <c r="C744" s="11"/>
      <c r="D744" s="11"/>
      <c r="E744" s="11"/>
      <c r="F744" s="11"/>
      <c r="G744" s="12"/>
      <c r="H744" s="12"/>
      <c r="I744" s="10"/>
      <c r="J744" s="12"/>
      <c r="K744" s="13" t="str">
        <f aca="false">IF(ISNUMBER(B744),YEAR(B744),"")</f>
        <v/>
      </c>
      <c r="L744" s="13" t="str">
        <f aca="false">IF(ISNUMBER(B744),MONTH(B744),"")</f>
        <v/>
      </c>
      <c r="M744" s="13" t="str">
        <f aca="false">IF(AND(ISNUMBER(B744),ISNUMBER(I744)),B744-I744+1,"")</f>
        <v/>
      </c>
      <c r="N744" s="14" t="str">
        <f aca="false">IF(B744="","",IF(M744="","시작일 미입력",IF(M744&lt;1,"시작일 이전(확인)",IF(M744=1,"1일째",IF(M744=2,"2일째",IF(M744=3,"3일째",IF(M744&lt;=7,"일주일 이내",IF(M744&lt;=14,"이주일 이내","15일 이후"))))))))</f>
        <v/>
      </c>
      <c r="O744" s="0" t="str">
        <f aca="false">IF(AND(COUNTA($A744:$J744)&gt;0,OR(클레임조회!$C$4="",AND(ISNUMBER($B744),$B744&gt;=클레임조회!$C$4)),OR(클레임조회!$C$5="",AND(ISNUMBER($B744),$B744&lt;=클레임조회!$C$5)),OR(클레임조회!$C$6="",$C744=클레임조회!$C$6),OR(클레임조회!$C$7="",$D744=클레임조회!$C$7),OR(클레임조회!$C$8="",$E744=클레임조회!$C$8),OR(클레임조회!$C$9="",$F744=클레임조회!$C$9),OR(클레임조회!$C$10="",ISNUMBER(SEARCH(클레임조회!$C$10,$C744&amp;" "&amp;$F744&amp;" "&amp;$G744&amp;" "&amp;$H744)))),COUNT(O$1:O743)+1,"")</f>
        <v/>
      </c>
      <c r="P744" s="0" t="str">
        <f aca="false">IF(AND(TRIM(C744)&lt;&gt;"",COUNTIF(C$2:C744,C744)=1),MAX(P$1:P743)+1,"")</f>
        <v/>
      </c>
      <c r="Q744" s="0" t="str">
        <f aca="false">IF(AND(TRIM(F744)&lt;&gt;"",COUNTIF(F$2:F744,F744)=1),MAX(Q$1:Q743)+1,"")</f>
        <v/>
      </c>
    </row>
    <row r="745" customFormat="false" ht="15" hidden="false" customHeight="false" outlineLevel="0" collapsed="false">
      <c r="A745" s="9"/>
      <c r="B745" s="10"/>
      <c r="C745" s="11"/>
      <c r="D745" s="11"/>
      <c r="E745" s="11"/>
      <c r="F745" s="11"/>
      <c r="G745" s="12"/>
      <c r="H745" s="12"/>
      <c r="I745" s="10"/>
      <c r="J745" s="12"/>
      <c r="K745" s="13" t="str">
        <f aca="false">IF(ISNUMBER(B745),YEAR(B745),"")</f>
        <v/>
      </c>
      <c r="L745" s="13" t="str">
        <f aca="false">IF(ISNUMBER(B745),MONTH(B745),"")</f>
        <v/>
      </c>
      <c r="M745" s="13" t="str">
        <f aca="false">IF(AND(ISNUMBER(B745),ISNUMBER(I745)),B745-I745+1,"")</f>
        <v/>
      </c>
      <c r="N745" s="14" t="str">
        <f aca="false">IF(B745="","",IF(M745="","시작일 미입력",IF(M745&lt;1,"시작일 이전(확인)",IF(M745=1,"1일째",IF(M745=2,"2일째",IF(M745=3,"3일째",IF(M745&lt;=7,"일주일 이내",IF(M745&lt;=14,"이주일 이내","15일 이후"))))))))</f>
        <v/>
      </c>
      <c r="O745" s="0" t="str">
        <f aca="false">IF(AND(COUNTA($A745:$J745)&gt;0,OR(클레임조회!$C$4="",AND(ISNUMBER($B745),$B745&gt;=클레임조회!$C$4)),OR(클레임조회!$C$5="",AND(ISNUMBER($B745),$B745&lt;=클레임조회!$C$5)),OR(클레임조회!$C$6="",$C745=클레임조회!$C$6),OR(클레임조회!$C$7="",$D745=클레임조회!$C$7),OR(클레임조회!$C$8="",$E745=클레임조회!$C$8),OR(클레임조회!$C$9="",$F745=클레임조회!$C$9),OR(클레임조회!$C$10="",ISNUMBER(SEARCH(클레임조회!$C$10,$C745&amp;" "&amp;$F745&amp;" "&amp;$G745&amp;" "&amp;$H745)))),COUNT(O$1:O744)+1,"")</f>
        <v/>
      </c>
      <c r="P745" s="0" t="str">
        <f aca="false">IF(AND(TRIM(C745)&lt;&gt;"",COUNTIF(C$2:C745,C745)=1),MAX(P$1:P744)+1,"")</f>
        <v/>
      </c>
      <c r="Q745" s="0" t="str">
        <f aca="false">IF(AND(TRIM(F745)&lt;&gt;"",COUNTIF(F$2:F745,F745)=1),MAX(Q$1:Q744)+1,"")</f>
        <v/>
      </c>
    </row>
    <row r="746" customFormat="false" ht="15" hidden="false" customHeight="false" outlineLevel="0" collapsed="false">
      <c r="A746" s="9"/>
      <c r="B746" s="10"/>
      <c r="C746" s="11"/>
      <c r="D746" s="11"/>
      <c r="E746" s="11"/>
      <c r="F746" s="11"/>
      <c r="G746" s="12"/>
      <c r="H746" s="12"/>
      <c r="I746" s="10"/>
      <c r="J746" s="12"/>
      <c r="K746" s="13" t="str">
        <f aca="false">IF(ISNUMBER(B746),YEAR(B746),"")</f>
        <v/>
      </c>
      <c r="L746" s="13" t="str">
        <f aca="false">IF(ISNUMBER(B746),MONTH(B746),"")</f>
        <v/>
      </c>
      <c r="M746" s="13" t="str">
        <f aca="false">IF(AND(ISNUMBER(B746),ISNUMBER(I746)),B746-I746+1,"")</f>
        <v/>
      </c>
      <c r="N746" s="14" t="str">
        <f aca="false">IF(B746="","",IF(M746="","시작일 미입력",IF(M746&lt;1,"시작일 이전(확인)",IF(M746=1,"1일째",IF(M746=2,"2일째",IF(M746=3,"3일째",IF(M746&lt;=7,"일주일 이내",IF(M746&lt;=14,"이주일 이내","15일 이후"))))))))</f>
        <v/>
      </c>
      <c r="O746" s="0" t="str">
        <f aca="false">IF(AND(COUNTA($A746:$J746)&gt;0,OR(클레임조회!$C$4="",AND(ISNUMBER($B746),$B746&gt;=클레임조회!$C$4)),OR(클레임조회!$C$5="",AND(ISNUMBER($B746),$B746&lt;=클레임조회!$C$5)),OR(클레임조회!$C$6="",$C746=클레임조회!$C$6),OR(클레임조회!$C$7="",$D746=클레임조회!$C$7),OR(클레임조회!$C$8="",$E746=클레임조회!$C$8),OR(클레임조회!$C$9="",$F746=클레임조회!$C$9),OR(클레임조회!$C$10="",ISNUMBER(SEARCH(클레임조회!$C$10,$C746&amp;" "&amp;$F746&amp;" "&amp;$G746&amp;" "&amp;$H746)))),COUNT(O$1:O745)+1,"")</f>
        <v/>
      </c>
      <c r="P746" s="0" t="str">
        <f aca="false">IF(AND(TRIM(C746)&lt;&gt;"",COUNTIF(C$2:C746,C746)=1),MAX(P$1:P745)+1,"")</f>
        <v/>
      </c>
      <c r="Q746" s="0" t="str">
        <f aca="false">IF(AND(TRIM(F746)&lt;&gt;"",COUNTIF(F$2:F746,F746)=1),MAX(Q$1:Q745)+1,"")</f>
        <v/>
      </c>
    </row>
    <row r="747" customFormat="false" ht="15" hidden="false" customHeight="false" outlineLevel="0" collapsed="false">
      <c r="A747" s="9"/>
      <c r="B747" s="10"/>
      <c r="C747" s="11"/>
      <c r="D747" s="11"/>
      <c r="E747" s="11"/>
      <c r="F747" s="11"/>
      <c r="G747" s="12"/>
      <c r="H747" s="12"/>
      <c r="I747" s="10"/>
      <c r="J747" s="12"/>
      <c r="K747" s="13" t="str">
        <f aca="false">IF(ISNUMBER(B747),YEAR(B747),"")</f>
        <v/>
      </c>
      <c r="L747" s="13" t="str">
        <f aca="false">IF(ISNUMBER(B747),MONTH(B747),"")</f>
        <v/>
      </c>
      <c r="M747" s="13" t="str">
        <f aca="false">IF(AND(ISNUMBER(B747),ISNUMBER(I747)),B747-I747+1,"")</f>
        <v/>
      </c>
      <c r="N747" s="14" t="str">
        <f aca="false">IF(B747="","",IF(M747="","시작일 미입력",IF(M747&lt;1,"시작일 이전(확인)",IF(M747=1,"1일째",IF(M747=2,"2일째",IF(M747=3,"3일째",IF(M747&lt;=7,"일주일 이내",IF(M747&lt;=14,"이주일 이내","15일 이후"))))))))</f>
        <v/>
      </c>
      <c r="O747" s="0" t="str">
        <f aca="false">IF(AND(COUNTA($A747:$J747)&gt;0,OR(클레임조회!$C$4="",AND(ISNUMBER($B747),$B747&gt;=클레임조회!$C$4)),OR(클레임조회!$C$5="",AND(ISNUMBER($B747),$B747&lt;=클레임조회!$C$5)),OR(클레임조회!$C$6="",$C747=클레임조회!$C$6),OR(클레임조회!$C$7="",$D747=클레임조회!$C$7),OR(클레임조회!$C$8="",$E747=클레임조회!$C$8),OR(클레임조회!$C$9="",$F747=클레임조회!$C$9),OR(클레임조회!$C$10="",ISNUMBER(SEARCH(클레임조회!$C$10,$C747&amp;" "&amp;$F747&amp;" "&amp;$G747&amp;" "&amp;$H747)))),COUNT(O$1:O746)+1,"")</f>
        <v/>
      </c>
      <c r="P747" s="0" t="str">
        <f aca="false">IF(AND(TRIM(C747)&lt;&gt;"",COUNTIF(C$2:C747,C747)=1),MAX(P$1:P746)+1,"")</f>
        <v/>
      </c>
      <c r="Q747" s="0" t="str">
        <f aca="false">IF(AND(TRIM(F747)&lt;&gt;"",COUNTIF(F$2:F747,F747)=1),MAX(Q$1:Q746)+1,"")</f>
        <v/>
      </c>
    </row>
    <row r="748" customFormat="false" ht="15" hidden="false" customHeight="false" outlineLevel="0" collapsed="false">
      <c r="A748" s="9"/>
      <c r="B748" s="10"/>
      <c r="C748" s="11"/>
      <c r="D748" s="11"/>
      <c r="E748" s="11"/>
      <c r="F748" s="11"/>
      <c r="G748" s="12"/>
      <c r="H748" s="12"/>
      <c r="I748" s="10"/>
      <c r="J748" s="12"/>
      <c r="K748" s="13" t="str">
        <f aca="false">IF(ISNUMBER(B748),YEAR(B748),"")</f>
        <v/>
      </c>
      <c r="L748" s="13" t="str">
        <f aca="false">IF(ISNUMBER(B748),MONTH(B748),"")</f>
        <v/>
      </c>
      <c r="M748" s="13" t="str">
        <f aca="false">IF(AND(ISNUMBER(B748),ISNUMBER(I748)),B748-I748+1,"")</f>
        <v/>
      </c>
      <c r="N748" s="14" t="str">
        <f aca="false">IF(B748="","",IF(M748="","시작일 미입력",IF(M748&lt;1,"시작일 이전(확인)",IF(M748=1,"1일째",IF(M748=2,"2일째",IF(M748=3,"3일째",IF(M748&lt;=7,"일주일 이내",IF(M748&lt;=14,"이주일 이내","15일 이후"))))))))</f>
        <v/>
      </c>
      <c r="O748" s="0" t="str">
        <f aca="false">IF(AND(COUNTA($A748:$J748)&gt;0,OR(클레임조회!$C$4="",AND(ISNUMBER($B748),$B748&gt;=클레임조회!$C$4)),OR(클레임조회!$C$5="",AND(ISNUMBER($B748),$B748&lt;=클레임조회!$C$5)),OR(클레임조회!$C$6="",$C748=클레임조회!$C$6),OR(클레임조회!$C$7="",$D748=클레임조회!$C$7),OR(클레임조회!$C$8="",$E748=클레임조회!$C$8),OR(클레임조회!$C$9="",$F748=클레임조회!$C$9),OR(클레임조회!$C$10="",ISNUMBER(SEARCH(클레임조회!$C$10,$C748&amp;" "&amp;$F748&amp;" "&amp;$G748&amp;" "&amp;$H748)))),COUNT(O$1:O747)+1,"")</f>
        <v/>
      </c>
      <c r="P748" s="0" t="str">
        <f aca="false">IF(AND(TRIM(C748)&lt;&gt;"",COUNTIF(C$2:C748,C748)=1),MAX(P$1:P747)+1,"")</f>
        <v/>
      </c>
      <c r="Q748" s="0" t="str">
        <f aca="false">IF(AND(TRIM(F748)&lt;&gt;"",COUNTIF(F$2:F748,F748)=1),MAX(Q$1:Q747)+1,"")</f>
        <v/>
      </c>
    </row>
    <row r="749" customFormat="false" ht="15" hidden="false" customHeight="false" outlineLevel="0" collapsed="false">
      <c r="A749" s="9"/>
      <c r="B749" s="10"/>
      <c r="C749" s="11"/>
      <c r="D749" s="11"/>
      <c r="E749" s="11"/>
      <c r="F749" s="11"/>
      <c r="G749" s="12"/>
      <c r="H749" s="12"/>
      <c r="I749" s="10"/>
      <c r="J749" s="12"/>
      <c r="K749" s="13" t="str">
        <f aca="false">IF(ISNUMBER(B749),YEAR(B749),"")</f>
        <v/>
      </c>
      <c r="L749" s="13" t="str">
        <f aca="false">IF(ISNUMBER(B749),MONTH(B749),"")</f>
        <v/>
      </c>
      <c r="M749" s="13" t="str">
        <f aca="false">IF(AND(ISNUMBER(B749),ISNUMBER(I749)),B749-I749+1,"")</f>
        <v/>
      </c>
      <c r="N749" s="14" t="str">
        <f aca="false">IF(B749="","",IF(M749="","시작일 미입력",IF(M749&lt;1,"시작일 이전(확인)",IF(M749=1,"1일째",IF(M749=2,"2일째",IF(M749=3,"3일째",IF(M749&lt;=7,"일주일 이내",IF(M749&lt;=14,"이주일 이내","15일 이후"))))))))</f>
        <v/>
      </c>
      <c r="O749" s="0" t="str">
        <f aca="false">IF(AND(COUNTA($A749:$J749)&gt;0,OR(클레임조회!$C$4="",AND(ISNUMBER($B749),$B749&gt;=클레임조회!$C$4)),OR(클레임조회!$C$5="",AND(ISNUMBER($B749),$B749&lt;=클레임조회!$C$5)),OR(클레임조회!$C$6="",$C749=클레임조회!$C$6),OR(클레임조회!$C$7="",$D749=클레임조회!$C$7),OR(클레임조회!$C$8="",$E749=클레임조회!$C$8),OR(클레임조회!$C$9="",$F749=클레임조회!$C$9),OR(클레임조회!$C$10="",ISNUMBER(SEARCH(클레임조회!$C$10,$C749&amp;" "&amp;$F749&amp;" "&amp;$G749&amp;" "&amp;$H749)))),COUNT(O$1:O748)+1,"")</f>
        <v/>
      </c>
      <c r="P749" s="0" t="str">
        <f aca="false">IF(AND(TRIM(C749)&lt;&gt;"",COUNTIF(C$2:C749,C749)=1),MAX(P$1:P748)+1,"")</f>
        <v/>
      </c>
      <c r="Q749" s="0" t="str">
        <f aca="false">IF(AND(TRIM(F749)&lt;&gt;"",COUNTIF(F$2:F749,F749)=1),MAX(Q$1:Q748)+1,"")</f>
        <v/>
      </c>
    </row>
    <row r="750" customFormat="false" ht="15" hidden="false" customHeight="false" outlineLevel="0" collapsed="false">
      <c r="A750" s="9"/>
      <c r="B750" s="10"/>
      <c r="C750" s="11"/>
      <c r="D750" s="11"/>
      <c r="E750" s="11"/>
      <c r="F750" s="11"/>
      <c r="G750" s="12"/>
      <c r="H750" s="12"/>
      <c r="I750" s="10"/>
      <c r="J750" s="12"/>
      <c r="K750" s="13" t="str">
        <f aca="false">IF(ISNUMBER(B750),YEAR(B750),"")</f>
        <v/>
      </c>
      <c r="L750" s="13" t="str">
        <f aca="false">IF(ISNUMBER(B750),MONTH(B750),"")</f>
        <v/>
      </c>
      <c r="M750" s="13" t="str">
        <f aca="false">IF(AND(ISNUMBER(B750),ISNUMBER(I750)),B750-I750+1,"")</f>
        <v/>
      </c>
      <c r="N750" s="14" t="str">
        <f aca="false">IF(B750="","",IF(M750="","시작일 미입력",IF(M750&lt;1,"시작일 이전(확인)",IF(M750=1,"1일째",IF(M750=2,"2일째",IF(M750=3,"3일째",IF(M750&lt;=7,"일주일 이내",IF(M750&lt;=14,"이주일 이내","15일 이후"))))))))</f>
        <v/>
      </c>
      <c r="O750" s="0" t="str">
        <f aca="false">IF(AND(COUNTA($A750:$J750)&gt;0,OR(클레임조회!$C$4="",AND(ISNUMBER($B750),$B750&gt;=클레임조회!$C$4)),OR(클레임조회!$C$5="",AND(ISNUMBER($B750),$B750&lt;=클레임조회!$C$5)),OR(클레임조회!$C$6="",$C750=클레임조회!$C$6),OR(클레임조회!$C$7="",$D750=클레임조회!$C$7),OR(클레임조회!$C$8="",$E750=클레임조회!$C$8),OR(클레임조회!$C$9="",$F750=클레임조회!$C$9),OR(클레임조회!$C$10="",ISNUMBER(SEARCH(클레임조회!$C$10,$C750&amp;" "&amp;$F750&amp;" "&amp;$G750&amp;" "&amp;$H750)))),COUNT(O$1:O749)+1,"")</f>
        <v/>
      </c>
      <c r="P750" s="0" t="str">
        <f aca="false">IF(AND(TRIM(C750)&lt;&gt;"",COUNTIF(C$2:C750,C750)=1),MAX(P$1:P749)+1,"")</f>
        <v/>
      </c>
      <c r="Q750" s="0" t="str">
        <f aca="false">IF(AND(TRIM(F750)&lt;&gt;"",COUNTIF(F$2:F750,F750)=1),MAX(Q$1:Q749)+1,"")</f>
        <v/>
      </c>
    </row>
    <row r="751" customFormat="false" ht="15" hidden="false" customHeight="false" outlineLevel="0" collapsed="false">
      <c r="A751" s="9"/>
      <c r="B751" s="10"/>
      <c r="C751" s="11"/>
      <c r="D751" s="11"/>
      <c r="E751" s="11"/>
      <c r="F751" s="11"/>
      <c r="G751" s="12"/>
      <c r="H751" s="12"/>
      <c r="I751" s="10"/>
      <c r="J751" s="12"/>
      <c r="K751" s="13" t="str">
        <f aca="false">IF(ISNUMBER(B751),YEAR(B751),"")</f>
        <v/>
      </c>
      <c r="L751" s="13" t="str">
        <f aca="false">IF(ISNUMBER(B751),MONTH(B751),"")</f>
        <v/>
      </c>
      <c r="M751" s="13" t="str">
        <f aca="false">IF(AND(ISNUMBER(B751),ISNUMBER(I751)),B751-I751+1,"")</f>
        <v/>
      </c>
      <c r="N751" s="14" t="str">
        <f aca="false">IF(B751="","",IF(M751="","시작일 미입력",IF(M751&lt;1,"시작일 이전(확인)",IF(M751=1,"1일째",IF(M751=2,"2일째",IF(M751=3,"3일째",IF(M751&lt;=7,"일주일 이내",IF(M751&lt;=14,"이주일 이내","15일 이후"))))))))</f>
        <v/>
      </c>
      <c r="O751" s="0" t="str">
        <f aca="false">IF(AND(COUNTA($A751:$J751)&gt;0,OR(클레임조회!$C$4="",AND(ISNUMBER($B751),$B751&gt;=클레임조회!$C$4)),OR(클레임조회!$C$5="",AND(ISNUMBER($B751),$B751&lt;=클레임조회!$C$5)),OR(클레임조회!$C$6="",$C751=클레임조회!$C$6),OR(클레임조회!$C$7="",$D751=클레임조회!$C$7),OR(클레임조회!$C$8="",$E751=클레임조회!$C$8),OR(클레임조회!$C$9="",$F751=클레임조회!$C$9),OR(클레임조회!$C$10="",ISNUMBER(SEARCH(클레임조회!$C$10,$C751&amp;" "&amp;$F751&amp;" "&amp;$G751&amp;" "&amp;$H751)))),COUNT(O$1:O750)+1,"")</f>
        <v/>
      </c>
      <c r="P751" s="0" t="str">
        <f aca="false">IF(AND(TRIM(C751)&lt;&gt;"",COUNTIF(C$2:C751,C751)=1),MAX(P$1:P750)+1,"")</f>
        <v/>
      </c>
      <c r="Q751" s="0" t="str">
        <f aca="false">IF(AND(TRIM(F751)&lt;&gt;"",COUNTIF(F$2:F751,F751)=1),MAX(Q$1:Q750)+1,"")</f>
        <v/>
      </c>
    </row>
    <row r="752" customFormat="false" ht="15" hidden="false" customHeight="false" outlineLevel="0" collapsed="false">
      <c r="A752" s="9"/>
      <c r="B752" s="10"/>
      <c r="C752" s="11"/>
      <c r="D752" s="11"/>
      <c r="E752" s="11"/>
      <c r="F752" s="11"/>
      <c r="G752" s="12"/>
      <c r="H752" s="12"/>
      <c r="I752" s="10"/>
      <c r="J752" s="12"/>
      <c r="K752" s="13" t="str">
        <f aca="false">IF(ISNUMBER(B752),YEAR(B752),"")</f>
        <v/>
      </c>
      <c r="L752" s="13" t="str">
        <f aca="false">IF(ISNUMBER(B752),MONTH(B752),"")</f>
        <v/>
      </c>
      <c r="M752" s="13" t="str">
        <f aca="false">IF(AND(ISNUMBER(B752),ISNUMBER(I752)),B752-I752+1,"")</f>
        <v/>
      </c>
      <c r="N752" s="14" t="str">
        <f aca="false">IF(B752="","",IF(M752="","시작일 미입력",IF(M752&lt;1,"시작일 이전(확인)",IF(M752=1,"1일째",IF(M752=2,"2일째",IF(M752=3,"3일째",IF(M752&lt;=7,"일주일 이내",IF(M752&lt;=14,"이주일 이내","15일 이후"))))))))</f>
        <v/>
      </c>
      <c r="O752" s="0" t="str">
        <f aca="false">IF(AND(COUNTA($A752:$J752)&gt;0,OR(클레임조회!$C$4="",AND(ISNUMBER($B752),$B752&gt;=클레임조회!$C$4)),OR(클레임조회!$C$5="",AND(ISNUMBER($B752),$B752&lt;=클레임조회!$C$5)),OR(클레임조회!$C$6="",$C752=클레임조회!$C$6),OR(클레임조회!$C$7="",$D752=클레임조회!$C$7),OR(클레임조회!$C$8="",$E752=클레임조회!$C$8),OR(클레임조회!$C$9="",$F752=클레임조회!$C$9),OR(클레임조회!$C$10="",ISNUMBER(SEARCH(클레임조회!$C$10,$C752&amp;" "&amp;$F752&amp;" "&amp;$G752&amp;" "&amp;$H752)))),COUNT(O$1:O751)+1,"")</f>
        <v/>
      </c>
      <c r="P752" s="0" t="str">
        <f aca="false">IF(AND(TRIM(C752)&lt;&gt;"",COUNTIF(C$2:C752,C752)=1),MAX(P$1:P751)+1,"")</f>
        <v/>
      </c>
      <c r="Q752" s="0" t="str">
        <f aca="false">IF(AND(TRIM(F752)&lt;&gt;"",COUNTIF(F$2:F752,F752)=1),MAX(Q$1:Q751)+1,"")</f>
        <v/>
      </c>
    </row>
    <row r="753" customFormat="false" ht="15" hidden="false" customHeight="false" outlineLevel="0" collapsed="false">
      <c r="A753" s="9"/>
      <c r="B753" s="10"/>
      <c r="C753" s="11"/>
      <c r="D753" s="11"/>
      <c r="E753" s="11"/>
      <c r="F753" s="11"/>
      <c r="G753" s="12"/>
      <c r="H753" s="12"/>
      <c r="I753" s="10"/>
      <c r="J753" s="12"/>
      <c r="K753" s="13" t="str">
        <f aca="false">IF(ISNUMBER(B753),YEAR(B753),"")</f>
        <v/>
      </c>
      <c r="L753" s="13" t="str">
        <f aca="false">IF(ISNUMBER(B753),MONTH(B753),"")</f>
        <v/>
      </c>
      <c r="M753" s="13" t="str">
        <f aca="false">IF(AND(ISNUMBER(B753),ISNUMBER(I753)),B753-I753+1,"")</f>
        <v/>
      </c>
      <c r="N753" s="14" t="str">
        <f aca="false">IF(B753="","",IF(M753="","시작일 미입력",IF(M753&lt;1,"시작일 이전(확인)",IF(M753=1,"1일째",IF(M753=2,"2일째",IF(M753=3,"3일째",IF(M753&lt;=7,"일주일 이내",IF(M753&lt;=14,"이주일 이내","15일 이후"))))))))</f>
        <v/>
      </c>
      <c r="O753" s="0" t="str">
        <f aca="false">IF(AND(COUNTA($A753:$J753)&gt;0,OR(클레임조회!$C$4="",AND(ISNUMBER($B753),$B753&gt;=클레임조회!$C$4)),OR(클레임조회!$C$5="",AND(ISNUMBER($B753),$B753&lt;=클레임조회!$C$5)),OR(클레임조회!$C$6="",$C753=클레임조회!$C$6),OR(클레임조회!$C$7="",$D753=클레임조회!$C$7),OR(클레임조회!$C$8="",$E753=클레임조회!$C$8),OR(클레임조회!$C$9="",$F753=클레임조회!$C$9),OR(클레임조회!$C$10="",ISNUMBER(SEARCH(클레임조회!$C$10,$C753&amp;" "&amp;$F753&amp;" "&amp;$G753&amp;" "&amp;$H753)))),COUNT(O$1:O752)+1,"")</f>
        <v/>
      </c>
      <c r="P753" s="0" t="str">
        <f aca="false">IF(AND(TRIM(C753)&lt;&gt;"",COUNTIF(C$2:C753,C753)=1),MAX(P$1:P752)+1,"")</f>
        <v/>
      </c>
      <c r="Q753" s="0" t="str">
        <f aca="false">IF(AND(TRIM(F753)&lt;&gt;"",COUNTIF(F$2:F753,F753)=1),MAX(Q$1:Q752)+1,"")</f>
        <v/>
      </c>
    </row>
    <row r="754" customFormat="false" ht="15" hidden="false" customHeight="false" outlineLevel="0" collapsed="false">
      <c r="A754" s="9"/>
      <c r="B754" s="10"/>
      <c r="C754" s="11"/>
      <c r="D754" s="11"/>
      <c r="E754" s="11"/>
      <c r="F754" s="11"/>
      <c r="G754" s="12"/>
      <c r="H754" s="12"/>
      <c r="I754" s="10"/>
      <c r="J754" s="12"/>
      <c r="K754" s="13" t="str">
        <f aca="false">IF(ISNUMBER(B754),YEAR(B754),"")</f>
        <v/>
      </c>
      <c r="L754" s="13" t="str">
        <f aca="false">IF(ISNUMBER(B754),MONTH(B754),"")</f>
        <v/>
      </c>
      <c r="M754" s="13" t="str">
        <f aca="false">IF(AND(ISNUMBER(B754),ISNUMBER(I754)),B754-I754+1,"")</f>
        <v/>
      </c>
      <c r="N754" s="14" t="str">
        <f aca="false">IF(B754="","",IF(M754="","시작일 미입력",IF(M754&lt;1,"시작일 이전(확인)",IF(M754=1,"1일째",IF(M754=2,"2일째",IF(M754=3,"3일째",IF(M754&lt;=7,"일주일 이내",IF(M754&lt;=14,"이주일 이내","15일 이후"))))))))</f>
        <v/>
      </c>
      <c r="O754" s="0" t="str">
        <f aca="false">IF(AND(COUNTA($A754:$J754)&gt;0,OR(클레임조회!$C$4="",AND(ISNUMBER($B754),$B754&gt;=클레임조회!$C$4)),OR(클레임조회!$C$5="",AND(ISNUMBER($B754),$B754&lt;=클레임조회!$C$5)),OR(클레임조회!$C$6="",$C754=클레임조회!$C$6),OR(클레임조회!$C$7="",$D754=클레임조회!$C$7),OR(클레임조회!$C$8="",$E754=클레임조회!$C$8),OR(클레임조회!$C$9="",$F754=클레임조회!$C$9),OR(클레임조회!$C$10="",ISNUMBER(SEARCH(클레임조회!$C$10,$C754&amp;" "&amp;$F754&amp;" "&amp;$G754&amp;" "&amp;$H754)))),COUNT(O$1:O753)+1,"")</f>
        <v/>
      </c>
      <c r="P754" s="0" t="str">
        <f aca="false">IF(AND(TRIM(C754)&lt;&gt;"",COUNTIF(C$2:C754,C754)=1),MAX(P$1:P753)+1,"")</f>
        <v/>
      </c>
      <c r="Q754" s="0" t="str">
        <f aca="false">IF(AND(TRIM(F754)&lt;&gt;"",COUNTIF(F$2:F754,F754)=1),MAX(Q$1:Q753)+1,"")</f>
        <v/>
      </c>
    </row>
    <row r="755" customFormat="false" ht="15" hidden="false" customHeight="false" outlineLevel="0" collapsed="false">
      <c r="A755" s="9"/>
      <c r="B755" s="10"/>
      <c r="C755" s="11"/>
      <c r="D755" s="11"/>
      <c r="E755" s="11"/>
      <c r="F755" s="11"/>
      <c r="G755" s="12"/>
      <c r="H755" s="12"/>
      <c r="I755" s="10"/>
      <c r="J755" s="12"/>
      <c r="K755" s="13" t="str">
        <f aca="false">IF(ISNUMBER(B755),YEAR(B755),"")</f>
        <v/>
      </c>
      <c r="L755" s="13" t="str">
        <f aca="false">IF(ISNUMBER(B755),MONTH(B755),"")</f>
        <v/>
      </c>
      <c r="M755" s="13" t="str">
        <f aca="false">IF(AND(ISNUMBER(B755),ISNUMBER(I755)),B755-I755+1,"")</f>
        <v/>
      </c>
      <c r="N755" s="14" t="str">
        <f aca="false">IF(B755="","",IF(M755="","시작일 미입력",IF(M755&lt;1,"시작일 이전(확인)",IF(M755=1,"1일째",IF(M755=2,"2일째",IF(M755=3,"3일째",IF(M755&lt;=7,"일주일 이내",IF(M755&lt;=14,"이주일 이내","15일 이후"))))))))</f>
        <v/>
      </c>
      <c r="O755" s="0" t="str">
        <f aca="false">IF(AND(COUNTA($A755:$J755)&gt;0,OR(클레임조회!$C$4="",AND(ISNUMBER($B755),$B755&gt;=클레임조회!$C$4)),OR(클레임조회!$C$5="",AND(ISNUMBER($B755),$B755&lt;=클레임조회!$C$5)),OR(클레임조회!$C$6="",$C755=클레임조회!$C$6),OR(클레임조회!$C$7="",$D755=클레임조회!$C$7),OR(클레임조회!$C$8="",$E755=클레임조회!$C$8),OR(클레임조회!$C$9="",$F755=클레임조회!$C$9),OR(클레임조회!$C$10="",ISNUMBER(SEARCH(클레임조회!$C$10,$C755&amp;" "&amp;$F755&amp;" "&amp;$G755&amp;" "&amp;$H755)))),COUNT(O$1:O754)+1,"")</f>
        <v/>
      </c>
      <c r="P755" s="0" t="str">
        <f aca="false">IF(AND(TRIM(C755)&lt;&gt;"",COUNTIF(C$2:C755,C755)=1),MAX(P$1:P754)+1,"")</f>
        <v/>
      </c>
      <c r="Q755" s="0" t="str">
        <f aca="false">IF(AND(TRIM(F755)&lt;&gt;"",COUNTIF(F$2:F755,F755)=1),MAX(Q$1:Q754)+1,"")</f>
        <v/>
      </c>
    </row>
    <row r="756" customFormat="false" ht="15" hidden="false" customHeight="false" outlineLevel="0" collapsed="false">
      <c r="A756" s="9"/>
      <c r="B756" s="10"/>
      <c r="C756" s="11"/>
      <c r="D756" s="11"/>
      <c r="E756" s="11"/>
      <c r="F756" s="11"/>
      <c r="G756" s="12"/>
      <c r="H756" s="12"/>
      <c r="I756" s="10"/>
      <c r="J756" s="12"/>
      <c r="K756" s="13" t="str">
        <f aca="false">IF(ISNUMBER(B756),YEAR(B756),"")</f>
        <v/>
      </c>
      <c r="L756" s="13" t="str">
        <f aca="false">IF(ISNUMBER(B756),MONTH(B756),"")</f>
        <v/>
      </c>
      <c r="M756" s="13" t="str">
        <f aca="false">IF(AND(ISNUMBER(B756),ISNUMBER(I756)),B756-I756+1,"")</f>
        <v/>
      </c>
      <c r="N756" s="14" t="str">
        <f aca="false">IF(B756="","",IF(M756="","시작일 미입력",IF(M756&lt;1,"시작일 이전(확인)",IF(M756=1,"1일째",IF(M756=2,"2일째",IF(M756=3,"3일째",IF(M756&lt;=7,"일주일 이내",IF(M756&lt;=14,"이주일 이내","15일 이후"))))))))</f>
        <v/>
      </c>
      <c r="O756" s="0" t="str">
        <f aca="false">IF(AND(COUNTA($A756:$J756)&gt;0,OR(클레임조회!$C$4="",AND(ISNUMBER($B756),$B756&gt;=클레임조회!$C$4)),OR(클레임조회!$C$5="",AND(ISNUMBER($B756),$B756&lt;=클레임조회!$C$5)),OR(클레임조회!$C$6="",$C756=클레임조회!$C$6),OR(클레임조회!$C$7="",$D756=클레임조회!$C$7),OR(클레임조회!$C$8="",$E756=클레임조회!$C$8),OR(클레임조회!$C$9="",$F756=클레임조회!$C$9),OR(클레임조회!$C$10="",ISNUMBER(SEARCH(클레임조회!$C$10,$C756&amp;" "&amp;$F756&amp;" "&amp;$G756&amp;" "&amp;$H756)))),COUNT(O$1:O755)+1,"")</f>
        <v/>
      </c>
      <c r="P756" s="0" t="str">
        <f aca="false">IF(AND(TRIM(C756)&lt;&gt;"",COUNTIF(C$2:C756,C756)=1),MAX(P$1:P755)+1,"")</f>
        <v/>
      </c>
      <c r="Q756" s="0" t="str">
        <f aca="false">IF(AND(TRIM(F756)&lt;&gt;"",COUNTIF(F$2:F756,F756)=1),MAX(Q$1:Q755)+1,"")</f>
        <v/>
      </c>
    </row>
    <row r="757" customFormat="false" ht="15" hidden="false" customHeight="false" outlineLevel="0" collapsed="false">
      <c r="A757" s="9"/>
      <c r="B757" s="10"/>
      <c r="C757" s="11"/>
      <c r="D757" s="11"/>
      <c r="E757" s="11"/>
      <c r="F757" s="11"/>
      <c r="G757" s="12"/>
      <c r="H757" s="12"/>
      <c r="I757" s="10"/>
      <c r="J757" s="12"/>
      <c r="K757" s="13" t="str">
        <f aca="false">IF(ISNUMBER(B757),YEAR(B757),"")</f>
        <v/>
      </c>
      <c r="L757" s="13" t="str">
        <f aca="false">IF(ISNUMBER(B757),MONTH(B757),"")</f>
        <v/>
      </c>
      <c r="M757" s="13" t="str">
        <f aca="false">IF(AND(ISNUMBER(B757),ISNUMBER(I757)),B757-I757+1,"")</f>
        <v/>
      </c>
      <c r="N757" s="14" t="str">
        <f aca="false">IF(B757="","",IF(M757="","시작일 미입력",IF(M757&lt;1,"시작일 이전(확인)",IF(M757=1,"1일째",IF(M757=2,"2일째",IF(M757=3,"3일째",IF(M757&lt;=7,"일주일 이내",IF(M757&lt;=14,"이주일 이내","15일 이후"))))))))</f>
        <v/>
      </c>
      <c r="O757" s="0" t="str">
        <f aca="false">IF(AND(COUNTA($A757:$J757)&gt;0,OR(클레임조회!$C$4="",AND(ISNUMBER($B757),$B757&gt;=클레임조회!$C$4)),OR(클레임조회!$C$5="",AND(ISNUMBER($B757),$B757&lt;=클레임조회!$C$5)),OR(클레임조회!$C$6="",$C757=클레임조회!$C$6),OR(클레임조회!$C$7="",$D757=클레임조회!$C$7),OR(클레임조회!$C$8="",$E757=클레임조회!$C$8),OR(클레임조회!$C$9="",$F757=클레임조회!$C$9),OR(클레임조회!$C$10="",ISNUMBER(SEARCH(클레임조회!$C$10,$C757&amp;" "&amp;$F757&amp;" "&amp;$G757&amp;" "&amp;$H757)))),COUNT(O$1:O756)+1,"")</f>
        <v/>
      </c>
      <c r="P757" s="0" t="str">
        <f aca="false">IF(AND(TRIM(C757)&lt;&gt;"",COUNTIF(C$2:C757,C757)=1),MAX(P$1:P756)+1,"")</f>
        <v/>
      </c>
      <c r="Q757" s="0" t="str">
        <f aca="false">IF(AND(TRIM(F757)&lt;&gt;"",COUNTIF(F$2:F757,F757)=1),MAX(Q$1:Q756)+1,"")</f>
        <v/>
      </c>
    </row>
    <row r="758" customFormat="false" ht="15" hidden="false" customHeight="false" outlineLevel="0" collapsed="false">
      <c r="A758" s="9"/>
      <c r="B758" s="10"/>
      <c r="C758" s="11"/>
      <c r="D758" s="11"/>
      <c r="E758" s="11"/>
      <c r="F758" s="11"/>
      <c r="G758" s="12"/>
      <c r="H758" s="12"/>
      <c r="I758" s="10"/>
      <c r="J758" s="12"/>
      <c r="K758" s="13" t="str">
        <f aca="false">IF(ISNUMBER(B758),YEAR(B758),"")</f>
        <v/>
      </c>
      <c r="L758" s="13" t="str">
        <f aca="false">IF(ISNUMBER(B758),MONTH(B758),"")</f>
        <v/>
      </c>
      <c r="M758" s="13" t="str">
        <f aca="false">IF(AND(ISNUMBER(B758),ISNUMBER(I758)),B758-I758+1,"")</f>
        <v/>
      </c>
      <c r="N758" s="14" t="str">
        <f aca="false">IF(B758="","",IF(M758="","시작일 미입력",IF(M758&lt;1,"시작일 이전(확인)",IF(M758=1,"1일째",IF(M758=2,"2일째",IF(M758=3,"3일째",IF(M758&lt;=7,"일주일 이내",IF(M758&lt;=14,"이주일 이내","15일 이후"))))))))</f>
        <v/>
      </c>
      <c r="O758" s="0" t="str">
        <f aca="false">IF(AND(COUNTA($A758:$J758)&gt;0,OR(클레임조회!$C$4="",AND(ISNUMBER($B758),$B758&gt;=클레임조회!$C$4)),OR(클레임조회!$C$5="",AND(ISNUMBER($B758),$B758&lt;=클레임조회!$C$5)),OR(클레임조회!$C$6="",$C758=클레임조회!$C$6),OR(클레임조회!$C$7="",$D758=클레임조회!$C$7),OR(클레임조회!$C$8="",$E758=클레임조회!$C$8),OR(클레임조회!$C$9="",$F758=클레임조회!$C$9),OR(클레임조회!$C$10="",ISNUMBER(SEARCH(클레임조회!$C$10,$C758&amp;" "&amp;$F758&amp;" "&amp;$G758&amp;" "&amp;$H758)))),COUNT(O$1:O757)+1,"")</f>
        <v/>
      </c>
      <c r="P758" s="0" t="str">
        <f aca="false">IF(AND(TRIM(C758)&lt;&gt;"",COUNTIF(C$2:C758,C758)=1),MAX(P$1:P757)+1,"")</f>
        <v/>
      </c>
      <c r="Q758" s="0" t="str">
        <f aca="false">IF(AND(TRIM(F758)&lt;&gt;"",COUNTIF(F$2:F758,F758)=1),MAX(Q$1:Q757)+1,"")</f>
        <v/>
      </c>
    </row>
    <row r="759" customFormat="false" ht="15" hidden="false" customHeight="false" outlineLevel="0" collapsed="false">
      <c r="A759" s="9"/>
      <c r="B759" s="10"/>
      <c r="C759" s="11"/>
      <c r="D759" s="11"/>
      <c r="E759" s="11"/>
      <c r="F759" s="11"/>
      <c r="G759" s="12"/>
      <c r="H759" s="12"/>
      <c r="I759" s="10"/>
      <c r="J759" s="12"/>
      <c r="K759" s="13" t="str">
        <f aca="false">IF(ISNUMBER(B759),YEAR(B759),"")</f>
        <v/>
      </c>
      <c r="L759" s="13" t="str">
        <f aca="false">IF(ISNUMBER(B759),MONTH(B759),"")</f>
        <v/>
      </c>
      <c r="M759" s="13" t="str">
        <f aca="false">IF(AND(ISNUMBER(B759),ISNUMBER(I759)),B759-I759+1,"")</f>
        <v/>
      </c>
      <c r="N759" s="14" t="str">
        <f aca="false">IF(B759="","",IF(M759="","시작일 미입력",IF(M759&lt;1,"시작일 이전(확인)",IF(M759=1,"1일째",IF(M759=2,"2일째",IF(M759=3,"3일째",IF(M759&lt;=7,"일주일 이내",IF(M759&lt;=14,"이주일 이내","15일 이후"))))))))</f>
        <v/>
      </c>
      <c r="O759" s="0" t="str">
        <f aca="false">IF(AND(COUNTA($A759:$J759)&gt;0,OR(클레임조회!$C$4="",AND(ISNUMBER($B759),$B759&gt;=클레임조회!$C$4)),OR(클레임조회!$C$5="",AND(ISNUMBER($B759),$B759&lt;=클레임조회!$C$5)),OR(클레임조회!$C$6="",$C759=클레임조회!$C$6),OR(클레임조회!$C$7="",$D759=클레임조회!$C$7),OR(클레임조회!$C$8="",$E759=클레임조회!$C$8),OR(클레임조회!$C$9="",$F759=클레임조회!$C$9),OR(클레임조회!$C$10="",ISNUMBER(SEARCH(클레임조회!$C$10,$C759&amp;" "&amp;$F759&amp;" "&amp;$G759&amp;" "&amp;$H759)))),COUNT(O$1:O758)+1,"")</f>
        <v/>
      </c>
      <c r="P759" s="0" t="str">
        <f aca="false">IF(AND(TRIM(C759)&lt;&gt;"",COUNTIF(C$2:C759,C759)=1),MAX(P$1:P758)+1,"")</f>
        <v/>
      </c>
      <c r="Q759" s="0" t="str">
        <f aca="false">IF(AND(TRIM(F759)&lt;&gt;"",COUNTIF(F$2:F759,F759)=1),MAX(Q$1:Q758)+1,"")</f>
        <v/>
      </c>
    </row>
    <row r="760" customFormat="false" ht="15" hidden="false" customHeight="false" outlineLevel="0" collapsed="false">
      <c r="A760" s="9"/>
      <c r="B760" s="10"/>
      <c r="C760" s="11"/>
      <c r="D760" s="11"/>
      <c r="E760" s="11"/>
      <c r="F760" s="11"/>
      <c r="G760" s="12"/>
      <c r="H760" s="12"/>
      <c r="I760" s="10"/>
      <c r="J760" s="12"/>
      <c r="K760" s="13" t="str">
        <f aca="false">IF(ISNUMBER(B760),YEAR(B760),"")</f>
        <v/>
      </c>
      <c r="L760" s="13" t="str">
        <f aca="false">IF(ISNUMBER(B760),MONTH(B760),"")</f>
        <v/>
      </c>
      <c r="M760" s="13" t="str">
        <f aca="false">IF(AND(ISNUMBER(B760),ISNUMBER(I760)),B760-I760+1,"")</f>
        <v/>
      </c>
      <c r="N760" s="14" t="str">
        <f aca="false">IF(B760="","",IF(M760="","시작일 미입력",IF(M760&lt;1,"시작일 이전(확인)",IF(M760=1,"1일째",IF(M760=2,"2일째",IF(M760=3,"3일째",IF(M760&lt;=7,"일주일 이내",IF(M760&lt;=14,"이주일 이내","15일 이후"))))))))</f>
        <v/>
      </c>
      <c r="O760" s="0" t="str">
        <f aca="false">IF(AND(COUNTA($A760:$J760)&gt;0,OR(클레임조회!$C$4="",AND(ISNUMBER($B760),$B760&gt;=클레임조회!$C$4)),OR(클레임조회!$C$5="",AND(ISNUMBER($B760),$B760&lt;=클레임조회!$C$5)),OR(클레임조회!$C$6="",$C760=클레임조회!$C$6),OR(클레임조회!$C$7="",$D760=클레임조회!$C$7),OR(클레임조회!$C$8="",$E760=클레임조회!$C$8),OR(클레임조회!$C$9="",$F760=클레임조회!$C$9),OR(클레임조회!$C$10="",ISNUMBER(SEARCH(클레임조회!$C$10,$C760&amp;" "&amp;$F760&amp;" "&amp;$G760&amp;" "&amp;$H760)))),COUNT(O$1:O759)+1,"")</f>
        <v/>
      </c>
      <c r="P760" s="0" t="str">
        <f aca="false">IF(AND(TRIM(C760)&lt;&gt;"",COUNTIF(C$2:C760,C760)=1),MAX(P$1:P759)+1,"")</f>
        <v/>
      </c>
      <c r="Q760" s="0" t="str">
        <f aca="false">IF(AND(TRIM(F760)&lt;&gt;"",COUNTIF(F$2:F760,F760)=1),MAX(Q$1:Q759)+1,"")</f>
        <v/>
      </c>
    </row>
    <row r="761" customFormat="false" ht="15" hidden="false" customHeight="false" outlineLevel="0" collapsed="false">
      <c r="A761" s="9"/>
      <c r="B761" s="10"/>
      <c r="C761" s="11"/>
      <c r="D761" s="11"/>
      <c r="E761" s="11"/>
      <c r="F761" s="11"/>
      <c r="G761" s="12"/>
      <c r="H761" s="12"/>
      <c r="I761" s="10"/>
      <c r="J761" s="12"/>
      <c r="K761" s="13" t="str">
        <f aca="false">IF(ISNUMBER(B761),YEAR(B761),"")</f>
        <v/>
      </c>
      <c r="L761" s="13" t="str">
        <f aca="false">IF(ISNUMBER(B761),MONTH(B761),"")</f>
        <v/>
      </c>
      <c r="M761" s="13" t="str">
        <f aca="false">IF(AND(ISNUMBER(B761),ISNUMBER(I761)),B761-I761+1,"")</f>
        <v/>
      </c>
      <c r="N761" s="14" t="str">
        <f aca="false">IF(B761="","",IF(M761="","시작일 미입력",IF(M761&lt;1,"시작일 이전(확인)",IF(M761=1,"1일째",IF(M761=2,"2일째",IF(M761=3,"3일째",IF(M761&lt;=7,"일주일 이내",IF(M761&lt;=14,"이주일 이내","15일 이후"))))))))</f>
        <v/>
      </c>
      <c r="O761" s="0" t="str">
        <f aca="false">IF(AND(COUNTA($A761:$J761)&gt;0,OR(클레임조회!$C$4="",AND(ISNUMBER($B761),$B761&gt;=클레임조회!$C$4)),OR(클레임조회!$C$5="",AND(ISNUMBER($B761),$B761&lt;=클레임조회!$C$5)),OR(클레임조회!$C$6="",$C761=클레임조회!$C$6),OR(클레임조회!$C$7="",$D761=클레임조회!$C$7),OR(클레임조회!$C$8="",$E761=클레임조회!$C$8),OR(클레임조회!$C$9="",$F761=클레임조회!$C$9),OR(클레임조회!$C$10="",ISNUMBER(SEARCH(클레임조회!$C$10,$C761&amp;" "&amp;$F761&amp;" "&amp;$G761&amp;" "&amp;$H761)))),COUNT(O$1:O760)+1,"")</f>
        <v/>
      </c>
      <c r="P761" s="0" t="str">
        <f aca="false">IF(AND(TRIM(C761)&lt;&gt;"",COUNTIF(C$2:C761,C761)=1),MAX(P$1:P760)+1,"")</f>
        <v/>
      </c>
      <c r="Q761" s="0" t="str">
        <f aca="false">IF(AND(TRIM(F761)&lt;&gt;"",COUNTIF(F$2:F761,F761)=1),MAX(Q$1:Q760)+1,"")</f>
        <v/>
      </c>
    </row>
    <row r="762" customFormat="false" ht="15" hidden="false" customHeight="false" outlineLevel="0" collapsed="false">
      <c r="A762" s="9"/>
      <c r="B762" s="10"/>
      <c r="C762" s="11"/>
      <c r="D762" s="11"/>
      <c r="E762" s="11"/>
      <c r="F762" s="11"/>
      <c r="G762" s="12"/>
      <c r="H762" s="12"/>
      <c r="I762" s="10"/>
      <c r="J762" s="12"/>
      <c r="K762" s="13" t="str">
        <f aca="false">IF(ISNUMBER(B762),YEAR(B762),"")</f>
        <v/>
      </c>
      <c r="L762" s="13" t="str">
        <f aca="false">IF(ISNUMBER(B762),MONTH(B762),"")</f>
        <v/>
      </c>
      <c r="M762" s="13" t="str">
        <f aca="false">IF(AND(ISNUMBER(B762),ISNUMBER(I762)),B762-I762+1,"")</f>
        <v/>
      </c>
      <c r="N762" s="14" t="str">
        <f aca="false">IF(B762="","",IF(M762="","시작일 미입력",IF(M762&lt;1,"시작일 이전(확인)",IF(M762=1,"1일째",IF(M762=2,"2일째",IF(M762=3,"3일째",IF(M762&lt;=7,"일주일 이내",IF(M762&lt;=14,"이주일 이내","15일 이후"))))))))</f>
        <v/>
      </c>
      <c r="O762" s="0" t="str">
        <f aca="false">IF(AND(COUNTA($A762:$J762)&gt;0,OR(클레임조회!$C$4="",AND(ISNUMBER($B762),$B762&gt;=클레임조회!$C$4)),OR(클레임조회!$C$5="",AND(ISNUMBER($B762),$B762&lt;=클레임조회!$C$5)),OR(클레임조회!$C$6="",$C762=클레임조회!$C$6),OR(클레임조회!$C$7="",$D762=클레임조회!$C$7),OR(클레임조회!$C$8="",$E762=클레임조회!$C$8),OR(클레임조회!$C$9="",$F762=클레임조회!$C$9),OR(클레임조회!$C$10="",ISNUMBER(SEARCH(클레임조회!$C$10,$C762&amp;" "&amp;$F762&amp;" "&amp;$G762&amp;" "&amp;$H762)))),COUNT(O$1:O761)+1,"")</f>
        <v/>
      </c>
      <c r="P762" s="0" t="str">
        <f aca="false">IF(AND(TRIM(C762)&lt;&gt;"",COUNTIF(C$2:C762,C762)=1),MAX(P$1:P761)+1,"")</f>
        <v/>
      </c>
      <c r="Q762" s="0" t="str">
        <f aca="false">IF(AND(TRIM(F762)&lt;&gt;"",COUNTIF(F$2:F762,F762)=1),MAX(Q$1:Q761)+1,"")</f>
        <v/>
      </c>
    </row>
    <row r="763" customFormat="false" ht="15" hidden="false" customHeight="false" outlineLevel="0" collapsed="false">
      <c r="A763" s="9"/>
      <c r="B763" s="10"/>
      <c r="C763" s="11"/>
      <c r="D763" s="11"/>
      <c r="E763" s="11"/>
      <c r="F763" s="11"/>
      <c r="G763" s="12"/>
      <c r="H763" s="12"/>
      <c r="I763" s="10"/>
      <c r="J763" s="12"/>
      <c r="K763" s="13" t="str">
        <f aca="false">IF(ISNUMBER(B763),YEAR(B763),"")</f>
        <v/>
      </c>
      <c r="L763" s="13" t="str">
        <f aca="false">IF(ISNUMBER(B763),MONTH(B763),"")</f>
        <v/>
      </c>
      <c r="M763" s="13" t="str">
        <f aca="false">IF(AND(ISNUMBER(B763),ISNUMBER(I763)),B763-I763+1,"")</f>
        <v/>
      </c>
      <c r="N763" s="14" t="str">
        <f aca="false">IF(B763="","",IF(M763="","시작일 미입력",IF(M763&lt;1,"시작일 이전(확인)",IF(M763=1,"1일째",IF(M763=2,"2일째",IF(M763=3,"3일째",IF(M763&lt;=7,"일주일 이내",IF(M763&lt;=14,"이주일 이내","15일 이후"))))))))</f>
        <v/>
      </c>
      <c r="O763" s="0" t="str">
        <f aca="false">IF(AND(COUNTA($A763:$J763)&gt;0,OR(클레임조회!$C$4="",AND(ISNUMBER($B763),$B763&gt;=클레임조회!$C$4)),OR(클레임조회!$C$5="",AND(ISNUMBER($B763),$B763&lt;=클레임조회!$C$5)),OR(클레임조회!$C$6="",$C763=클레임조회!$C$6),OR(클레임조회!$C$7="",$D763=클레임조회!$C$7),OR(클레임조회!$C$8="",$E763=클레임조회!$C$8),OR(클레임조회!$C$9="",$F763=클레임조회!$C$9),OR(클레임조회!$C$10="",ISNUMBER(SEARCH(클레임조회!$C$10,$C763&amp;" "&amp;$F763&amp;" "&amp;$G763&amp;" "&amp;$H763)))),COUNT(O$1:O762)+1,"")</f>
        <v/>
      </c>
      <c r="P763" s="0" t="str">
        <f aca="false">IF(AND(TRIM(C763)&lt;&gt;"",COUNTIF(C$2:C763,C763)=1),MAX(P$1:P762)+1,"")</f>
        <v/>
      </c>
      <c r="Q763" s="0" t="str">
        <f aca="false">IF(AND(TRIM(F763)&lt;&gt;"",COUNTIF(F$2:F763,F763)=1),MAX(Q$1:Q762)+1,"")</f>
        <v/>
      </c>
    </row>
    <row r="764" customFormat="false" ht="15" hidden="false" customHeight="false" outlineLevel="0" collapsed="false">
      <c r="A764" s="9"/>
      <c r="B764" s="10"/>
      <c r="C764" s="11"/>
      <c r="D764" s="11"/>
      <c r="E764" s="11"/>
      <c r="F764" s="11"/>
      <c r="G764" s="12"/>
      <c r="H764" s="12"/>
      <c r="I764" s="10"/>
      <c r="J764" s="12"/>
      <c r="K764" s="13" t="str">
        <f aca="false">IF(ISNUMBER(B764),YEAR(B764),"")</f>
        <v/>
      </c>
      <c r="L764" s="13" t="str">
        <f aca="false">IF(ISNUMBER(B764),MONTH(B764),"")</f>
        <v/>
      </c>
      <c r="M764" s="13" t="str">
        <f aca="false">IF(AND(ISNUMBER(B764),ISNUMBER(I764)),B764-I764+1,"")</f>
        <v/>
      </c>
      <c r="N764" s="14" t="str">
        <f aca="false">IF(B764="","",IF(M764="","시작일 미입력",IF(M764&lt;1,"시작일 이전(확인)",IF(M764=1,"1일째",IF(M764=2,"2일째",IF(M764=3,"3일째",IF(M764&lt;=7,"일주일 이내",IF(M764&lt;=14,"이주일 이내","15일 이후"))))))))</f>
        <v/>
      </c>
      <c r="O764" s="0" t="str">
        <f aca="false">IF(AND(COUNTA($A764:$J764)&gt;0,OR(클레임조회!$C$4="",AND(ISNUMBER($B764),$B764&gt;=클레임조회!$C$4)),OR(클레임조회!$C$5="",AND(ISNUMBER($B764),$B764&lt;=클레임조회!$C$5)),OR(클레임조회!$C$6="",$C764=클레임조회!$C$6),OR(클레임조회!$C$7="",$D764=클레임조회!$C$7),OR(클레임조회!$C$8="",$E764=클레임조회!$C$8),OR(클레임조회!$C$9="",$F764=클레임조회!$C$9),OR(클레임조회!$C$10="",ISNUMBER(SEARCH(클레임조회!$C$10,$C764&amp;" "&amp;$F764&amp;" "&amp;$G764&amp;" "&amp;$H764)))),COUNT(O$1:O763)+1,"")</f>
        <v/>
      </c>
      <c r="P764" s="0" t="str">
        <f aca="false">IF(AND(TRIM(C764)&lt;&gt;"",COUNTIF(C$2:C764,C764)=1),MAX(P$1:P763)+1,"")</f>
        <v/>
      </c>
      <c r="Q764" s="0" t="str">
        <f aca="false">IF(AND(TRIM(F764)&lt;&gt;"",COUNTIF(F$2:F764,F764)=1),MAX(Q$1:Q763)+1,"")</f>
        <v/>
      </c>
    </row>
    <row r="765" customFormat="false" ht="15" hidden="false" customHeight="false" outlineLevel="0" collapsed="false">
      <c r="A765" s="9"/>
      <c r="B765" s="10"/>
      <c r="C765" s="11"/>
      <c r="D765" s="11"/>
      <c r="E765" s="11"/>
      <c r="F765" s="11"/>
      <c r="G765" s="12"/>
      <c r="H765" s="12"/>
      <c r="I765" s="10"/>
      <c r="J765" s="12"/>
      <c r="K765" s="13" t="str">
        <f aca="false">IF(ISNUMBER(B765),YEAR(B765),"")</f>
        <v/>
      </c>
      <c r="L765" s="13" t="str">
        <f aca="false">IF(ISNUMBER(B765),MONTH(B765),"")</f>
        <v/>
      </c>
      <c r="M765" s="13" t="str">
        <f aca="false">IF(AND(ISNUMBER(B765),ISNUMBER(I765)),B765-I765+1,"")</f>
        <v/>
      </c>
      <c r="N765" s="14" t="str">
        <f aca="false">IF(B765="","",IF(M765="","시작일 미입력",IF(M765&lt;1,"시작일 이전(확인)",IF(M765=1,"1일째",IF(M765=2,"2일째",IF(M765=3,"3일째",IF(M765&lt;=7,"일주일 이내",IF(M765&lt;=14,"이주일 이내","15일 이후"))))))))</f>
        <v/>
      </c>
      <c r="O765" s="0" t="str">
        <f aca="false">IF(AND(COUNTA($A765:$J765)&gt;0,OR(클레임조회!$C$4="",AND(ISNUMBER($B765),$B765&gt;=클레임조회!$C$4)),OR(클레임조회!$C$5="",AND(ISNUMBER($B765),$B765&lt;=클레임조회!$C$5)),OR(클레임조회!$C$6="",$C765=클레임조회!$C$6),OR(클레임조회!$C$7="",$D765=클레임조회!$C$7),OR(클레임조회!$C$8="",$E765=클레임조회!$C$8),OR(클레임조회!$C$9="",$F765=클레임조회!$C$9),OR(클레임조회!$C$10="",ISNUMBER(SEARCH(클레임조회!$C$10,$C765&amp;" "&amp;$F765&amp;" "&amp;$G765&amp;" "&amp;$H765)))),COUNT(O$1:O764)+1,"")</f>
        <v/>
      </c>
      <c r="P765" s="0" t="str">
        <f aca="false">IF(AND(TRIM(C765)&lt;&gt;"",COUNTIF(C$2:C765,C765)=1),MAX(P$1:P764)+1,"")</f>
        <v/>
      </c>
      <c r="Q765" s="0" t="str">
        <f aca="false">IF(AND(TRIM(F765)&lt;&gt;"",COUNTIF(F$2:F765,F765)=1),MAX(Q$1:Q764)+1,"")</f>
        <v/>
      </c>
    </row>
    <row r="766" customFormat="false" ht="15" hidden="false" customHeight="false" outlineLevel="0" collapsed="false">
      <c r="A766" s="9"/>
      <c r="B766" s="10"/>
      <c r="C766" s="11"/>
      <c r="D766" s="11"/>
      <c r="E766" s="11"/>
      <c r="F766" s="11"/>
      <c r="G766" s="12"/>
      <c r="H766" s="12"/>
      <c r="I766" s="10"/>
      <c r="J766" s="12"/>
      <c r="K766" s="13" t="str">
        <f aca="false">IF(ISNUMBER(B766),YEAR(B766),"")</f>
        <v/>
      </c>
      <c r="L766" s="13" t="str">
        <f aca="false">IF(ISNUMBER(B766),MONTH(B766),"")</f>
        <v/>
      </c>
      <c r="M766" s="13" t="str">
        <f aca="false">IF(AND(ISNUMBER(B766),ISNUMBER(I766)),B766-I766+1,"")</f>
        <v/>
      </c>
      <c r="N766" s="14" t="str">
        <f aca="false">IF(B766="","",IF(M766="","시작일 미입력",IF(M766&lt;1,"시작일 이전(확인)",IF(M766=1,"1일째",IF(M766=2,"2일째",IF(M766=3,"3일째",IF(M766&lt;=7,"일주일 이내",IF(M766&lt;=14,"이주일 이내","15일 이후"))))))))</f>
        <v/>
      </c>
      <c r="O766" s="0" t="str">
        <f aca="false">IF(AND(COUNTA($A766:$J766)&gt;0,OR(클레임조회!$C$4="",AND(ISNUMBER($B766),$B766&gt;=클레임조회!$C$4)),OR(클레임조회!$C$5="",AND(ISNUMBER($B766),$B766&lt;=클레임조회!$C$5)),OR(클레임조회!$C$6="",$C766=클레임조회!$C$6),OR(클레임조회!$C$7="",$D766=클레임조회!$C$7),OR(클레임조회!$C$8="",$E766=클레임조회!$C$8),OR(클레임조회!$C$9="",$F766=클레임조회!$C$9),OR(클레임조회!$C$10="",ISNUMBER(SEARCH(클레임조회!$C$10,$C766&amp;" "&amp;$F766&amp;" "&amp;$G766&amp;" "&amp;$H766)))),COUNT(O$1:O765)+1,"")</f>
        <v/>
      </c>
      <c r="P766" s="0" t="str">
        <f aca="false">IF(AND(TRIM(C766)&lt;&gt;"",COUNTIF(C$2:C766,C766)=1),MAX(P$1:P765)+1,"")</f>
        <v/>
      </c>
      <c r="Q766" s="0" t="str">
        <f aca="false">IF(AND(TRIM(F766)&lt;&gt;"",COUNTIF(F$2:F766,F766)=1),MAX(Q$1:Q765)+1,"")</f>
        <v/>
      </c>
    </row>
    <row r="767" customFormat="false" ht="15" hidden="false" customHeight="false" outlineLevel="0" collapsed="false">
      <c r="A767" s="9"/>
      <c r="B767" s="10"/>
      <c r="C767" s="11"/>
      <c r="D767" s="11"/>
      <c r="E767" s="11"/>
      <c r="F767" s="11"/>
      <c r="G767" s="12"/>
      <c r="H767" s="12"/>
      <c r="I767" s="10"/>
      <c r="J767" s="12"/>
      <c r="K767" s="13" t="str">
        <f aca="false">IF(ISNUMBER(B767),YEAR(B767),"")</f>
        <v/>
      </c>
      <c r="L767" s="13" t="str">
        <f aca="false">IF(ISNUMBER(B767),MONTH(B767),"")</f>
        <v/>
      </c>
      <c r="M767" s="13" t="str">
        <f aca="false">IF(AND(ISNUMBER(B767),ISNUMBER(I767)),B767-I767+1,"")</f>
        <v/>
      </c>
      <c r="N767" s="14" t="str">
        <f aca="false">IF(B767="","",IF(M767="","시작일 미입력",IF(M767&lt;1,"시작일 이전(확인)",IF(M767=1,"1일째",IF(M767=2,"2일째",IF(M767=3,"3일째",IF(M767&lt;=7,"일주일 이내",IF(M767&lt;=14,"이주일 이내","15일 이후"))))))))</f>
        <v/>
      </c>
      <c r="O767" s="0" t="str">
        <f aca="false">IF(AND(COUNTA($A767:$J767)&gt;0,OR(클레임조회!$C$4="",AND(ISNUMBER($B767),$B767&gt;=클레임조회!$C$4)),OR(클레임조회!$C$5="",AND(ISNUMBER($B767),$B767&lt;=클레임조회!$C$5)),OR(클레임조회!$C$6="",$C767=클레임조회!$C$6),OR(클레임조회!$C$7="",$D767=클레임조회!$C$7),OR(클레임조회!$C$8="",$E767=클레임조회!$C$8),OR(클레임조회!$C$9="",$F767=클레임조회!$C$9),OR(클레임조회!$C$10="",ISNUMBER(SEARCH(클레임조회!$C$10,$C767&amp;" "&amp;$F767&amp;" "&amp;$G767&amp;" "&amp;$H767)))),COUNT(O$1:O766)+1,"")</f>
        <v/>
      </c>
      <c r="P767" s="0" t="str">
        <f aca="false">IF(AND(TRIM(C767)&lt;&gt;"",COUNTIF(C$2:C767,C767)=1),MAX(P$1:P766)+1,"")</f>
        <v/>
      </c>
      <c r="Q767" s="0" t="str">
        <f aca="false">IF(AND(TRIM(F767)&lt;&gt;"",COUNTIF(F$2:F767,F767)=1),MAX(Q$1:Q766)+1,"")</f>
        <v/>
      </c>
    </row>
    <row r="768" customFormat="false" ht="15" hidden="false" customHeight="false" outlineLevel="0" collapsed="false">
      <c r="A768" s="9"/>
      <c r="B768" s="10"/>
      <c r="C768" s="11"/>
      <c r="D768" s="11"/>
      <c r="E768" s="11"/>
      <c r="F768" s="11"/>
      <c r="G768" s="12"/>
      <c r="H768" s="12"/>
      <c r="I768" s="10"/>
      <c r="J768" s="12"/>
      <c r="K768" s="13" t="str">
        <f aca="false">IF(ISNUMBER(B768),YEAR(B768),"")</f>
        <v/>
      </c>
      <c r="L768" s="13" t="str">
        <f aca="false">IF(ISNUMBER(B768),MONTH(B768),"")</f>
        <v/>
      </c>
      <c r="M768" s="13" t="str">
        <f aca="false">IF(AND(ISNUMBER(B768),ISNUMBER(I768)),B768-I768+1,"")</f>
        <v/>
      </c>
      <c r="N768" s="14" t="str">
        <f aca="false">IF(B768="","",IF(M768="","시작일 미입력",IF(M768&lt;1,"시작일 이전(확인)",IF(M768=1,"1일째",IF(M768=2,"2일째",IF(M768=3,"3일째",IF(M768&lt;=7,"일주일 이내",IF(M768&lt;=14,"이주일 이내","15일 이후"))))))))</f>
        <v/>
      </c>
      <c r="O768" s="0" t="str">
        <f aca="false">IF(AND(COUNTA($A768:$J768)&gt;0,OR(클레임조회!$C$4="",AND(ISNUMBER($B768),$B768&gt;=클레임조회!$C$4)),OR(클레임조회!$C$5="",AND(ISNUMBER($B768),$B768&lt;=클레임조회!$C$5)),OR(클레임조회!$C$6="",$C768=클레임조회!$C$6),OR(클레임조회!$C$7="",$D768=클레임조회!$C$7),OR(클레임조회!$C$8="",$E768=클레임조회!$C$8),OR(클레임조회!$C$9="",$F768=클레임조회!$C$9),OR(클레임조회!$C$10="",ISNUMBER(SEARCH(클레임조회!$C$10,$C768&amp;" "&amp;$F768&amp;" "&amp;$G768&amp;" "&amp;$H768)))),COUNT(O$1:O767)+1,"")</f>
        <v/>
      </c>
      <c r="P768" s="0" t="str">
        <f aca="false">IF(AND(TRIM(C768)&lt;&gt;"",COUNTIF(C$2:C768,C768)=1),MAX(P$1:P767)+1,"")</f>
        <v/>
      </c>
      <c r="Q768" s="0" t="str">
        <f aca="false">IF(AND(TRIM(F768)&lt;&gt;"",COUNTIF(F$2:F768,F768)=1),MAX(Q$1:Q767)+1,"")</f>
        <v/>
      </c>
    </row>
    <row r="769" customFormat="false" ht="15" hidden="false" customHeight="false" outlineLevel="0" collapsed="false">
      <c r="A769" s="9"/>
      <c r="B769" s="10"/>
      <c r="C769" s="11"/>
      <c r="D769" s="11"/>
      <c r="E769" s="11"/>
      <c r="F769" s="11"/>
      <c r="G769" s="12"/>
      <c r="H769" s="12"/>
      <c r="I769" s="10"/>
      <c r="J769" s="12"/>
      <c r="K769" s="13" t="str">
        <f aca="false">IF(ISNUMBER(B769),YEAR(B769),"")</f>
        <v/>
      </c>
      <c r="L769" s="13" t="str">
        <f aca="false">IF(ISNUMBER(B769),MONTH(B769),"")</f>
        <v/>
      </c>
      <c r="M769" s="13" t="str">
        <f aca="false">IF(AND(ISNUMBER(B769),ISNUMBER(I769)),B769-I769+1,"")</f>
        <v/>
      </c>
      <c r="N769" s="14" t="str">
        <f aca="false">IF(B769="","",IF(M769="","시작일 미입력",IF(M769&lt;1,"시작일 이전(확인)",IF(M769=1,"1일째",IF(M769=2,"2일째",IF(M769=3,"3일째",IF(M769&lt;=7,"일주일 이내",IF(M769&lt;=14,"이주일 이내","15일 이후"))))))))</f>
        <v/>
      </c>
      <c r="O769" s="0" t="str">
        <f aca="false">IF(AND(COUNTA($A769:$J769)&gt;0,OR(클레임조회!$C$4="",AND(ISNUMBER($B769),$B769&gt;=클레임조회!$C$4)),OR(클레임조회!$C$5="",AND(ISNUMBER($B769),$B769&lt;=클레임조회!$C$5)),OR(클레임조회!$C$6="",$C769=클레임조회!$C$6),OR(클레임조회!$C$7="",$D769=클레임조회!$C$7),OR(클레임조회!$C$8="",$E769=클레임조회!$C$8),OR(클레임조회!$C$9="",$F769=클레임조회!$C$9),OR(클레임조회!$C$10="",ISNUMBER(SEARCH(클레임조회!$C$10,$C769&amp;" "&amp;$F769&amp;" "&amp;$G769&amp;" "&amp;$H769)))),COUNT(O$1:O768)+1,"")</f>
        <v/>
      </c>
      <c r="P769" s="0" t="str">
        <f aca="false">IF(AND(TRIM(C769)&lt;&gt;"",COUNTIF(C$2:C769,C769)=1),MAX(P$1:P768)+1,"")</f>
        <v/>
      </c>
      <c r="Q769" s="0" t="str">
        <f aca="false">IF(AND(TRIM(F769)&lt;&gt;"",COUNTIF(F$2:F769,F769)=1),MAX(Q$1:Q768)+1,"")</f>
        <v/>
      </c>
    </row>
    <row r="770" customFormat="false" ht="15" hidden="false" customHeight="false" outlineLevel="0" collapsed="false">
      <c r="A770" s="9"/>
      <c r="B770" s="10"/>
      <c r="C770" s="11"/>
      <c r="D770" s="11"/>
      <c r="E770" s="11"/>
      <c r="F770" s="11"/>
      <c r="G770" s="12"/>
      <c r="H770" s="12"/>
      <c r="I770" s="10"/>
      <c r="J770" s="12"/>
      <c r="K770" s="13" t="str">
        <f aca="false">IF(ISNUMBER(B770),YEAR(B770),"")</f>
        <v/>
      </c>
      <c r="L770" s="13" t="str">
        <f aca="false">IF(ISNUMBER(B770),MONTH(B770),"")</f>
        <v/>
      </c>
      <c r="M770" s="13" t="str">
        <f aca="false">IF(AND(ISNUMBER(B770),ISNUMBER(I770)),B770-I770+1,"")</f>
        <v/>
      </c>
      <c r="N770" s="14" t="str">
        <f aca="false">IF(B770="","",IF(M770="","시작일 미입력",IF(M770&lt;1,"시작일 이전(확인)",IF(M770=1,"1일째",IF(M770=2,"2일째",IF(M770=3,"3일째",IF(M770&lt;=7,"일주일 이내",IF(M770&lt;=14,"이주일 이내","15일 이후"))))))))</f>
        <v/>
      </c>
      <c r="O770" s="0" t="str">
        <f aca="false">IF(AND(COUNTA($A770:$J770)&gt;0,OR(클레임조회!$C$4="",AND(ISNUMBER($B770),$B770&gt;=클레임조회!$C$4)),OR(클레임조회!$C$5="",AND(ISNUMBER($B770),$B770&lt;=클레임조회!$C$5)),OR(클레임조회!$C$6="",$C770=클레임조회!$C$6),OR(클레임조회!$C$7="",$D770=클레임조회!$C$7),OR(클레임조회!$C$8="",$E770=클레임조회!$C$8),OR(클레임조회!$C$9="",$F770=클레임조회!$C$9),OR(클레임조회!$C$10="",ISNUMBER(SEARCH(클레임조회!$C$10,$C770&amp;" "&amp;$F770&amp;" "&amp;$G770&amp;" "&amp;$H770)))),COUNT(O$1:O769)+1,"")</f>
        <v/>
      </c>
      <c r="P770" s="0" t="str">
        <f aca="false">IF(AND(TRIM(C770)&lt;&gt;"",COUNTIF(C$2:C770,C770)=1),MAX(P$1:P769)+1,"")</f>
        <v/>
      </c>
      <c r="Q770" s="0" t="str">
        <f aca="false">IF(AND(TRIM(F770)&lt;&gt;"",COUNTIF(F$2:F770,F770)=1),MAX(Q$1:Q769)+1,"")</f>
        <v/>
      </c>
    </row>
    <row r="771" customFormat="false" ht="15" hidden="false" customHeight="false" outlineLevel="0" collapsed="false">
      <c r="A771" s="9"/>
      <c r="B771" s="10"/>
      <c r="C771" s="11"/>
      <c r="D771" s="11"/>
      <c r="E771" s="11"/>
      <c r="F771" s="11"/>
      <c r="G771" s="12"/>
      <c r="H771" s="12"/>
      <c r="I771" s="10"/>
      <c r="J771" s="12"/>
      <c r="K771" s="13" t="str">
        <f aca="false">IF(ISNUMBER(B771),YEAR(B771),"")</f>
        <v/>
      </c>
      <c r="L771" s="13" t="str">
        <f aca="false">IF(ISNUMBER(B771),MONTH(B771),"")</f>
        <v/>
      </c>
      <c r="M771" s="13" t="str">
        <f aca="false">IF(AND(ISNUMBER(B771),ISNUMBER(I771)),B771-I771+1,"")</f>
        <v/>
      </c>
      <c r="N771" s="14" t="str">
        <f aca="false">IF(B771="","",IF(M771="","시작일 미입력",IF(M771&lt;1,"시작일 이전(확인)",IF(M771=1,"1일째",IF(M771=2,"2일째",IF(M771=3,"3일째",IF(M771&lt;=7,"일주일 이내",IF(M771&lt;=14,"이주일 이내","15일 이후"))))))))</f>
        <v/>
      </c>
      <c r="O771" s="0" t="str">
        <f aca="false">IF(AND(COUNTA($A771:$J771)&gt;0,OR(클레임조회!$C$4="",AND(ISNUMBER($B771),$B771&gt;=클레임조회!$C$4)),OR(클레임조회!$C$5="",AND(ISNUMBER($B771),$B771&lt;=클레임조회!$C$5)),OR(클레임조회!$C$6="",$C771=클레임조회!$C$6),OR(클레임조회!$C$7="",$D771=클레임조회!$C$7),OR(클레임조회!$C$8="",$E771=클레임조회!$C$8),OR(클레임조회!$C$9="",$F771=클레임조회!$C$9),OR(클레임조회!$C$10="",ISNUMBER(SEARCH(클레임조회!$C$10,$C771&amp;" "&amp;$F771&amp;" "&amp;$G771&amp;" "&amp;$H771)))),COUNT(O$1:O770)+1,"")</f>
        <v/>
      </c>
      <c r="P771" s="0" t="str">
        <f aca="false">IF(AND(TRIM(C771)&lt;&gt;"",COUNTIF(C$2:C771,C771)=1),MAX(P$1:P770)+1,"")</f>
        <v/>
      </c>
      <c r="Q771" s="0" t="str">
        <f aca="false">IF(AND(TRIM(F771)&lt;&gt;"",COUNTIF(F$2:F771,F771)=1),MAX(Q$1:Q770)+1,"")</f>
        <v/>
      </c>
    </row>
    <row r="772" customFormat="false" ht="15" hidden="false" customHeight="false" outlineLevel="0" collapsed="false">
      <c r="A772" s="9"/>
      <c r="B772" s="10"/>
      <c r="C772" s="11"/>
      <c r="D772" s="11"/>
      <c r="E772" s="11"/>
      <c r="F772" s="11"/>
      <c r="G772" s="12"/>
      <c r="H772" s="12"/>
      <c r="I772" s="10"/>
      <c r="J772" s="12"/>
      <c r="K772" s="13" t="str">
        <f aca="false">IF(ISNUMBER(B772),YEAR(B772),"")</f>
        <v/>
      </c>
      <c r="L772" s="13" t="str">
        <f aca="false">IF(ISNUMBER(B772),MONTH(B772),"")</f>
        <v/>
      </c>
      <c r="M772" s="13" t="str">
        <f aca="false">IF(AND(ISNUMBER(B772),ISNUMBER(I772)),B772-I772+1,"")</f>
        <v/>
      </c>
      <c r="N772" s="14" t="str">
        <f aca="false">IF(B772="","",IF(M772="","시작일 미입력",IF(M772&lt;1,"시작일 이전(확인)",IF(M772=1,"1일째",IF(M772=2,"2일째",IF(M772=3,"3일째",IF(M772&lt;=7,"일주일 이내",IF(M772&lt;=14,"이주일 이내","15일 이후"))))))))</f>
        <v/>
      </c>
      <c r="O772" s="0" t="str">
        <f aca="false">IF(AND(COUNTA($A772:$J772)&gt;0,OR(클레임조회!$C$4="",AND(ISNUMBER($B772),$B772&gt;=클레임조회!$C$4)),OR(클레임조회!$C$5="",AND(ISNUMBER($B772),$B772&lt;=클레임조회!$C$5)),OR(클레임조회!$C$6="",$C772=클레임조회!$C$6),OR(클레임조회!$C$7="",$D772=클레임조회!$C$7),OR(클레임조회!$C$8="",$E772=클레임조회!$C$8),OR(클레임조회!$C$9="",$F772=클레임조회!$C$9),OR(클레임조회!$C$10="",ISNUMBER(SEARCH(클레임조회!$C$10,$C772&amp;" "&amp;$F772&amp;" "&amp;$G772&amp;" "&amp;$H772)))),COUNT(O$1:O771)+1,"")</f>
        <v/>
      </c>
      <c r="P772" s="0" t="str">
        <f aca="false">IF(AND(TRIM(C772)&lt;&gt;"",COUNTIF(C$2:C772,C772)=1),MAX(P$1:P771)+1,"")</f>
        <v/>
      </c>
      <c r="Q772" s="0" t="str">
        <f aca="false">IF(AND(TRIM(F772)&lt;&gt;"",COUNTIF(F$2:F772,F772)=1),MAX(Q$1:Q771)+1,"")</f>
        <v/>
      </c>
    </row>
    <row r="773" customFormat="false" ht="15" hidden="false" customHeight="false" outlineLevel="0" collapsed="false">
      <c r="A773" s="9"/>
      <c r="B773" s="10"/>
      <c r="C773" s="11"/>
      <c r="D773" s="11"/>
      <c r="E773" s="11"/>
      <c r="F773" s="11"/>
      <c r="G773" s="12"/>
      <c r="H773" s="12"/>
      <c r="I773" s="10"/>
      <c r="J773" s="12"/>
      <c r="K773" s="13" t="str">
        <f aca="false">IF(ISNUMBER(B773),YEAR(B773),"")</f>
        <v/>
      </c>
      <c r="L773" s="13" t="str">
        <f aca="false">IF(ISNUMBER(B773),MONTH(B773),"")</f>
        <v/>
      </c>
      <c r="M773" s="13" t="str">
        <f aca="false">IF(AND(ISNUMBER(B773),ISNUMBER(I773)),B773-I773+1,"")</f>
        <v/>
      </c>
      <c r="N773" s="14" t="str">
        <f aca="false">IF(B773="","",IF(M773="","시작일 미입력",IF(M773&lt;1,"시작일 이전(확인)",IF(M773=1,"1일째",IF(M773=2,"2일째",IF(M773=3,"3일째",IF(M773&lt;=7,"일주일 이내",IF(M773&lt;=14,"이주일 이내","15일 이후"))))))))</f>
        <v/>
      </c>
      <c r="O773" s="0" t="str">
        <f aca="false">IF(AND(COUNTA($A773:$J773)&gt;0,OR(클레임조회!$C$4="",AND(ISNUMBER($B773),$B773&gt;=클레임조회!$C$4)),OR(클레임조회!$C$5="",AND(ISNUMBER($B773),$B773&lt;=클레임조회!$C$5)),OR(클레임조회!$C$6="",$C773=클레임조회!$C$6),OR(클레임조회!$C$7="",$D773=클레임조회!$C$7),OR(클레임조회!$C$8="",$E773=클레임조회!$C$8),OR(클레임조회!$C$9="",$F773=클레임조회!$C$9),OR(클레임조회!$C$10="",ISNUMBER(SEARCH(클레임조회!$C$10,$C773&amp;" "&amp;$F773&amp;" "&amp;$G773&amp;" "&amp;$H773)))),COUNT(O$1:O772)+1,"")</f>
        <v/>
      </c>
      <c r="P773" s="0" t="str">
        <f aca="false">IF(AND(TRIM(C773)&lt;&gt;"",COUNTIF(C$2:C773,C773)=1),MAX(P$1:P772)+1,"")</f>
        <v/>
      </c>
      <c r="Q773" s="0" t="str">
        <f aca="false">IF(AND(TRIM(F773)&lt;&gt;"",COUNTIF(F$2:F773,F773)=1),MAX(Q$1:Q772)+1,"")</f>
        <v/>
      </c>
    </row>
    <row r="774" customFormat="false" ht="15" hidden="false" customHeight="false" outlineLevel="0" collapsed="false">
      <c r="A774" s="9"/>
      <c r="B774" s="10"/>
      <c r="C774" s="11"/>
      <c r="D774" s="11"/>
      <c r="E774" s="11"/>
      <c r="F774" s="11"/>
      <c r="G774" s="12"/>
      <c r="H774" s="12"/>
      <c r="I774" s="10"/>
      <c r="J774" s="12"/>
      <c r="K774" s="13" t="str">
        <f aca="false">IF(ISNUMBER(B774),YEAR(B774),"")</f>
        <v/>
      </c>
      <c r="L774" s="13" t="str">
        <f aca="false">IF(ISNUMBER(B774),MONTH(B774),"")</f>
        <v/>
      </c>
      <c r="M774" s="13" t="str">
        <f aca="false">IF(AND(ISNUMBER(B774),ISNUMBER(I774)),B774-I774+1,"")</f>
        <v/>
      </c>
      <c r="N774" s="14" t="str">
        <f aca="false">IF(B774="","",IF(M774="","시작일 미입력",IF(M774&lt;1,"시작일 이전(확인)",IF(M774=1,"1일째",IF(M774=2,"2일째",IF(M774=3,"3일째",IF(M774&lt;=7,"일주일 이내",IF(M774&lt;=14,"이주일 이내","15일 이후"))))))))</f>
        <v/>
      </c>
      <c r="O774" s="0" t="str">
        <f aca="false">IF(AND(COUNTA($A774:$J774)&gt;0,OR(클레임조회!$C$4="",AND(ISNUMBER($B774),$B774&gt;=클레임조회!$C$4)),OR(클레임조회!$C$5="",AND(ISNUMBER($B774),$B774&lt;=클레임조회!$C$5)),OR(클레임조회!$C$6="",$C774=클레임조회!$C$6),OR(클레임조회!$C$7="",$D774=클레임조회!$C$7),OR(클레임조회!$C$8="",$E774=클레임조회!$C$8),OR(클레임조회!$C$9="",$F774=클레임조회!$C$9),OR(클레임조회!$C$10="",ISNUMBER(SEARCH(클레임조회!$C$10,$C774&amp;" "&amp;$F774&amp;" "&amp;$G774&amp;" "&amp;$H774)))),COUNT(O$1:O773)+1,"")</f>
        <v/>
      </c>
      <c r="P774" s="0" t="str">
        <f aca="false">IF(AND(TRIM(C774)&lt;&gt;"",COUNTIF(C$2:C774,C774)=1),MAX(P$1:P773)+1,"")</f>
        <v/>
      </c>
      <c r="Q774" s="0" t="str">
        <f aca="false">IF(AND(TRIM(F774)&lt;&gt;"",COUNTIF(F$2:F774,F774)=1),MAX(Q$1:Q773)+1,"")</f>
        <v/>
      </c>
    </row>
    <row r="775" customFormat="false" ht="15" hidden="false" customHeight="false" outlineLevel="0" collapsed="false">
      <c r="A775" s="9"/>
      <c r="B775" s="10"/>
      <c r="C775" s="11"/>
      <c r="D775" s="11"/>
      <c r="E775" s="11"/>
      <c r="F775" s="11"/>
      <c r="G775" s="12"/>
      <c r="H775" s="12"/>
      <c r="I775" s="10"/>
      <c r="J775" s="12"/>
      <c r="K775" s="13" t="str">
        <f aca="false">IF(ISNUMBER(B775),YEAR(B775),"")</f>
        <v/>
      </c>
      <c r="L775" s="13" t="str">
        <f aca="false">IF(ISNUMBER(B775),MONTH(B775),"")</f>
        <v/>
      </c>
      <c r="M775" s="13" t="str">
        <f aca="false">IF(AND(ISNUMBER(B775),ISNUMBER(I775)),B775-I775+1,"")</f>
        <v/>
      </c>
      <c r="N775" s="14" t="str">
        <f aca="false">IF(B775="","",IF(M775="","시작일 미입력",IF(M775&lt;1,"시작일 이전(확인)",IF(M775=1,"1일째",IF(M775=2,"2일째",IF(M775=3,"3일째",IF(M775&lt;=7,"일주일 이내",IF(M775&lt;=14,"이주일 이내","15일 이후"))))))))</f>
        <v/>
      </c>
      <c r="O775" s="0" t="str">
        <f aca="false">IF(AND(COUNTA($A775:$J775)&gt;0,OR(클레임조회!$C$4="",AND(ISNUMBER($B775),$B775&gt;=클레임조회!$C$4)),OR(클레임조회!$C$5="",AND(ISNUMBER($B775),$B775&lt;=클레임조회!$C$5)),OR(클레임조회!$C$6="",$C775=클레임조회!$C$6),OR(클레임조회!$C$7="",$D775=클레임조회!$C$7),OR(클레임조회!$C$8="",$E775=클레임조회!$C$8),OR(클레임조회!$C$9="",$F775=클레임조회!$C$9),OR(클레임조회!$C$10="",ISNUMBER(SEARCH(클레임조회!$C$10,$C775&amp;" "&amp;$F775&amp;" "&amp;$G775&amp;" "&amp;$H775)))),COUNT(O$1:O774)+1,"")</f>
        <v/>
      </c>
      <c r="P775" s="0" t="str">
        <f aca="false">IF(AND(TRIM(C775)&lt;&gt;"",COUNTIF(C$2:C775,C775)=1),MAX(P$1:P774)+1,"")</f>
        <v/>
      </c>
      <c r="Q775" s="0" t="str">
        <f aca="false">IF(AND(TRIM(F775)&lt;&gt;"",COUNTIF(F$2:F775,F775)=1),MAX(Q$1:Q774)+1,"")</f>
        <v/>
      </c>
    </row>
    <row r="776" customFormat="false" ht="15" hidden="false" customHeight="false" outlineLevel="0" collapsed="false">
      <c r="A776" s="9"/>
      <c r="B776" s="10"/>
      <c r="C776" s="11"/>
      <c r="D776" s="11"/>
      <c r="E776" s="11"/>
      <c r="F776" s="11"/>
      <c r="G776" s="12"/>
      <c r="H776" s="12"/>
      <c r="I776" s="10"/>
      <c r="J776" s="12"/>
      <c r="K776" s="13" t="str">
        <f aca="false">IF(ISNUMBER(B776),YEAR(B776),"")</f>
        <v/>
      </c>
      <c r="L776" s="13" t="str">
        <f aca="false">IF(ISNUMBER(B776),MONTH(B776),"")</f>
        <v/>
      </c>
      <c r="M776" s="13" t="str">
        <f aca="false">IF(AND(ISNUMBER(B776),ISNUMBER(I776)),B776-I776+1,"")</f>
        <v/>
      </c>
      <c r="N776" s="14" t="str">
        <f aca="false">IF(B776="","",IF(M776="","시작일 미입력",IF(M776&lt;1,"시작일 이전(확인)",IF(M776=1,"1일째",IF(M776=2,"2일째",IF(M776=3,"3일째",IF(M776&lt;=7,"일주일 이내",IF(M776&lt;=14,"이주일 이내","15일 이후"))))))))</f>
        <v/>
      </c>
      <c r="O776" s="0" t="str">
        <f aca="false">IF(AND(COUNTA($A776:$J776)&gt;0,OR(클레임조회!$C$4="",AND(ISNUMBER($B776),$B776&gt;=클레임조회!$C$4)),OR(클레임조회!$C$5="",AND(ISNUMBER($B776),$B776&lt;=클레임조회!$C$5)),OR(클레임조회!$C$6="",$C776=클레임조회!$C$6),OR(클레임조회!$C$7="",$D776=클레임조회!$C$7),OR(클레임조회!$C$8="",$E776=클레임조회!$C$8),OR(클레임조회!$C$9="",$F776=클레임조회!$C$9),OR(클레임조회!$C$10="",ISNUMBER(SEARCH(클레임조회!$C$10,$C776&amp;" "&amp;$F776&amp;" "&amp;$G776&amp;" "&amp;$H776)))),COUNT(O$1:O775)+1,"")</f>
        <v/>
      </c>
      <c r="P776" s="0" t="str">
        <f aca="false">IF(AND(TRIM(C776)&lt;&gt;"",COUNTIF(C$2:C776,C776)=1),MAX(P$1:P775)+1,"")</f>
        <v/>
      </c>
      <c r="Q776" s="0" t="str">
        <f aca="false">IF(AND(TRIM(F776)&lt;&gt;"",COUNTIF(F$2:F776,F776)=1),MAX(Q$1:Q775)+1,"")</f>
        <v/>
      </c>
    </row>
    <row r="777" customFormat="false" ht="15" hidden="false" customHeight="false" outlineLevel="0" collapsed="false">
      <c r="A777" s="9"/>
      <c r="B777" s="10"/>
      <c r="C777" s="11"/>
      <c r="D777" s="11"/>
      <c r="E777" s="11"/>
      <c r="F777" s="11"/>
      <c r="G777" s="12"/>
      <c r="H777" s="12"/>
      <c r="I777" s="10"/>
      <c r="J777" s="12"/>
      <c r="K777" s="13" t="str">
        <f aca="false">IF(ISNUMBER(B777),YEAR(B777),"")</f>
        <v/>
      </c>
      <c r="L777" s="13" t="str">
        <f aca="false">IF(ISNUMBER(B777),MONTH(B777),"")</f>
        <v/>
      </c>
      <c r="M777" s="13" t="str">
        <f aca="false">IF(AND(ISNUMBER(B777),ISNUMBER(I777)),B777-I777+1,"")</f>
        <v/>
      </c>
      <c r="N777" s="14" t="str">
        <f aca="false">IF(B777="","",IF(M777="","시작일 미입력",IF(M777&lt;1,"시작일 이전(확인)",IF(M777=1,"1일째",IF(M777=2,"2일째",IF(M777=3,"3일째",IF(M777&lt;=7,"일주일 이내",IF(M777&lt;=14,"이주일 이내","15일 이후"))))))))</f>
        <v/>
      </c>
      <c r="O777" s="0" t="str">
        <f aca="false">IF(AND(COUNTA($A777:$J777)&gt;0,OR(클레임조회!$C$4="",AND(ISNUMBER($B777),$B777&gt;=클레임조회!$C$4)),OR(클레임조회!$C$5="",AND(ISNUMBER($B777),$B777&lt;=클레임조회!$C$5)),OR(클레임조회!$C$6="",$C777=클레임조회!$C$6),OR(클레임조회!$C$7="",$D777=클레임조회!$C$7),OR(클레임조회!$C$8="",$E777=클레임조회!$C$8),OR(클레임조회!$C$9="",$F777=클레임조회!$C$9),OR(클레임조회!$C$10="",ISNUMBER(SEARCH(클레임조회!$C$10,$C777&amp;" "&amp;$F777&amp;" "&amp;$G777&amp;" "&amp;$H777)))),COUNT(O$1:O776)+1,"")</f>
        <v/>
      </c>
      <c r="P777" s="0" t="str">
        <f aca="false">IF(AND(TRIM(C777)&lt;&gt;"",COUNTIF(C$2:C777,C777)=1),MAX(P$1:P776)+1,"")</f>
        <v/>
      </c>
      <c r="Q777" s="0" t="str">
        <f aca="false">IF(AND(TRIM(F777)&lt;&gt;"",COUNTIF(F$2:F777,F777)=1),MAX(Q$1:Q776)+1,"")</f>
        <v/>
      </c>
    </row>
    <row r="778" customFormat="false" ht="15" hidden="false" customHeight="false" outlineLevel="0" collapsed="false">
      <c r="A778" s="9"/>
      <c r="B778" s="10"/>
      <c r="C778" s="11"/>
      <c r="D778" s="11"/>
      <c r="E778" s="11"/>
      <c r="F778" s="11"/>
      <c r="G778" s="12"/>
      <c r="H778" s="12"/>
      <c r="I778" s="10"/>
      <c r="J778" s="12"/>
      <c r="K778" s="13" t="str">
        <f aca="false">IF(ISNUMBER(B778),YEAR(B778),"")</f>
        <v/>
      </c>
      <c r="L778" s="13" t="str">
        <f aca="false">IF(ISNUMBER(B778),MONTH(B778),"")</f>
        <v/>
      </c>
      <c r="M778" s="13" t="str">
        <f aca="false">IF(AND(ISNUMBER(B778),ISNUMBER(I778)),B778-I778+1,"")</f>
        <v/>
      </c>
      <c r="N778" s="14" t="str">
        <f aca="false">IF(B778="","",IF(M778="","시작일 미입력",IF(M778&lt;1,"시작일 이전(확인)",IF(M778=1,"1일째",IF(M778=2,"2일째",IF(M778=3,"3일째",IF(M778&lt;=7,"일주일 이내",IF(M778&lt;=14,"이주일 이내","15일 이후"))))))))</f>
        <v/>
      </c>
      <c r="O778" s="0" t="str">
        <f aca="false">IF(AND(COUNTA($A778:$J778)&gt;0,OR(클레임조회!$C$4="",AND(ISNUMBER($B778),$B778&gt;=클레임조회!$C$4)),OR(클레임조회!$C$5="",AND(ISNUMBER($B778),$B778&lt;=클레임조회!$C$5)),OR(클레임조회!$C$6="",$C778=클레임조회!$C$6),OR(클레임조회!$C$7="",$D778=클레임조회!$C$7),OR(클레임조회!$C$8="",$E778=클레임조회!$C$8),OR(클레임조회!$C$9="",$F778=클레임조회!$C$9),OR(클레임조회!$C$10="",ISNUMBER(SEARCH(클레임조회!$C$10,$C778&amp;" "&amp;$F778&amp;" "&amp;$G778&amp;" "&amp;$H778)))),COUNT(O$1:O777)+1,"")</f>
        <v/>
      </c>
      <c r="P778" s="0" t="str">
        <f aca="false">IF(AND(TRIM(C778)&lt;&gt;"",COUNTIF(C$2:C778,C778)=1),MAX(P$1:P777)+1,"")</f>
        <v/>
      </c>
      <c r="Q778" s="0" t="str">
        <f aca="false">IF(AND(TRIM(F778)&lt;&gt;"",COUNTIF(F$2:F778,F778)=1),MAX(Q$1:Q777)+1,"")</f>
        <v/>
      </c>
    </row>
    <row r="779" customFormat="false" ht="15" hidden="false" customHeight="false" outlineLevel="0" collapsed="false">
      <c r="A779" s="9"/>
      <c r="B779" s="10"/>
      <c r="C779" s="11"/>
      <c r="D779" s="11"/>
      <c r="E779" s="11"/>
      <c r="F779" s="11"/>
      <c r="G779" s="12"/>
      <c r="H779" s="12"/>
      <c r="I779" s="10"/>
      <c r="J779" s="12"/>
      <c r="K779" s="13" t="str">
        <f aca="false">IF(ISNUMBER(B779),YEAR(B779),"")</f>
        <v/>
      </c>
      <c r="L779" s="13" t="str">
        <f aca="false">IF(ISNUMBER(B779),MONTH(B779),"")</f>
        <v/>
      </c>
      <c r="M779" s="13" t="str">
        <f aca="false">IF(AND(ISNUMBER(B779),ISNUMBER(I779)),B779-I779+1,"")</f>
        <v/>
      </c>
      <c r="N779" s="14" t="str">
        <f aca="false">IF(B779="","",IF(M779="","시작일 미입력",IF(M779&lt;1,"시작일 이전(확인)",IF(M779=1,"1일째",IF(M779=2,"2일째",IF(M779=3,"3일째",IF(M779&lt;=7,"일주일 이내",IF(M779&lt;=14,"이주일 이내","15일 이후"))))))))</f>
        <v/>
      </c>
      <c r="O779" s="0" t="str">
        <f aca="false">IF(AND(COUNTA($A779:$J779)&gt;0,OR(클레임조회!$C$4="",AND(ISNUMBER($B779),$B779&gt;=클레임조회!$C$4)),OR(클레임조회!$C$5="",AND(ISNUMBER($B779),$B779&lt;=클레임조회!$C$5)),OR(클레임조회!$C$6="",$C779=클레임조회!$C$6),OR(클레임조회!$C$7="",$D779=클레임조회!$C$7),OR(클레임조회!$C$8="",$E779=클레임조회!$C$8),OR(클레임조회!$C$9="",$F779=클레임조회!$C$9),OR(클레임조회!$C$10="",ISNUMBER(SEARCH(클레임조회!$C$10,$C779&amp;" "&amp;$F779&amp;" "&amp;$G779&amp;" "&amp;$H779)))),COUNT(O$1:O778)+1,"")</f>
        <v/>
      </c>
      <c r="P779" s="0" t="str">
        <f aca="false">IF(AND(TRIM(C779)&lt;&gt;"",COUNTIF(C$2:C779,C779)=1),MAX(P$1:P778)+1,"")</f>
        <v/>
      </c>
      <c r="Q779" s="0" t="str">
        <f aca="false">IF(AND(TRIM(F779)&lt;&gt;"",COUNTIF(F$2:F779,F779)=1),MAX(Q$1:Q778)+1,"")</f>
        <v/>
      </c>
    </row>
    <row r="780" customFormat="false" ht="15" hidden="false" customHeight="false" outlineLevel="0" collapsed="false">
      <c r="A780" s="9"/>
      <c r="B780" s="10"/>
      <c r="C780" s="11"/>
      <c r="D780" s="11"/>
      <c r="E780" s="11"/>
      <c r="F780" s="11"/>
      <c r="G780" s="12"/>
      <c r="H780" s="12"/>
      <c r="I780" s="10"/>
      <c r="J780" s="12"/>
      <c r="K780" s="13" t="str">
        <f aca="false">IF(ISNUMBER(B780),YEAR(B780),"")</f>
        <v/>
      </c>
      <c r="L780" s="13" t="str">
        <f aca="false">IF(ISNUMBER(B780),MONTH(B780),"")</f>
        <v/>
      </c>
      <c r="M780" s="13" t="str">
        <f aca="false">IF(AND(ISNUMBER(B780),ISNUMBER(I780)),B780-I780+1,"")</f>
        <v/>
      </c>
      <c r="N780" s="14" t="str">
        <f aca="false">IF(B780="","",IF(M780="","시작일 미입력",IF(M780&lt;1,"시작일 이전(확인)",IF(M780=1,"1일째",IF(M780=2,"2일째",IF(M780=3,"3일째",IF(M780&lt;=7,"일주일 이내",IF(M780&lt;=14,"이주일 이내","15일 이후"))))))))</f>
        <v/>
      </c>
      <c r="O780" s="0" t="str">
        <f aca="false">IF(AND(COUNTA($A780:$J780)&gt;0,OR(클레임조회!$C$4="",AND(ISNUMBER($B780),$B780&gt;=클레임조회!$C$4)),OR(클레임조회!$C$5="",AND(ISNUMBER($B780),$B780&lt;=클레임조회!$C$5)),OR(클레임조회!$C$6="",$C780=클레임조회!$C$6),OR(클레임조회!$C$7="",$D780=클레임조회!$C$7),OR(클레임조회!$C$8="",$E780=클레임조회!$C$8),OR(클레임조회!$C$9="",$F780=클레임조회!$C$9),OR(클레임조회!$C$10="",ISNUMBER(SEARCH(클레임조회!$C$10,$C780&amp;" "&amp;$F780&amp;" "&amp;$G780&amp;" "&amp;$H780)))),COUNT(O$1:O779)+1,"")</f>
        <v/>
      </c>
      <c r="P780" s="0" t="str">
        <f aca="false">IF(AND(TRIM(C780)&lt;&gt;"",COUNTIF(C$2:C780,C780)=1),MAX(P$1:P779)+1,"")</f>
        <v/>
      </c>
      <c r="Q780" s="0" t="str">
        <f aca="false">IF(AND(TRIM(F780)&lt;&gt;"",COUNTIF(F$2:F780,F780)=1),MAX(Q$1:Q779)+1,"")</f>
        <v/>
      </c>
    </row>
    <row r="781" customFormat="false" ht="15" hidden="false" customHeight="false" outlineLevel="0" collapsed="false">
      <c r="A781" s="9"/>
      <c r="B781" s="10"/>
      <c r="C781" s="11"/>
      <c r="D781" s="11"/>
      <c r="E781" s="11"/>
      <c r="F781" s="11"/>
      <c r="G781" s="12"/>
      <c r="H781" s="12"/>
      <c r="I781" s="10"/>
      <c r="J781" s="12"/>
      <c r="K781" s="13" t="str">
        <f aca="false">IF(ISNUMBER(B781),YEAR(B781),"")</f>
        <v/>
      </c>
      <c r="L781" s="13" t="str">
        <f aca="false">IF(ISNUMBER(B781),MONTH(B781),"")</f>
        <v/>
      </c>
      <c r="M781" s="13" t="str">
        <f aca="false">IF(AND(ISNUMBER(B781),ISNUMBER(I781)),B781-I781+1,"")</f>
        <v/>
      </c>
      <c r="N781" s="14" t="str">
        <f aca="false">IF(B781="","",IF(M781="","시작일 미입력",IF(M781&lt;1,"시작일 이전(확인)",IF(M781=1,"1일째",IF(M781=2,"2일째",IF(M781=3,"3일째",IF(M781&lt;=7,"일주일 이내",IF(M781&lt;=14,"이주일 이내","15일 이후"))))))))</f>
        <v/>
      </c>
      <c r="O781" s="0" t="str">
        <f aca="false">IF(AND(COUNTA($A781:$J781)&gt;0,OR(클레임조회!$C$4="",AND(ISNUMBER($B781),$B781&gt;=클레임조회!$C$4)),OR(클레임조회!$C$5="",AND(ISNUMBER($B781),$B781&lt;=클레임조회!$C$5)),OR(클레임조회!$C$6="",$C781=클레임조회!$C$6),OR(클레임조회!$C$7="",$D781=클레임조회!$C$7),OR(클레임조회!$C$8="",$E781=클레임조회!$C$8),OR(클레임조회!$C$9="",$F781=클레임조회!$C$9),OR(클레임조회!$C$10="",ISNUMBER(SEARCH(클레임조회!$C$10,$C781&amp;" "&amp;$F781&amp;" "&amp;$G781&amp;" "&amp;$H781)))),COUNT(O$1:O780)+1,"")</f>
        <v/>
      </c>
      <c r="P781" s="0" t="str">
        <f aca="false">IF(AND(TRIM(C781)&lt;&gt;"",COUNTIF(C$2:C781,C781)=1),MAX(P$1:P780)+1,"")</f>
        <v/>
      </c>
      <c r="Q781" s="0" t="str">
        <f aca="false">IF(AND(TRIM(F781)&lt;&gt;"",COUNTIF(F$2:F781,F781)=1),MAX(Q$1:Q780)+1,"")</f>
        <v/>
      </c>
    </row>
    <row r="782" customFormat="false" ht="15" hidden="false" customHeight="false" outlineLevel="0" collapsed="false">
      <c r="A782" s="9"/>
      <c r="B782" s="10"/>
      <c r="C782" s="11"/>
      <c r="D782" s="11"/>
      <c r="E782" s="11"/>
      <c r="F782" s="11"/>
      <c r="G782" s="12"/>
      <c r="H782" s="12"/>
      <c r="I782" s="10"/>
      <c r="J782" s="12"/>
      <c r="K782" s="13" t="str">
        <f aca="false">IF(ISNUMBER(B782),YEAR(B782),"")</f>
        <v/>
      </c>
      <c r="L782" s="13" t="str">
        <f aca="false">IF(ISNUMBER(B782),MONTH(B782),"")</f>
        <v/>
      </c>
      <c r="M782" s="13" t="str">
        <f aca="false">IF(AND(ISNUMBER(B782),ISNUMBER(I782)),B782-I782+1,"")</f>
        <v/>
      </c>
      <c r="N782" s="14" t="str">
        <f aca="false">IF(B782="","",IF(M782="","시작일 미입력",IF(M782&lt;1,"시작일 이전(확인)",IF(M782=1,"1일째",IF(M782=2,"2일째",IF(M782=3,"3일째",IF(M782&lt;=7,"일주일 이내",IF(M782&lt;=14,"이주일 이내","15일 이후"))))))))</f>
        <v/>
      </c>
      <c r="O782" s="0" t="str">
        <f aca="false">IF(AND(COUNTA($A782:$J782)&gt;0,OR(클레임조회!$C$4="",AND(ISNUMBER($B782),$B782&gt;=클레임조회!$C$4)),OR(클레임조회!$C$5="",AND(ISNUMBER($B782),$B782&lt;=클레임조회!$C$5)),OR(클레임조회!$C$6="",$C782=클레임조회!$C$6),OR(클레임조회!$C$7="",$D782=클레임조회!$C$7),OR(클레임조회!$C$8="",$E782=클레임조회!$C$8),OR(클레임조회!$C$9="",$F782=클레임조회!$C$9),OR(클레임조회!$C$10="",ISNUMBER(SEARCH(클레임조회!$C$10,$C782&amp;" "&amp;$F782&amp;" "&amp;$G782&amp;" "&amp;$H782)))),COUNT(O$1:O781)+1,"")</f>
        <v/>
      </c>
      <c r="P782" s="0" t="str">
        <f aca="false">IF(AND(TRIM(C782)&lt;&gt;"",COUNTIF(C$2:C782,C782)=1),MAX(P$1:P781)+1,"")</f>
        <v/>
      </c>
      <c r="Q782" s="0" t="str">
        <f aca="false">IF(AND(TRIM(F782)&lt;&gt;"",COUNTIF(F$2:F782,F782)=1),MAX(Q$1:Q781)+1,"")</f>
        <v/>
      </c>
    </row>
    <row r="783" customFormat="false" ht="15" hidden="false" customHeight="false" outlineLevel="0" collapsed="false">
      <c r="A783" s="9"/>
      <c r="B783" s="10"/>
      <c r="C783" s="11"/>
      <c r="D783" s="11"/>
      <c r="E783" s="11"/>
      <c r="F783" s="11"/>
      <c r="G783" s="12"/>
      <c r="H783" s="12"/>
      <c r="I783" s="10"/>
      <c r="J783" s="12"/>
      <c r="K783" s="13" t="str">
        <f aca="false">IF(ISNUMBER(B783),YEAR(B783),"")</f>
        <v/>
      </c>
      <c r="L783" s="13" t="str">
        <f aca="false">IF(ISNUMBER(B783),MONTH(B783),"")</f>
        <v/>
      </c>
      <c r="M783" s="13" t="str">
        <f aca="false">IF(AND(ISNUMBER(B783),ISNUMBER(I783)),B783-I783+1,"")</f>
        <v/>
      </c>
      <c r="N783" s="14" t="str">
        <f aca="false">IF(B783="","",IF(M783="","시작일 미입력",IF(M783&lt;1,"시작일 이전(확인)",IF(M783=1,"1일째",IF(M783=2,"2일째",IF(M783=3,"3일째",IF(M783&lt;=7,"일주일 이내",IF(M783&lt;=14,"이주일 이내","15일 이후"))))))))</f>
        <v/>
      </c>
      <c r="O783" s="0" t="str">
        <f aca="false">IF(AND(COUNTA($A783:$J783)&gt;0,OR(클레임조회!$C$4="",AND(ISNUMBER($B783),$B783&gt;=클레임조회!$C$4)),OR(클레임조회!$C$5="",AND(ISNUMBER($B783),$B783&lt;=클레임조회!$C$5)),OR(클레임조회!$C$6="",$C783=클레임조회!$C$6),OR(클레임조회!$C$7="",$D783=클레임조회!$C$7),OR(클레임조회!$C$8="",$E783=클레임조회!$C$8),OR(클레임조회!$C$9="",$F783=클레임조회!$C$9),OR(클레임조회!$C$10="",ISNUMBER(SEARCH(클레임조회!$C$10,$C783&amp;" "&amp;$F783&amp;" "&amp;$G783&amp;" "&amp;$H783)))),COUNT(O$1:O782)+1,"")</f>
        <v/>
      </c>
      <c r="P783" s="0" t="str">
        <f aca="false">IF(AND(TRIM(C783)&lt;&gt;"",COUNTIF(C$2:C783,C783)=1),MAX(P$1:P782)+1,"")</f>
        <v/>
      </c>
      <c r="Q783" s="0" t="str">
        <f aca="false">IF(AND(TRIM(F783)&lt;&gt;"",COUNTIF(F$2:F783,F783)=1),MAX(Q$1:Q782)+1,"")</f>
        <v/>
      </c>
    </row>
    <row r="784" customFormat="false" ht="15" hidden="false" customHeight="false" outlineLevel="0" collapsed="false">
      <c r="A784" s="9"/>
      <c r="B784" s="10"/>
      <c r="C784" s="11"/>
      <c r="D784" s="11"/>
      <c r="E784" s="11"/>
      <c r="F784" s="11"/>
      <c r="G784" s="12"/>
      <c r="H784" s="12"/>
      <c r="I784" s="10"/>
      <c r="J784" s="12"/>
      <c r="K784" s="13" t="str">
        <f aca="false">IF(ISNUMBER(B784),YEAR(B784),"")</f>
        <v/>
      </c>
      <c r="L784" s="13" t="str">
        <f aca="false">IF(ISNUMBER(B784),MONTH(B784),"")</f>
        <v/>
      </c>
      <c r="M784" s="13" t="str">
        <f aca="false">IF(AND(ISNUMBER(B784),ISNUMBER(I784)),B784-I784+1,"")</f>
        <v/>
      </c>
      <c r="N784" s="14" t="str">
        <f aca="false">IF(B784="","",IF(M784="","시작일 미입력",IF(M784&lt;1,"시작일 이전(확인)",IF(M784=1,"1일째",IF(M784=2,"2일째",IF(M784=3,"3일째",IF(M784&lt;=7,"일주일 이내",IF(M784&lt;=14,"이주일 이내","15일 이후"))))))))</f>
        <v/>
      </c>
      <c r="O784" s="0" t="str">
        <f aca="false">IF(AND(COUNTA($A784:$J784)&gt;0,OR(클레임조회!$C$4="",AND(ISNUMBER($B784),$B784&gt;=클레임조회!$C$4)),OR(클레임조회!$C$5="",AND(ISNUMBER($B784),$B784&lt;=클레임조회!$C$5)),OR(클레임조회!$C$6="",$C784=클레임조회!$C$6),OR(클레임조회!$C$7="",$D784=클레임조회!$C$7),OR(클레임조회!$C$8="",$E784=클레임조회!$C$8),OR(클레임조회!$C$9="",$F784=클레임조회!$C$9),OR(클레임조회!$C$10="",ISNUMBER(SEARCH(클레임조회!$C$10,$C784&amp;" "&amp;$F784&amp;" "&amp;$G784&amp;" "&amp;$H784)))),COUNT(O$1:O783)+1,"")</f>
        <v/>
      </c>
      <c r="P784" s="0" t="str">
        <f aca="false">IF(AND(TRIM(C784)&lt;&gt;"",COUNTIF(C$2:C784,C784)=1),MAX(P$1:P783)+1,"")</f>
        <v/>
      </c>
      <c r="Q784" s="0" t="str">
        <f aca="false">IF(AND(TRIM(F784)&lt;&gt;"",COUNTIF(F$2:F784,F784)=1),MAX(Q$1:Q783)+1,"")</f>
        <v/>
      </c>
    </row>
    <row r="785" customFormat="false" ht="15" hidden="false" customHeight="false" outlineLevel="0" collapsed="false">
      <c r="A785" s="9"/>
      <c r="B785" s="10"/>
      <c r="C785" s="11"/>
      <c r="D785" s="11"/>
      <c r="E785" s="11"/>
      <c r="F785" s="11"/>
      <c r="G785" s="12"/>
      <c r="H785" s="12"/>
      <c r="I785" s="10"/>
      <c r="J785" s="12"/>
      <c r="K785" s="13" t="str">
        <f aca="false">IF(ISNUMBER(B785),YEAR(B785),"")</f>
        <v/>
      </c>
      <c r="L785" s="13" t="str">
        <f aca="false">IF(ISNUMBER(B785),MONTH(B785),"")</f>
        <v/>
      </c>
      <c r="M785" s="13" t="str">
        <f aca="false">IF(AND(ISNUMBER(B785),ISNUMBER(I785)),B785-I785+1,"")</f>
        <v/>
      </c>
      <c r="N785" s="14" t="str">
        <f aca="false">IF(B785="","",IF(M785="","시작일 미입력",IF(M785&lt;1,"시작일 이전(확인)",IF(M785=1,"1일째",IF(M785=2,"2일째",IF(M785=3,"3일째",IF(M785&lt;=7,"일주일 이내",IF(M785&lt;=14,"이주일 이내","15일 이후"))))))))</f>
        <v/>
      </c>
      <c r="O785" s="0" t="str">
        <f aca="false">IF(AND(COUNTA($A785:$J785)&gt;0,OR(클레임조회!$C$4="",AND(ISNUMBER($B785),$B785&gt;=클레임조회!$C$4)),OR(클레임조회!$C$5="",AND(ISNUMBER($B785),$B785&lt;=클레임조회!$C$5)),OR(클레임조회!$C$6="",$C785=클레임조회!$C$6),OR(클레임조회!$C$7="",$D785=클레임조회!$C$7),OR(클레임조회!$C$8="",$E785=클레임조회!$C$8),OR(클레임조회!$C$9="",$F785=클레임조회!$C$9),OR(클레임조회!$C$10="",ISNUMBER(SEARCH(클레임조회!$C$10,$C785&amp;" "&amp;$F785&amp;" "&amp;$G785&amp;" "&amp;$H785)))),COUNT(O$1:O784)+1,"")</f>
        <v/>
      </c>
      <c r="P785" s="0" t="str">
        <f aca="false">IF(AND(TRIM(C785)&lt;&gt;"",COUNTIF(C$2:C785,C785)=1),MAX(P$1:P784)+1,"")</f>
        <v/>
      </c>
      <c r="Q785" s="0" t="str">
        <f aca="false">IF(AND(TRIM(F785)&lt;&gt;"",COUNTIF(F$2:F785,F785)=1),MAX(Q$1:Q784)+1,"")</f>
        <v/>
      </c>
    </row>
    <row r="786" customFormat="false" ht="15" hidden="false" customHeight="false" outlineLevel="0" collapsed="false">
      <c r="A786" s="9"/>
      <c r="B786" s="10"/>
      <c r="C786" s="11"/>
      <c r="D786" s="11"/>
      <c r="E786" s="11"/>
      <c r="F786" s="11"/>
      <c r="G786" s="12"/>
      <c r="H786" s="12"/>
      <c r="I786" s="10"/>
      <c r="J786" s="12"/>
      <c r="K786" s="13" t="str">
        <f aca="false">IF(ISNUMBER(B786),YEAR(B786),"")</f>
        <v/>
      </c>
      <c r="L786" s="13" t="str">
        <f aca="false">IF(ISNUMBER(B786),MONTH(B786),"")</f>
        <v/>
      </c>
      <c r="M786" s="13" t="str">
        <f aca="false">IF(AND(ISNUMBER(B786),ISNUMBER(I786)),B786-I786+1,"")</f>
        <v/>
      </c>
      <c r="N786" s="14" t="str">
        <f aca="false">IF(B786="","",IF(M786="","시작일 미입력",IF(M786&lt;1,"시작일 이전(확인)",IF(M786=1,"1일째",IF(M786=2,"2일째",IF(M786=3,"3일째",IF(M786&lt;=7,"일주일 이내",IF(M786&lt;=14,"이주일 이내","15일 이후"))))))))</f>
        <v/>
      </c>
      <c r="O786" s="0" t="str">
        <f aca="false">IF(AND(COUNTA($A786:$J786)&gt;0,OR(클레임조회!$C$4="",AND(ISNUMBER($B786),$B786&gt;=클레임조회!$C$4)),OR(클레임조회!$C$5="",AND(ISNUMBER($B786),$B786&lt;=클레임조회!$C$5)),OR(클레임조회!$C$6="",$C786=클레임조회!$C$6),OR(클레임조회!$C$7="",$D786=클레임조회!$C$7),OR(클레임조회!$C$8="",$E786=클레임조회!$C$8),OR(클레임조회!$C$9="",$F786=클레임조회!$C$9),OR(클레임조회!$C$10="",ISNUMBER(SEARCH(클레임조회!$C$10,$C786&amp;" "&amp;$F786&amp;" "&amp;$G786&amp;" "&amp;$H786)))),COUNT(O$1:O785)+1,"")</f>
        <v/>
      </c>
      <c r="P786" s="0" t="str">
        <f aca="false">IF(AND(TRIM(C786)&lt;&gt;"",COUNTIF(C$2:C786,C786)=1),MAX(P$1:P785)+1,"")</f>
        <v/>
      </c>
      <c r="Q786" s="0" t="str">
        <f aca="false">IF(AND(TRIM(F786)&lt;&gt;"",COUNTIF(F$2:F786,F786)=1),MAX(Q$1:Q785)+1,"")</f>
        <v/>
      </c>
    </row>
    <row r="787" customFormat="false" ht="15" hidden="false" customHeight="false" outlineLevel="0" collapsed="false">
      <c r="A787" s="9"/>
      <c r="B787" s="10"/>
      <c r="C787" s="11"/>
      <c r="D787" s="11"/>
      <c r="E787" s="11"/>
      <c r="F787" s="11"/>
      <c r="G787" s="12"/>
      <c r="H787" s="12"/>
      <c r="I787" s="10"/>
      <c r="J787" s="12"/>
      <c r="K787" s="13" t="str">
        <f aca="false">IF(ISNUMBER(B787),YEAR(B787),"")</f>
        <v/>
      </c>
      <c r="L787" s="13" t="str">
        <f aca="false">IF(ISNUMBER(B787),MONTH(B787),"")</f>
        <v/>
      </c>
      <c r="M787" s="13" t="str">
        <f aca="false">IF(AND(ISNUMBER(B787),ISNUMBER(I787)),B787-I787+1,"")</f>
        <v/>
      </c>
      <c r="N787" s="14" t="str">
        <f aca="false">IF(B787="","",IF(M787="","시작일 미입력",IF(M787&lt;1,"시작일 이전(확인)",IF(M787=1,"1일째",IF(M787=2,"2일째",IF(M787=3,"3일째",IF(M787&lt;=7,"일주일 이내",IF(M787&lt;=14,"이주일 이내","15일 이후"))))))))</f>
        <v/>
      </c>
      <c r="O787" s="0" t="str">
        <f aca="false">IF(AND(COUNTA($A787:$J787)&gt;0,OR(클레임조회!$C$4="",AND(ISNUMBER($B787),$B787&gt;=클레임조회!$C$4)),OR(클레임조회!$C$5="",AND(ISNUMBER($B787),$B787&lt;=클레임조회!$C$5)),OR(클레임조회!$C$6="",$C787=클레임조회!$C$6),OR(클레임조회!$C$7="",$D787=클레임조회!$C$7),OR(클레임조회!$C$8="",$E787=클레임조회!$C$8),OR(클레임조회!$C$9="",$F787=클레임조회!$C$9),OR(클레임조회!$C$10="",ISNUMBER(SEARCH(클레임조회!$C$10,$C787&amp;" "&amp;$F787&amp;" "&amp;$G787&amp;" "&amp;$H787)))),COUNT(O$1:O786)+1,"")</f>
        <v/>
      </c>
      <c r="P787" s="0" t="str">
        <f aca="false">IF(AND(TRIM(C787)&lt;&gt;"",COUNTIF(C$2:C787,C787)=1),MAX(P$1:P786)+1,"")</f>
        <v/>
      </c>
      <c r="Q787" s="0" t="str">
        <f aca="false">IF(AND(TRIM(F787)&lt;&gt;"",COUNTIF(F$2:F787,F787)=1),MAX(Q$1:Q786)+1,"")</f>
        <v/>
      </c>
    </row>
    <row r="788" customFormat="false" ht="15" hidden="false" customHeight="false" outlineLevel="0" collapsed="false">
      <c r="A788" s="9"/>
      <c r="B788" s="10"/>
      <c r="C788" s="11"/>
      <c r="D788" s="11"/>
      <c r="E788" s="11"/>
      <c r="F788" s="11"/>
      <c r="G788" s="12"/>
      <c r="H788" s="12"/>
      <c r="I788" s="10"/>
      <c r="J788" s="12"/>
      <c r="K788" s="13" t="str">
        <f aca="false">IF(ISNUMBER(B788),YEAR(B788),"")</f>
        <v/>
      </c>
      <c r="L788" s="13" t="str">
        <f aca="false">IF(ISNUMBER(B788),MONTH(B788),"")</f>
        <v/>
      </c>
      <c r="M788" s="13" t="str">
        <f aca="false">IF(AND(ISNUMBER(B788),ISNUMBER(I788)),B788-I788+1,"")</f>
        <v/>
      </c>
      <c r="N788" s="14" t="str">
        <f aca="false">IF(B788="","",IF(M788="","시작일 미입력",IF(M788&lt;1,"시작일 이전(확인)",IF(M788=1,"1일째",IF(M788=2,"2일째",IF(M788=3,"3일째",IF(M788&lt;=7,"일주일 이내",IF(M788&lt;=14,"이주일 이내","15일 이후"))))))))</f>
        <v/>
      </c>
      <c r="O788" s="0" t="str">
        <f aca="false">IF(AND(COUNTA($A788:$J788)&gt;0,OR(클레임조회!$C$4="",AND(ISNUMBER($B788),$B788&gt;=클레임조회!$C$4)),OR(클레임조회!$C$5="",AND(ISNUMBER($B788),$B788&lt;=클레임조회!$C$5)),OR(클레임조회!$C$6="",$C788=클레임조회!$C$6),OR(클레임조회!$C$7="",$D788=클레임조회!$C$7),OR(클레임조회!$C$8="",$E788=클레임조회!$C$8),OR(클레임조회!$C$9="",$F788=클레임조회!$C$9),OR(클레임조회!$C$10="",ISNUMBER(SEARCH(클레임조회!$C$10,$C788&amp;" "&amp;$F788&amp;" "&amp;$G788&amp;" "&amp;$H788)))),COUNT(O$1:O787)+1,"")</f>
        <v/>
      </c>
      <c r="P788" s="0" t="str">
        <f aca="false">IF(AND(TRIM(C788)&lt;&gt;"",COUNTIF(C$2:C788,C788)=1),MAX(P$1:P787)+1,"")</f>
        <v/>
      </c>
      <c r="Q788" s="0" t="str">
        <f aca="false">IF(AND(TRIM(F788)&lt;&gt;"",COUNTIF(F$2:F788,F788)=1),MAX(Q$1:Q787)+1,"")</f>
        <v/>
      </c>
    </row>
    <row r="789" customFormat="false" ht="15" hidden="false" customHeight="false" outlineLevel="0" collapsed="false">
      <c r="A789" s="9"/>
      <c r="B789" s="10"/>
      <c r="C789" s="11"/>
      <c r="D789" s="11"/>
      <c r="E789" s="11"/>
      <c r="F789" s="11"/>
      <c r="G789" s="12"/>
      <c r="H789" s="12"/>
      <c r="I789" s="10"/>
      <c r="J789" s="12"/>
      <c r="K789" s="13" t="str">
        <f aca="false">IF(ISNUMBER(B789),YEAR(B789),"")</f>
        <v/>
      </c>
      <c r="L789" s="13" t="str">
        <f aca="false">IF(ISNUMBER(B789),MONTH(B789),"")</f>
        <v/>
      </c>
      <c r="M789" s="13" t="str">
        <f aca="false">IF(AND(ISNUMBER(B789),ISNUMBER(I789)),B789-I789+1,"")</f>
        <v/>
      </c>
      <c r="N789" s="14" t="str">
        <f aca="false">IF(B789="","",IF(M789="","시작일 미입력",IF(M789&lt;1,"시작일 이전(확인)",IF(M789=1,"1일째",IF(M789=2,"2일째",IF(M789=3,"3일째",IF(M789&lt;=7,"일주일 이내",IF(M789&lt;=14,"이주일 이내","15일 이후"))))))))</f>
        <v/>
      </c>
      <c r="O789" s="0" t="str">
        <f aca="false">IF(AND(COUNTA($A789:$J789)&gt;0,OR(클레임조회!$C$4="",AND(ISNUMBER($B789),$B789&gt;=클레임조회!$C$4)),OR(클레임조회!$C$5="",AND(ISNUMBER($B789),$B789&lt;=클레임조회!$C$5)),OR(클레임조회!$C$6="",$C789=클레임조회!$C$6),OR(클레임조회!$C$7="",$D789=클레임조회!$C$7),OR(클레임조회!$C$8="",$E789=클레임조회!$C$8),OR(클레임조회!$C$9="",$F789=클레임조회!$C$9),OR(클레임조회!$C$10="",ISNUMBER(SEARCH(클레임조회!$C$10,$C789&amp;" "&amp;$F789&amp;" "&amp;$G789&amp;" "&amp;$H789)))),COUNT(O$1:O788)+1,"")</f>
        <v/>
      </c>
      <c r="P789" s="0" t="str">
        <f aca="false">IF(AND(TRIM(C789)&lt;&gt;"",COUNTIF(C$2:C789,C789)=1),MAX(P$1:P788)+1,"")</f>
        <v/>
      </c>
      <c r="Q789" s="0" t="str">
        <f aca="false">IF(AND(TRIM(F789)&lt;&gt;"",COUNTIF(F$2:F789,F789)=1),MAX(Q$1:Q788)+1,"")</f>
        <v/>
      </c>
    </row>
    <row r="790" customFormat="false" ht="15" hidden="false" customHeight="false" outlineLevel="0" collapsed="false">
      <c r="A790" s="9"/>
      <c r="B790" s="10"/>
      <c r="C790" s="11"/>
      <c r="D790" s="11"/>
      <c r="E790" s="11"/>
      <c r="F790" s="11"/>
      <c r="G790" s="12"/>
      <c r="H790" s="12"/>
      <c r="I790" s="10"/>
      <c r="J790" s="12"/>
      <c r="K790" s="13" t="str">
        <f aca="false">IF(ISNUMBER(B790),YEAR(B790),"")</f>
        <v/>
      </c>
      <c r="L790" s="13" t="str">
        <f aca="false">IF(ISNUMBER(B790),MONTH(B790),"")</f>
        <v/>
      </c>
      <c r="M790" s="13" t="str">
        <f aca="false">IF(AND(ISNUMBER(B790),ISNUMBER(I790)),B790-I790+1,"")</f>
        <v/>
      </c>
      <c r="N790" s="14" t="str">
        <f aca="false">IF(B790="","",IF(M790="","시작일 미입력",IF(M790&lt;1,"시작일 이전(확인)",IF(M790=1,"1일째",IF(M790=2,"2일째",IF(M790=3,"3일째",IF(M790&lt;=7,"일주일 이내",IF(M790&lt;=14,"이주일 이내","15일 이후"))))))))</f>
        <v/>
      </c>
      <c r="O790" s="0" t="str">
        <f aca="false">IF(AND(COUNTA($A790:$J790)&gt;0,OR(클레임조회!$C$4="",AND(ISNUMBER($B790),$B790&gt;=클레임조회!$C$4)),OR(클레임조회!$C$5="",AND(ISNUMBER($B790),$B790&lt;=클레임조회!$C$5)),OR(클레임조회!$C$6="",$C790=클레임조회!$C$6),OR(클레임조회!$C$7="",$D790=클레임조회!$C$7),OR(클레임조회!$C$8="",$E790=클레임조회!$C$8),OR(클레임조회!$C$9="",$F790=클레임조회!$C$9),OR(클레임조회!$C$10="",ISNUMBER(SEARCH(클레임조회!$C$10,$C790&amp;" "&amp;$F790&amp;" "&amp;$G790&amp;" "&amp;$H790)))),COUNT(O$1:O789)+1,"")</f>
        <v/>
      </c>
      <c r="P790" s="0" t="str">
        <f aca="false">IF(AND(TRIM(C790)&lt;&gt;"",COUNTIF(C$2:C790,C790)=1),MAX(P$1:P789)+1,"")</f>
        <v/>
      </c>
      <c r="Q790" s="0" t="str">
        <f aca="false">IF(AND(TRIM(F790)&lt;&gt;"",COUNTIF(F$2:F790,F790)=1),MAX(Q$1:Q789)+1,"")</f>
        <v/>
      </c>
    </row>
    <row r="791" customFormat="false" ht="15" hidden="false" customHeight="false" outlineLevel="0" collapsed="false">
      <c r="A791" s="9"/>
      <c r="B791" s="10"/>
      <c r="C791" s="11"/>
      <c r="D791" s="11"/>
      <c r="E791" s="11"/>
      <c r="F791" s="11"/>
      <c r="G791" s="12"/>
      <c r="H791" s="12"/>
      <c r="I791" s="10"/>
      <c r="J791" s="12"/>
      <c r="K791" s="13" t="str">
        <f aca="false">IF(ISNUMBER(B791),YEAR(B791),"")</f>
        <v/>
      </c>
      <c r="L791" s="13" t="str">
        <f aca="false">IF(ISNUMBER(B791),MONTH(B791),"")</f>
        <v/>
      </c>
      <c r="M791" s="13" t="str">
        <f aca="false">IF(AND(ISNUMBER(B791),ISNUMBER(I791)),B791-I791+1,"")</f>
        <v/>
      </c>
      <c r="N791" s="14" t="str">
        <f aca="false">IF(B791="","",IF(M791="","시작일 미입력",IF(M791&lt;1,"시작일 이전(확인)",IF(M791=1,"1일째",IF(M791=2,"2일째",IF(M791=3,"3일째",IF(M791&lt;=7,"일주일 이내",IF(M791&lt;=14,"이주일 이내","15일 이후"))))))))</f>
        <v/>
      </c>
      <c r="O791" s="0" t="str">
        <f aca="false">IF(AND(COUNTA($A791:$J791)&gt;0,OR(클레임조회!$C$4="",AND(ISNUMBER($B791),$B791&gt;=클레임조회!$C$4)),OR(클레임조회!$C$5="",AND(ISNUMBER($B791),$B791&lt;=클레임조회!$C$5)),OR(클레임조회!$C$6="",$C791=클레임조회!$C$6),OR(클레임조회!$C$7="",$D791=클레임조회!$C$7),OR(클레임조회!$C$8="",$E791=클레임조회!$C$8),OR(클레임조회!$C$9="",$F791=클레임조회!$C$9),OR(클레임조회!$C$10="",ISNUMBER(SEARCH(클레임조회!$C$10,$C791&amp;" "&amp;$F791&amp;" "&amp;$G791&amp;" "&amp;$H791)))),COUNT(O$1:O790)+1,"")</f>
        <v/>
      </c>
      <c r="P791" s="0" t="str">
        <f aca="false">IF(AND(TRIM(C791)&lt;&gt;"",COUNTIF(C$2:C791,C791)=1),MAX(P$1:P790)+1,"")</f>
        <v/>
      </c>
      <c r="Q791" s="0" t="str">
        <f aca="false">IF(AND(TRIM(F791)&lt;&gt;"",COUNTIF(F$2:F791,F791)=1),MAX(Q$1:Q790)+1,"")</f>
        <v/>
      </c>
    </row>
    <row r="792" customFormat="false" ht="15" hidden="false" customHeight="false" outlineLevel="0" collapsed="false">
      <c r="A792" s="9"/>
      <c r="B792" s="10"/>
      <c r="C792" s="11"/>
      <c r="D792" s="11"/>
      <c r="E792" s="11"/>
      <c r="F792" s="11"/>
      <c r="G792" s="12"/>
      <c r="H792" s="12"/>
      <c r="I792" s="10"/>
      <c r="J792" s="12"/>
      <c r="K792" s="13" t="str">
        <f aca="false">IF(ISNUMBER(B792),YEAR(B792),"")</f>
        <v/>
      </c>
      <c r="L792" s="13" t="str">
        <f aca="false">IF(ISNUMBER(B792),MONTH(B792),"")</f>
        <v/>
      </c>
      <c r="M792" s="13" t="str">
        <f aca="false">IF(AND(ISNUMBER(B792),ISNUMBER(I792)),B792-I792+1,"")</f>
        <v/>
      </c>
      <c r="N792" s="14" t="str">
        <f aca="false">IF(B792="","",IF(M792="","시작일 미입력",IF(M792&lt;1,"시작일 이전(확인)",IF(M792=1,"1일째",IF(M792=2,"2일째",IF(M792=3,"3일째",IF(M792&lt;=7,"일주일 이내",IF(M792&lt;=14,"이주일 이내","15일 이후"))))))))</f>
        <v/>
      </c>
      <c r="O792" s="0" t="str">
        <f aca="false">IF(AND(COUNTA($A792:$J792)&gt;0,OR(클레임조회!$C$4="",AND(ISNUMBER($B792),$B792&gt;=클레임조회!$C$4)),OR(클레임조회!$C$5="",AND(ISNUMBER($B792),$B792&lt;=클레임조회!$C$5)),OR(클레임조회!$C$6="",$C792=클레임조회!$C$6),OR(클레임조회!$C$7="",$D792=클레임조회!$C$7),OR(클레임조회!$C$8="",$E792=클레임조회!$C$8),OR(클레임조회!$C$9="",$F792=클레임조회!$C$9),OR(클레임조회!$C$10="",ISNUMBER(SEARCH(클레임조회!$C$10,$C792&amp;" "&amp;$F792&amp;" "&amp;$G792&amp;" "&amp;$H792)))),COUNT(O$1:O791)+1,"")</f>
        <v/>
      </c>
      <c r="P792" s="0" t="str">
        <f aca="false">IF(AND(TRIM(C792)&lt;&gt;"",COUNTIF(C$2:C792,C792)=1),MAX(P$1:P791)+1,"")</f>
        <v/>
      </c>
      <c r="Q792" s="0" t="str">
        <f aca="false">IF(AND(TRIM(F792)&lt;&gt;"",COUNTIF(F$2:F792,F792)=1),MAX(Q$1:Q791)+1,"")</f>
        <v/>
      </c>
    </row>
    <row r="793" customFormat="false" ht="15" hidden="false" customHeight="false" outlineLevel="0" collapsed="false">
      <c r="A793" s="9"/>
      <c r="B793" s="10"/>
      <c r="C793" s="11"/>
      <c r="D793" s="11"/>
      <c r="E793" s="11"/>
      <c r="F793" s="11"/>
      <c r="G793" s="12"/>
      <c r="H793" s="12"/>
      <c r="I793" s="10"/>
      <c r="J793" s="12"/>
      <c r="K793" s="13" t="str">
        <f aca="false">IF(ISNUMBER(B793),YEAR(B793),"")</f>
        <v/>
      </c>
      <c r="L793" s="13" t="str">
        <f aca="false">IF(ISNUMBER(B793),MONTH(B793),"")</f>
        <v/>
      </c>
      <c r="M793" s="13" t="str">
        <f aca="false">IF(AND(ISNUMBER(B793),ISNUMBER(I793)),B793-I793+1,"")</f>
        <v/>
      </c>
      <c r="N793" s="14" t="str">
        <f aca="false">IF(B793="","",IF(M793="","시작일 미입력",IF(M793&lt;1,"시작일 이전(확인)",IF(M793=1,"1일째",IF(M793=2,"2일째",IF(M793=3,"3일째",IF(M793&lt;=7,"일주일 이내",IF(M793&lt;=14,"이주일 이내","15일 이후"))))))))</f>
        <v/>
      </c>
      <c r="O793" s="0" t="str">
        <f aca="false">IF(AND(COUNTA($A793:$J793)&gt;0,OR(클레임조회!$C$4="",AND(ISNUMBER($B793),$B793&gt;=클레임조회!$C$4)),OR(클레임조회!$C$5="",AND(ISNUMBER($B793),$B793&lt;=클레임조회!$C$5)),OR(클레임조회!$C$6="",$C793=클레임조회!$C$6),OR(클레임조회!$C$7="",$D793=클레임조회!$C$7),OR(클레임조회!$C$8="",$E793=클레임조회!$C$8),OR(클레임조회!$C$9="",$F793=클레임조회!$C$9),OR(클레임조회!$C$10="",ISNUMBER(SEARCH(클레임조회!$C$10,$C793&amp;" "&amp;$F793&amp;" "&amp;$G793&amp;" "&amp;$H793)))),COUNT(O$1:O792)+1,"")</f>
        <v/>
      </c>
      <c r="P793" s="0" t="str">
        <f aca="false">IF(AND(TRIM(C793)&lt;&gt;"",COUNTIF(C$2:C793,C793)=1),MAX(P$1:P792)+1,"")</f>
        <v/>
      </c>
      <c r="Q793" s="0" t="str">
        <f aca="false">IF(AND(TRIM(F793)&lt;&gt;"",COUNTIF(F$2:F793,F793)=1),MAX(Q$1:Q792)+1,"")</f>
        <v/>
      </c>
    </row>
    <row r="794" customFormat="false" ht="15" hidden="false" customHeight="false" outlineLevel="0" collapsed="false">
      <c r="A794" s="9"/>
      <c r="B794" s="10"/>
      <c r="C794" s="11"/>
      <c r="D794" s="11"/>
      <c r="E794" s="11"/>
      <c r="F794" s="11"/>
      <c r="G794" s="12"/>
      <c r="H794" s="12"/>
      <c r="I794" s="10"/>
      <c r="J794" s="12"/>
      <c r="K794" s="13" t="str">
        <f aca="false">IF(ISNUMBER(B794),YEAR(B794),"")</f>
        <v/>
      </c>
      <c r="L794" s="13" t="str">
        <f aca="false">IF(ISNUMBER(B794),MONTH(B794),"")</f>
        <v/>
      </c>
      <c r="M794" s="13" t="str">
        <f aca="false">IF(AND(ISNUMBER(B794),ISNUMBER(I794)),B794-I794+1,"")</f>
        <v/>
      </c>
      <c r="N794" s="14" t="str">
        <f aca="false">IF(B794="","",IF(M794="","시작일 미입력",IF(M794&lt;1,"시작일 이전(확인)",IF(M794=1,"1일째",IF(M794=2,"2일째",IF(M794=3,"3일째",IF(M794&lt;=7,"일주일 이내",IF(M794&lt;=14,"이주일 이내","15일 이후"))))))))</f>
        <v/>
      </c>
      <c r="O794" s="0" t="str">
        <f aca="false">IF(AND(COUNTA($A794:$J794)&gt;0,OR(클레임조회!$C$4="",AND(ISNUMBER($B794),$B794&gt;=클레임조회!$C$4)),OR(클레임조회!$C$5="",AND(ISNUMBER($B794),$B794&lt;=클레임조회!$C$5)),OR(클레임조회!$C$6="",$C794=클레임조회!$C$6),OR(클레임조회!$C$7="",$D794=클레임조회!$C$7),OR(클레임조회!$C$8="",$E794=클레임조회!$C$8),OR(클레임조회!$C$9="",$F794=클레임조회!$C$9),OR(클레임조회!$C$10="",ISNUMBER(SEARCH(클레임조회!$C$10,$C794&amp;" "&amp;$F794&amp;" "&amp;$G794&amp;" "&amp;$H794)))),COUNT(O$1:O793)+1,"")</f>
        <v/>
      </c>
      <c r="P794" s="0" t="str">
        <f aca="false">IF(AND(TRIM(C794)&lt;&gt;"",COUNTIF(C$2:C794,C794)=1),MAX(P$1:P793)+1,"")</f>
        <v/>
      </c>
      <c r="Q794" s="0" t="str">
        <f aca="false">IF(AND(TRIM(F794)&lt;&gt;"",COUNTIF(F$2:F794,F794)=1),MAX(Q$1:Q793)+1,"")</f>
        <v/>
      </c>
    </row>
    <row r="795" customFormat="false" ht="15" hidden="false" customHeight="false" outlineLevel="0" collapsed="false">
      <c r="A795" s="9"/>
      <c r="B795" s="10"/>
      <c r="C795" s="11"/>
      <c r="D795" s="11"/>
      <c r="E795" s="11"/>
      <c r="F795" s="11"/>
      <c r="G795" s="12"/>
      <c r="H795" s="12"/>
      <c r="I795" s="10"/>
      <c r="J795" s="12"/>
      <c r="K795" s="13" t="str">
        <f aca="false">IF(ISNUMBER(B795),YEAR(B795),"")</f>
        <v/>
      </c>
      <c r="L795" s="13" t="str">
        <f aca="false">IF(ISNUMBER(B795),MONTH(B795),"")</f>
        <v/>
      </c>
      <c r="M795" s="13" t="str">
        <f aca="false">IF(AND(ISNUMBER(B795),ISNUMBER(I795)),B795-I795+1,"")</f>
        <v/>
      </c>
      <c r="N795" s="14" t="str">
        <f aca="false">IF(B795="","",IF(M795="","시작일 미입력",IF(M795&lt;1,"시작일 이전(확인)",IF(M795=1,"1일째",IF(M795=2,"2일째",IF(M795=3,"3일째",IF(M795&lt;=7,"일주일 이내",IF(M795&lt;=14,"이주일 이내","15일 이후"))))))))</f>
        <v/>
      </c>
      <c r="O795" s="0" t="str">
        <f aca="false">IF(AND(COUNTA($A795:$J795)&gt;0,OR(클레임조회!$C$4="",AND(ISNUMBER($B795),$B795&gt;=클레임조회!$C$4)),OR(클레임조회!$C$5="",AND(ISNUMBER($B795),$B795&lt;=클레임조회!$C$5)),OR(클레임조회!$C$6="",$C795=클레임조회!$C$6),OR(클레임조회!$C$7="",$D795=클레임조회!$C$7),OR(클레임조회!$C$8="",$E795=클레임조회!$C$8),OR(클레임조회!$C$9="",$F795=클레임조회!$C$9),OR(클레임조회!$C$10="",ISNUMBER(SEARCH(클레임조회!$C$10,$C795&amp;" "&amp;$F795&amp;" "&amp;$G795&amp;" "&amp;$H795)))),COUNT(O$1:O794)+1,"")</f>
        <v/>
      </c>
      <c r="P795" s="0" t="str">
        <f aca="false">IF(AND(TRIM(C795)&lt;&gt;"",COUNTIF(C$2:C795,C795)=1),MAX(P$1:P794)+1,"")</f>
        <v/>
      </c>
      <c r="Q795" s="0" t="str">
        <f aca="false">IF(AND(TRIM(F795)&lt;&gt;"",COUNTIF(F$2:F795,F795)=1),MAX(Q$1:Q794)+1,"")</f>
        <v/>
      </c>
    </row>
    <row r="796" customFormat="false" ht="15" hidden="false" customHeight="false" outlineLevel="0" collapsed="false">
      <c r="A796" s="9"/>
      <c r="B796" s="10"/>
      <c r="C796" s="11"/>
      <c r="D796" s="11"/>
      <c r="E796" s="11"/>
      <c r="F796" s="11"/>
      <c r="G796" s="12"/>
      <c r="H796" s="12"/>
      <c r="I796" s="10"/>
      <c r="J796" s="12"/>
      <c r="K796" s="13" t="str">
        <f aca="false">IF(ISNUMBER(B796),YEAR(B796),"")</f>
        <v/>
      </c>
      <c r="L796" s="13" t="str">
        <f aca="false">IF(ISNUMBER(B796),MONTH(B796),"")</f>
        <v/>
      </c>
      <c r="M796" s="13" t="str">
        <f aca="false">IF(AND(ISNUMBER(B796),ISNUMBER(I796)),B796-I796+1,"")</f>
        <v/>
      </c>
      <c r="N796" s="14" t="str">
        <f aca="false">IF(B796="","",IF(M796="","시작일 미입력",IF(M796&lt;1,"시작일 이전(확인)",IF(M796=1,"1일째",IF(M796=2,"2일째",IF(M796=3,"3일째",IF(M796&lt;=7,"일주일 이내",IF(M796&lt;=14,"이주일 이내","15일 이후"))))))))</f>
        <v/>
      </c>
      <c r="O796" s="0" t="str">
        <f aca="false">IF(AND(COUNTA($A796:$J796)&gt;0,OR(클레임조회!$C$4="",AND(ISNUMBER($B796),$B796&gt;=클레임조회!$C$4)),OR(클레임조회!$C$5="",AND(ISNUMBER($B796),$B796&lt;=클레임조회!$C$5)),OR(클레임조회!$C$6="",$C796=클레임조회!$C$6),OR(클레임조회!$C$7="",$D796=클레임조회!$C$7),OR(클레임조회!$C$8="",$E796=클레임조회!$C$8),OR(클레임조회!$C$9="",$F796=클레임조회!$C$9),OR(클레임조회!$C$10="",ISNUMBER(SEARCH(클레임조회!$C$10,$C796&amp;" "&amp;$F796&amp;" "&amp;$G796&amp;" "&amp;$H796)))),COUNT(O$1:O795)+1,"")</f>
        <v/>
      </c>
      <c r="P796" s="0" t="str">
        <f aca="false">IF(AND(TRIM(C796)&lt;&gt;"",COUNTIF(C$2:C796,C796)=1),MAX(P$1:P795)+1,"")</f>
        <v/>
      </c>
      <c r="Q796" s="0" t="str">
        <f aca="false">IF(AND(TRIM(F796)&lt;&gt;"",COUNTIF(F$2:F796,F796)=1),MAX(Q$1:Q795)+1,"")</f>
        <v/>
      </c>
    </row>
    <row r="797" customFormat="false" ht="15" hidden="false" customHeight="false" outlineLevel="0" collapsed="false">
      <c r="A797" s="9"/>
      <c r="B797" s="10"/>
      <c r="C797" s="11"/>
      <c r="D797" s="11"/>
      <c r="E797" s="11"/>
      <c r="F797" s="11"/>
      <c r="G797" s="12"/>
      <c r="H797" s="12"/>
      <c r="I797" s="10"/>
      <c r="J797" s="12"/>
      <c r="K797" s="13" t="str">
        <f aca="false">IF(ISNUMBER(B797),YEAR(B797),"")</f>
        <v/>
      </c>
      <c r="L797" s="13" t="str">
        <f aca="false">IF(ISNUMBER(B797),MONTH(B797),"")</f>
        <v/>
      </c>
      <c r="M797" s="13" t="str">
        <f aca="false">IF(AND(ISNUMBER(B797),ISNUMBER(I797)),B797-I797+1,"")</f>
        <v/>
      </c>
      <c r="N797" s="14" t="str">
        <f aca="false">IF(B797="","",IF(M797="","시작일 미입력",IF(M797&lt;1,"시작일 이전(확인)",IF(M797=1,"1일째",IF(M797=2,"2일째",IF(M797=3,"3일째",IF(M797&lt;=7,"일주일 이내",IF(M797&lt;=14,"이주일 이내","15일 이후"))))))))</f>
        <v/>
      </c>
      <c r="O797" s="0" t="str">
        <f aca="false">IF(AND(COUNTA($A797:$J797)&gt;0,OR(클레임조회!$C$4="",AND(ISNUMBER($B797),$B797&gt;=클레임조회!$C$4)),OR(클레임조회!$C$5="",AND(ISNUMBER($B797),$B797&lt;=클레임조회!$C$5)),OR(클레임조회!$C$6="",$C797=클레임조회!$C$6),OR(클레임조회!$C$7="",$D797=클레임조회!$C$7),OR(클레임조회!$C$8="",$E797=클레임조회!$C$8),OR(클레임조회!$C$9="",$F797=클레임조회!$C$9),OR(클레임조회!$C$10="",ISNUMBER(SEARCH(클레임조회!$C$10,$C797&amp;" "&amp;$F797&amp;" "&amp;$G797&amp;" "&amp;$H797)))),COUNT(O$1:O796)+1,"")</f>
        <v/>
      </c>
      <c r="P797" s="0" t="str">
        <f aca="false">IF(AND(TRIM(C797)&lt;&gt;"",COUNTIF(C$2:C797,C797)=1),MAX(P$1:P796)+1,"")</f>
        <v/>
      </c>
      <c r="Q797" s="0" t="str">
        <f aca="false">IF(AND(TRIM(F797)&lt;&gt;"",COUNTIF(F$2:F797,F797)=1),MAX(Q$1:Q796)+1,"")</f>
        <v/>
      </c>
    </row>
    <row r="798" customFormat="false" ht="15" hidden="false" customHeight="false" outlineLevel="0" collapsed="false">
      <c r="A798" s="9"/>
      <c r="B798" s="10"/>
      <c r="C798" s="11"/>
      <c r="D798" s="11"/>
      <c r="E798" s="11"/>
      <c r="F798" s="11"/>
      <c r="G798" s="12"/>
      <c r="H798" s="12"/>
      <c r="I798" s="10"/>
      <c r="J798" s="12"/>
      <c r="K798" s="13" t="str">
        <f aca="false">IF(ISNUMBER(B798),YEAR(B798),"")</f>
        <v/>
      </c>
      <c r="L798" s="13" t="str">
        <f aca="false">IF(ISNUMBER(B798),MONTH(B798),"")</f>
        <v/>
      </c>
      <c r="M798" s="13" t="str">
        <f aca="false">IF(AND(ISNUMBER(B798),ISNUMBER(I798)),B798-I798+1,"")</f>
        <v/>
      </c>
      <c r="N798" s="14" t="str">
        <f aca="false">IF(B798="","",IF(M798="","시작일 미입력",IF(M798&lt;1,"시작일 이전(확인)",IF(M798=1,"1일째",IF(M798=2,"2일째",IF(M798=3,"3일째",IF(M798&lt;=7,"일주일 이내",IF(M798&lt;=14,"이주일 이내","15일 이후"))))))))</f>
        <v/>
      </c>
      <c r="O798" s="0" t="str">
        <f aca="false">IF(AND(COUNTA($A798:$J798)&gt;0,OR(클레임조회!$C$4="",AND(ISNUMBER($B798),$B798&gt;=클레임조회!$C$4)),OR(클레임조회!$C$5="",AND(ISNUMBER($B798),$B798&lt;=클레임조회!$C$5)),OR(클레임조회!$C$6="",$C798=클레임조회!$C$6),OR(클레임조회!$C$7="",$D798=클레임조회!$C$7),OR(클레임조회!$C$8="",$E798=클레임조회!$C$8),OR(클레임조회!$C$9="",$F798=클레임조회!$C$9),OR(클레임조회!$C$10="",ISNUMBER(SEARCH(클레임조회!$C$10,$C798&amp;" "&amp;$F798&amp;" "&amp;$G798&amp;" "&amp;$H798)))),COUNT(O$1:O797)+1,"")</f>
        <v/>
      </c>
      <c r="P798" s="0" t="str">
        <f aca="false">IF(AND(TRIM(C798)&lt;&gt;"",COUNTIF(C$2:C798,C798)=1),MAX(P$1:P797)+1,"")</f>
        <v/>
      </c>
      <c r="Q798" s="0" t="str">
        <f aca="false">IF(AND(TRIM(F798)&lt;&gt;"",COUNTIF(F$2:F798,F798)=1),MAX(Q$1:Q797)+1,"")</f>
        <v/>
      </c>
    </row>
    <row r="799" customFormat="false" ht="15" hidden="false" customHeight="false" outlineLevel="0" collapsed="false">
      <c r="A799" s="9"/>
      <c r="B799" s="10"/>
      <c r="C799" s="11"/>
      <c r="D799" s="11"/>
      <c r="E799" s="11"/>
      <c r="F799" s="11"/>
      <c r="G799" s="12"/>
      <c r="H799" s="12"/>
      <c r="I799" s="10"/>
      <c r="J799" s="12"/>
      <c r="K799" s="13" t="str">
        <f aca="false">IF(ISNUMBER(B799),YEAR(B799),"")</f>
        <v/>
      </c>
      <c r="L799" s="13" t="str">
        <f aca="false">IF(ISNUMBER(B799),MONTH(B799),"")</f>
        <v/>
      </c>
      <c r="M799" s="13" t="str">
        <f aca="false">IF(AND(ISNUMBER(B799),ISNUMBER(I799)),B799-I799+1,"")</f>
        <v/>
      </c>
      <c r="N799" s="14" t="str">
        <f aca="false">IF(B799="","",IF(M799="","시작일 미입력",IF(M799&lt;1,"시작일 이전(확인)",IF(M799=1,"1일째",IF(M799=2,"2일째",IF(M799=3,"3일째",IF(M799&lt;=7,"일주일 이내",IF(M799&lt;=14,"이주일 이내","15일 이후"))))))))</f>
        <v/>
      </c>
      <c r="O799" s="0" t="str">
        <f aca="false">IF(AND(COUNTA($A799:$J799)&gt;0,OR(클레임조회!$C$4="",AND(ISNUMBER($B799),$B799&gt;=클레임조회!$C$4)),OR(클레임조회!$C$5="",AND(ISNUMBER($B799),$B799&lt;=클레임조회!$C$5)),OR(클레임조회!$C$6="",$C799=클레임조회!$C$6),OR(클레임조회!$C$7="",$D799=클레임조회!$C$7),OR(클레임조회!$C$8="",$E799=클레임조회!$C$8),OR(클레임조회!$C$9="",$F799=클레임조회!$C$9),OR(클레임조회!$C$10="",ISNUMBER(SEARCH(클레임조회!$C$10,$C799&amp;" "&amp;$F799&amp;" "&amp;$G799&amp;" "&amp;$H799)))),COUNT(O$1:O798)+1,"")</f>
        <v/>
      </c>
      <c r="P799" s="0" t="str">
        <f aca="false">IF(AND(TRIM(C799)&lt;&gt;"",COUNTIF(C$2:C799,C799)=1),MAX(P$1:P798)+1,"")</f>
        <v/>
      </c>
      <c r="Q799" s="0" t="str">
        <f aca="false">IF(AND(TRIM(F799)&lt;&gt;"",COUNTIF(F$2:F799,F799)=1),MAX(Q$1:Q798)+1,"")</f>
        <v/>
      </c>
    </row>
    <row r="800" customFormat="false" ht="15" hidden="false" customHeight="false" outlineLevel="0" collapsed="false">
      <c r="A800" s="9"/>
      <c r="B800" s="10"/>
      <c r="C800" s="11"/>
      <c r="D800" s="11"/>
      <c r="E800" s="11"/>
      <c r="F800" s="11"/>
      <c r="G800" s="12"/>
      <c r="H800" s="12"/>
      <c r="I800" s="10"/>
      <c r="J800" s="12"/>
      <c r="K800" s="13" t="str">
        <f aca="false">IF(ISNUMBER(B800),YEAR(B800),"")</f>
        <v/>
      </c>
      <c r="L800" s="13" t="str">
        <f aca="false">IF(ISNUMBER(B800),MONTH(B800),"")</f>
        <v/>
      </c>
      <c r="M800" s="13" t="str">
        <f aca="false">IF(AND(ISNUMBER(B800),ISNUMBER(I800)),B800-I800+1,"")</f>
        <v/>
      </c>
      <c r="N800" s="14" t="str">
        <f aca="false">IF(B800="","",IF(M800="","시작일 미입력",IF(M800&lt;1,"시작일 이전(확인)",IF(M800=1,"1일째",IF(M800=2,"2일째",IF(M800=3,"3일째",IF(M800&lt;=7,"일주일 이내",IF(M800&lt;=14,"이주일 이내","15일 이후"))))))))</f>
        <v/>
      </c>
      <c r="O800" s="0" t="str">
        <f aca="false">IF(AND(COUNTA($A800:$J800)&gt;0,OR(클레임조회!$C$4="",AND(ISNUMBER($B800),$B800&gt;=클레임조회!$C$4)),OR(클레임조회!$C$5="",AND(ISNUMBER($B800),$B800&lt;=클레임조회!$C$5)),OR(클레임조회!$C$6="",$C800=클레임조회!$C$6),OR(클레임조회!$C$7="",$D800=클레임조회!$C$7),OR(클레임조회!$C$8="",$E800=클레임조회!$C$8),OR(클레임조회!$C$9="",$F800=클레임조회!$C$9),OR(클레임조회!$C$10="",ISNUMBER(SEARCH(클레임조회!$C$10,$C800&amp;" "&amp;$F800&amp;" "&amp;$G800&amp;" "&amp;$H800)))),COUNT(O$1:O799)+1,"")</f>
        <v/>
      </c>
      <c r="P800" s="0" t="str">
        <f aca="false">IF(AND(TRIM(C800)&lt;&gt;"",COUNTIF(C$2:C800,C800)=1),MAX(P$1:P799)+1,"")</f>
        <v/>
      </c>
      <c r="Q800" s="0" t="str">
        <f aca="false">IF(AND(TRIM(F800)&lt;&gt;"",COUNTIF(F$2:F800,F800)=1),MAX(Q$1:Q799)+1,"")</f>
        <v/>
      </c>
    </row>
    <row r="801" customFormat="false" ht="15" hidden="false" customHeight="false" outlineLevel="0" collapsed="false">
      <c r="A801" s="9"/>
      <c r="B801" s="10"/>
      <c r="C801" s="11"/>
      <c r="D801" s="11"/>
      <c r="E801" s="11"/>
      <c r="F801" s="11"/>
      <c r="G801" s="12"/>
      <c r="H801" s="12"/>
      <c r="I801" s="10"/>
      <c r="J801" s="12"/>
      <c r="K801" s="13" t="str">
        <f aca="false">IF(ISNUMBER(B801),YEAR(B801),"")</f>
        <v/>
      </c>
      <c r="L801" s="13" t="str">
        <f aca="false">IF(ISNUMBER(B801),MONTH(B801),"")</f>
        <v/>
      </c>
      <c r="M801" s="13" t="str">
        <f aca="false">IF(AND(ISNUMBER(B801),ISNUMBER(I801)),B801-I801+1,"")</f>
        <v/>
      </c>
      <c r="N801" s="14" t="str">
        <f aca="false">IF(B801="","",IF(M801="","시작일 미입력",IF(M801&lt;1,"시작일 이전(확인)",IF(M801=1,"1일째",IF(M801=2,"2일째",IF(M801=3,"3일째",IF(M801&lt;=7,"일주일 이내",IF(M801&lt;=14,"이주일 이내","15일 이후"))))))))</f>
        <v/>
      </c>
      <c r="O801" s="0" t="str">
        <f aca="false">IF(AND(COUNTA($A801:$J801)&gt;0,OR(클레임조회!$C$4="",AND(ISNUMBER($B801),$B801&gt;=클레임조회!$C$4)),OR(클레임조회!$C$5="",AND(ISNUMBER($B801),$B801&lt;=클레임조회!$C$5)),OR(클레임조회!$C$6="",$C801=클레임조회!$C$6),OR(클레임조회!$C$7="",$D801=클레임조회!$C$7),OR(클레임조회!$C$8="",$E801=클레임조회!$C$8),OR(클레임조회!$C$9="",$F801=클레임조회!$C$9),OR(클레임조회!$C$10="",ISNUMBER(SEARCH(클레임조회!$C$10,$C801&amp;" "&amp;$F801&amp;" "&amp;$G801&amp;" "&amp;$H801)))),COUNT(O$1:O800)+1,"")</f>
        <v/>
      </c>
      <c r="P801" s="0" t="str">
        <f aca="false">IF(AND(TRIM(C801)&lt;&gt;"",COUNTIF(C$2:C801,C801)=1),MAX(P$1:P800)+1,"")</f>
        <v/>
      </c>
      <c r="Q801" s="0" t="str">
        <f aca="false">IF(AND(TRIM(F801)&lt;&gt;"",COUNTIF(F$2:F801,F801)=1),MAX(Q$1:Q800)+1,"")</f>
        <v/>
      </c>
    </row>
    <row r="802" customFormat="false" ht="15" hidden="false" customHeight="false" outlineLevel="0" collapsed="false">
      <c r="A802" s="9"/>
      <c r="B802" s="10"/>
      <c r="C802" s="11"/>
      <c r="D802" s="11"/>
      <c r="E802" s="11"/>
      <c r="F802" s="11"/>
      <c r="G802" s="12"/>
      <c r="H802" s="12"/>
      <c r="I802" s="10"/>
      <c r="J802" s="12"/>
      <c r="K802" s="13" t="str">
        <f aca="false">IF(ISNUMBER(B802),YEAR(B802),"")</f>
        <v/>
      </c>
      <c r="L802" s="13" t="str">
        <f aca="false">IF(ISNUMBER(B802),MONTH(B802),"")</f>
        <v/>
      </c>
      <c r="M802" s="13" t="str">
        <f aca="false">IF(AND(ISNUMBER(B802),ISNUMBER(I802)),B802-I802+1,"")</f>
        <v/>
      </c>
      <c r="N802" s="14" t="str">
        <f aca="false">IF(B802="","",IF(M802="","시작일 미입력",IF(M802&lt;1,"시작일 이전(확인)",IF(M802=1,"1일째",IF(M802=2,"2일째",IF(M802=3,"3일째",IF(M802&lt;=7,"일주일 이내",IF(M802&lt;=14,"이주일 이내","15일 이후"))))))))</f>
        <v/>
      </c>
      <c r="O802" s="0" t="str">
        <f aca="false">IF(AND(COUNTA($A802:$J802)&gt;0,OR(클레임조회!$C$4="",AND(ISNUMBER($B802),$B802&gt;=클레임조회!$C$4)),OR(클레임조회!$C$5="",AND(ISNUMBER($B802),$B802&lt;=클레임조회!$C$5)),OR(클레임조회!$C$6="",$C802=클레임조회!$C$6),OR(클레임조회!$C$7="",$D802=클레임조회!$C$7),OR(클레임조회!$C$8="",$E802=클레임조회!$C$8),OR(클레임조회!$C$9="",$F802=클레임조회!$C$9),OR(클레임조회!$C$10="",ISNUMBER(SEARCH(클레임조회!$C$10,$C802&amp;" "&amp;$F802&amp;" "&amp;$G802&amp;" "&amp;$H802)))),COUNT(O$1:O801)+1,"")</f>
        <v/>
      </c>
      <c r="P802" s="0" t="str">
        <f aca="false">IF(AND(TRIM(C802)&lt;&gt;"",COUNTIF(C$2:C802,C802)=1),MAX(P$1:P801)+1,"")</f>
        <v/>
      </c>
      <c r="Q802" s="0" t="str">
        <f aca="false">IF(AND(TRIM(F802)&lt;&gt;"",COUNTIF(F$2:F802,F802)=1),MAX(Q$1:Q801)+1,"")</f>
        <v/>
      </c>
    </row>
    <row r="803" customFormat="false" ht="15" hidden="false" customHeight="false" outlineLevel="0" collapsed="false">
      <c r="A803" s="9"/>
      <c r="B803" s="10"/>
      <c r="C803" s="11"/>
      <c r="D803" s="11"/>
      <c r="E803" s="11"/>
      <c r="F803" s="11"/>
      <c r="G803" s="12"/>
      <c r="H803" s="12"/>
      <c r="I803" s="10"/>
      <c r="J803" s="12"/>
      <c r="K803" s="13" t="str">
        <f aca="false">IF(ISNUMBER(B803),YEAR(B803),"")</f>
        <v/>
      </c>
      <c r="L803" s="13" t="str">
        <f aca="false">IF(ISNUMBER(B803),MONTH(B803),"")</f>
        <v/>
      </c>
      <c r="M803" s="13" t="str">
        <f aca="false">IF(AND(ISNUMBER(B803),ISNUMBER(I803)),B803-I803+1,"")</f>
        <v/>
      </c>
      <c r="N803" s="14" t="str">
        <f aca="false">IF(B803="","",IF(M803="","시작일 미입력",IF(M803&lt;1,"시작일 이전(확인)",IF(M803=1,"1일째",IF(M803=2,"2일째",IF(M803=3,"3일째",IF(M803&lt;=7,"일주일 이내",IF(M803&lt;=14,"이주일 이내","15일 이후"))))))))</f>
        <v/>
      </c>
      <c r="O803" s="0" t="str">
        <f aca="false">IF(AND(COUNTA($A803:$J803)&gt;0,OR(클레임조회!$C$4="",AND(ISNUMBER($B803),$B803&gt;=클레임조회!$C$4)),OR(클레임조회!$C$5="",AND(ISNUMBER($B803),$B803&lt;=클레임조회!$C$5)),OR(클레임조회!$C$6="",$C803=클레임조회!$C$6),OR(클레임조회!$C$7="",$D803=클레임조회!$C$7),OR(클레임조회!$C$8="",$E803=클레임조회!$C$8),OR(클레임조회!$C$9="",$F803=클레임조회!$C$9),OR(클레임조회!$C$10="",ISNUMBER(SEARCH(클레임조회!$C$10,$C803&amp;" "&amp;$F803&amp;" "&amp;$G803&amp;" "&amp;$H803)))),COUNT(O$1:O802)+1,"")</f>
        <v/>
      </c>
      <c r="P803" s="0" t="str">
        <f aca="false">IF(AND(TRIM(C803)&lt;&gt;"",COUNTIF(C$2:C803,C803)=1),MAX(P$1:P802)+1,"")</f>
        <v/>
      </c>
      <c r="Q803" s="0" t="str">
        <f aca="false">IF(AND(TRIM(F803)&lt;&gt;"",COUNTIF(F$2:F803,F803)=1),MAX(Q$1:Q802)+1,"")</f>
        <v/>
      </c>
    </row>
    <row r="804" customFormat="false" ht="15" hidden="false" customHeight="false" outlineLevel="0" collapsed="false">
      <c r="A804" s="9"/>
      <c r="B804" s="10"/>
      <c r="C804" s="11"/>
      <c r="D804" s="11"/>
      <c r="E804" s="11"/>
      <c r="F804" s="11"/>
      <c r="G804" s="12"/>
      <c r="H804" s="12"/>
      <c r="I804" s="10"/>
      <c r="J804" s="12"/>
      <c r="K804" s="13" t="str">
        <f aca="false">IF(ISNUMBER(B804),YEAR(B804),"")</f>
        <v/>
      </c>
      <c r="L804" s="13" t="str">
        <f aca="false">IF(ISNUMBER(B804),MONTH(B804),"")</f>
        <v/>
      </c>
      <c r="M804" s="13" t="str">
        <f aca="false">IF(AND(ISNUMBER(B804),ISNUMBER(I804)),B804-I804+1,"")</f>
        <v/>
      </c>
      <c r="N804" s="14" t="str">
        <f aca="false">IF(B804="","",IF(M804="","시작일 미입력",IF(M804&lt;1,"시작일 이전(확인)",IF(M804=1,"1일째",IF(M804=2,"2일째",IF(M804=3,"3일째",IF(M804&lt;=7,"일주일 이내",IF(M804&lt;=14,"이주일 이내","15일 이후"))))))))</f>
        <v/>
      </c>
      <c r="O804" s="0" t="str">
        <f aca="false">IF(AND(COUNTA($A804:$J804)&gt;0,OR(클레임조회!$C$4="",AND(ISNUMBER($B804),$B804&gt;=클레임조회!$C$4)),OR(클레임조회!$C$5="",AND(ISNUMBER($B804),$B804&lt;=클레임조회!$C$5)),OR(클레임조회!$C$6="",$C804=클레임조회!$C$6),OR(클레임조회!$C$7="",$D804=클레임조회!$C$7),OR(클레임조회!$C$8="",$E804=클레임조회!$C$8),OR(클레임조회!$C$9="",$F804=클레임조회!$C$9),OR(클레임조회!$C$10="",ISNUMBER(SEARCH(클레임조회!$C$10,$C804&amp;" "&amp;$F804&amp;" "&amp;$G804&amp;" "&amp;$H804)))),COUNT(O$1:O803)+1,"")</f>
        <v/>
      </c>
      <c r="P804" s="0" t="str">
        <f aca="false">IF(AND(TRIM(C804)&lt;&gt;"",COUNTIF(C$2:C804,C804)=1),MAX(P$1:P803)+1,"")</f>
        <v/>
      </c>
      <c r="Q804" s="0" t="str">
        <f aca="false">IF(AND(TRIM(F804)&lt;&gt;"",COUNTIF(F$2:F804,F804)=1),MAX(Q$1:Q803)+1,"")</f>
        <v/>
      </c>
    </row>
    <row r="805" customFormat="false" ht="15" hidden="false" customHeight="false" outlineLevel="0" collapsed="false">
      <c r="A805" s="9"/>
      <c r="B805" s="10"/>
      <c r="C805" s="11"/>
      <c r="D805" s="11"/>
      <c r="E805" s="11"/>
      <c r="F805" s="11"/>
      <c r="G805" s="12"/>
      <c r="H805" s="12"/>
      <c r="I805" s="10"/>
      <c r="J805" s="12"/>
      <c r="K805" s="13" t="str">
        <f aca="false">IF(ISNUMBER(B805),YEAR(B805),"")</f>
        <v/>
      </c>
      <c r="L805" s="13" t="str">
        <f aca="false">IF(ISNUMBER(B805),MONTH(B805),"")</f>
        <v/>
      </c>
      <c r="M805" s="13" t="str">
        <f aca="false">IF(AND(ISNUMBER(B805),ISNUMBER(I805)),B805-I805+1,"")</f>
        <v/>
      </c>
      <c r="N805" s="14" t="str">
        <f aca="false">IF(B805="","",IF(M805="","시작일 미입력",IF(M805&lt;1,"시작일 이전(확인)",IF(M805=1,"1일째",IF(M805=2,"2일째",IF(M805=3,"3일째",IF(M805&lt;=7,"일주일 이내",IF(M805&lt;=14,"이주일 이내","15일 이후"))))))))</f>
        <v/>
      </c>
      <c r="O805" s="0" t="str">
        <f aca="false">IF(AND(COUNTA($A805:$J805)&gt;0,OR(클레임조회!$C$4="",AND(ISNUMBER($B805),$B805&gt;=클레임조회!$C$4)),OR(클레임조회!$C$5="",AND(ISNUMBER($B805),$B805&lt;=클레임조회!$C$5)),OR(클레임조회!$C$6="",$C805=클레임조회!$C$6),OR(클레임조회!$C$7="",$D805=클레임조회!$C$7),OR(클레임조회!$C$8="",$E805=클레임조회!$C$8),OR(클레임조회!$C$9="",$F805=클레임조회!$C$9),OR(클레임조회!$C$10="",ISNUMBER(SEARCH(클레임조회!$C$10,$C805&amp;" "&amp;$F805&amp;" "&amp;$G805&amp;" "&amp;$H805)))),COUNT(O$1:O804)+1,"")</f>
        <v/>
      </c>
      <c r="P805" s="0" t="str">
        <f aca="false">IF(AND(TRIM(C805)&lt;&gt;"",COUNTIF(C$2:C805,C805)=1),MAX(P$1:P804)+1,"")</f>
        <v/>
      </c>
      <c r="Q805" s="0" t="str">
        <f aca="false">IF(AND(TRIM(F805)&lt;&gt;"",COUNTIF(F$2:F805,F805)=1),MAX(Q$1:Q804)+1,"")</f>
        <v/>
      </c>
    </row>
    <row r="806" customFormat="false" ht="15" hidden="false" customHeight="false" outlineLevel="0" collapsed="false">
      <c r="A806" s="9"/>
      <c r="B806" s="10"/>
      <c r="C806" s="11"/>
      <c r="D806" s="11"/>
      <c r="E806" s="11"/>
      <c r="F806" s="11"/>
      <c r="G806" s="12"/>
      <c r="H806" s="12"/>
      <c r="I806" s="10"/>
      <c r="J806" s="12"/>
      <c r="K806" s="13" t="str">
        <f aca="false">IF(ISNUMBER(B806),YEAR(B806),"")</f>
        <v/>
      </c>
      <c r="L806" s="13" t="str">
        <f aca="false">IF(ISNUMBER(B806),MONTH(B806),"")</f>
        <v/>
      </c>
      <c r="M806" s="13" t="str">
        <f aca="false">IF(AND(ISNUMBER(B806),ISNUMBER(I806)),B806-I806+1,"")</f>
        <v/>
      </c>
      <c r="N806" s="14" t="str">
        <f aca="false">IF(B806="","",IF(M806="","시작일 미입력",IF(M806&lt;1,"시작일 이전(확인)",IF(M806=1,"1일째",IF(M806=2,"2일째",IF(M806=3,"3일째",IF(M806&lt;=7,"일주일 이내",IF(M806&lt;=14,"이주일 이내","15일 이후"))))))))</f>
        <v/>
      </c>
      <c r="O806" s="0" t="str">
        <f aca="false">IF(AND(COUNTA($A806:$J806)&gt;0,OR(클레임조회!$C$4="",AND(ISNUMBER($B806),$B806&gt;=클레임조회!$C$4)),OR(클레임조회!$C$5="",AND(ISNUMBER($B806),$B806&lt;=클레임조회!$C$5)),OR(클레임조회!$C$6="",$C806=클레임조회!$C$6),OR(클레임조회!$C$7="",$D806=클레임조회!$C$7),OR(클레임조회!$C$8="",$E806=클레임조회!$C$8),OR(클레임조회!$C$9="",$F806=클레임조회!$C$9),OR(클레임조회!$C$10="",ISNUMBER(SEARCH(클레임조회!$C$10,$C806&amp;" "&amp;$F806&amp;" "&amp;$G806&amp;" "&amp;$H806)))),COUNT(O$1:O805)+1,"")</f>
        <v/>
      </c>
      <c r="P806" s="0" t="str">
        <f aca="false">IF(AND(TRIM(C806)&lt;&gt;"",COUNTIF(C$2:C806,C806)=1),MAX(P$1:P805)+1,"")</f>
        <v/>
      </c>
      <c r="Q806" s="0" t="str">
        <f aca="false">IF(AND(TRIM(F806)&lt;&gt;"",COUNTIF(F$2:F806,F806)=1),MAX(Q$1:Q805)+1,"")</f>
        <v/>
      </c>
    </row>
    <row r="807" customFormat="false" ht="15" hidden="false" customHeight="false" outlineLevel="0" collapsed="false">
      <c r="A807" s="9"/>
      <c r="B807" s="10"/>
      <c r="C807" s="11"/>
      <c r="D807" s="11"/>
      <c r="E807" s="11"/>
      <c r="F807" s="11"/>
      <c r="G807" s="12"/>
      <c r="H807" s="12"/>
      <c r="I807" s="10"/>
      <c r="J807" s="12"/>
      <c r="K807" s="13" t="str">
        <f aca="false">IF(ISNUMBER(B807),YEAR(B807),"")</f>
        <v/>
      </c>
      <c r="L807" s="13" t="str">
        <f aca="false">IF(ISNUMBER(B807),MONTH(B807),"")</f>
        <v/>
      </c>
      <c r="M807" s="13" t="str">
        <f aca="false">IF(AND(ISNUMBER(B807),ISNUMBER(I807)),B807-I807+1,"")</f>
        <v/>
      </c>
      <c r="N807" s="14" t="str">
        <f aca="false">IF(B807="","",IF(M807="","시작일 미입력",IF(M807&lt;1,"시작일 이전(확인)",IF(M807=1,"1일째",IF(M807=2,"2일째",IF(M807=3,"3일째",IF(M807&lt;=7,"일주일 이내",IF(M807&lt;=14,"이주일 이내","15일 이후"))))))))</f>
        <v/>
      </c>
      <c r="O807" s="0" t="str">
        <f aca="false">IF(AND(COUNTA($A807:$J807)&gt;0,OR(클레임조회!$C$4="",AND(ISNUMBER($B807),$B807&gt;=클레임조회!$C$4)),OR(클레임조회!$C$5="",AND(ISNUMBER($B807),$B807&lt;=클레임조회!$C$5)),OR(클레임조회!$C$6="",$C807=클레임조회!$C$6),OR(클레임조회!$C$7="",$D807=클레임조회!$C$7),OR(클레임조회!$C$8="",$E807=클레임조회!$C$8),OR(클레임조회!$C$9="",$F807=클레임조회!$C$9),OR(클레임조회!$C$10="",ISNUMBER(SEARCH(클레임조회!$C$10,$C807&amp;" "&amp;$F807&amp;" "&amp;$G807&amp;" "&amp;$H807)))),COUNT(O$1:O806)+1,"")</f>
        <v/>
      </c>
      <c r="P807" s="0" t="str">
        <f aca="false">IF(AND(TRIM(C807)&lt;&gt;"",COUNTIF(C$2:C807,C807)=1),MAX(P$1:P806)+1,"")</f>
        <v/>
      </c>
      <c r="Q807" s="0" t="str">
        <f aca="false">IF(AND(TRIM(F807)&lt;&gt;"",COUNTIF(F$2:F807,F807)=1),MAX(Q$1:Q806)+1,"")</f>
        <v/>
      </c>
    </row>
    <row r="808" customFormat="false" ht="15" hidden="false" customHeight="false" outlineLevel="0" collapsed="false">
      <c r="A808" s="9"/>
      <c r="B808" s="10"/>
      <c r="C808" s="11"/>
      <c r="D808" s="11"/>
      <c r="E808" s="11"/>
      <c r="F808" s="11"/>
      <c r="G808" s="12"/>
      <c r="H808" s="12"/>
      <c r="I808" s="10"/>
      <c r="J808" s="12"/>
      <c r="K808" s="13" t="str">
        <f aca="false">IF(ISNUMBER(B808),YEAR(B808),"")</f>
        <v/>
      </c>
      <c r="L808" s="13" t="str">
        <f aca="false">IF(ISNUMBER(B808),MONTH(B808),"")</f>
        <v/>
      </c>
      <c r="M808" s="13" t="str">
        <f aca="false">IF(AND(ISNUMBER(B808),ISNUMBER(I808)),B808-I808+1,"")</f>
        <v/>
      </c>
      <c r="N808" s="14" t="str">
        <f aca="false">IF(B808="","",IF(M808="","시작일 미입력",IF(M808&lt;1,"시작일 이전(확인)",IF(M808=1,"1일째",IF(M808=2,"2일째",IF(M808=3,"3일째",IF(M808&lt;=7,"일주일 이내",IF(M808&lt;=14,"이주일 이내","15일 이후"))))))))</f>
        <v/>
      </c>
      <c r="O808" s="0" t="str">
        <f aca="false">IF(AND(COUNTA($A808:$J808)&gt;0,OR(클레임조회!$C$4="",AND(ISNUMBER($B808),$B808&gt;=클레임조회!$C$4)),OR(클레임조회!$C$5="",AND(ISNUMBER($B808),$B808&lt;=클레임조회!$C$5)),OR(클레임조회!$C$6="",$C808=클레임조회!$C$6),OR(클레임조회!$C$7="",$D808=클레임조회!$C$7),OR(클레임조회!$C$8="",$E808=클레임조회!$C$8),OR(클레임조회!$C$9="",$F808=클레임조회!$C$9),OR(클레임조회!$C$10="",ISNUMBER(SEARCH(클레임조회!$C$10,$C808&amp;" "&amp;$F808&amp;" "&amp;$G808&amp;" "&amp;$H808)))),COUNT(O$1:O807)+1,"")</f>
        <v/>
      </c>
      <c r="P808" s="0" t="str">
        <f aca="false">IF(AND(TRIM(C808)&lt;&gt;"",COUNTIF(C$2:C808,C808)=1),MAX(P$1:P807)+1,"")</f>
        <v/>
      </c>
      <c r="Q808" s="0" t="str">
        <f aca="false">IF(AND(TRIM(F808)&lt;&gt;"",COUNTIF(F$2:F808,F808)=1),MAX(Q$1:Q807)+1,"")</f>
        <v/>
      </c>
    </row>
    <row r="809" customFormat="false" ht="15" hidden="false" customHeight="false" outlineLevel="0" collapsed="false">
      <c r="A809" s="9"/>
      <c r="B809" s="10"/>
      <c r="C809" s="11"/>
      <c r="D809" s="11"/>
      <c r="E809" s="11"/>
      <c r="F809" s="11"/>
      <c r="G809" s="12"/>
      <c r="H809" s="12"/>
      <c r="I809" s="10"/>
      <c r="J809" s="12"/>
      <c r="K809" s="13" t="str">
        <f aca="false">IF(ISNUMBER(B809),YEAR(B809),"")</f>
        <v/>
      </c>
      <c r="L809" s="13" t="str">
        <f aca="false">IF(ISNUMBER(B809),MONTH(B809),"")</f>
        <v/>
      </c>
      <c r="M809" s="13" t="str">
        <f aca="false">IF(AND(ISNUMBER(B809),ISNUMBER(I809)),B809-I809+1,"")</f>
        <v/>
      </c>
      <c r="N809" s="14" t="str">
        <f aca="false">IF(B809="","",IF(M809="","시작일 미입력",IF(M809&lt;1,"시작일 이전(확인)",IF(M809=1,"1일째",IF(M809=2,"2일째",IF(M809=3,"3일째",IF(M809&lt;=7,"일주일 이내",IF(M809&lt;=14,"이주일 이내","15일 이후"))))))))</f>
        <v/>
      </c>
      <c r="O809" s="0" t="str">
        <f aca="false">IF(AND(COUNTA($A809:$J809)&gt;0,OR(클레임조회!$C$4="",AND(ISNUMBER($B809),$B809&gt;=클레임조회!$C$4)),OR(클레임조회!$C$5="",AND(ISNUMBER($B809),$B809&lt;=클레임조회!$C$5)),OR(클레임조회!$C$6="",$C809=클레임조회!$C$6),OR(클레임조회!$C$7="",$D809=클레임조회!$C$7),OR(클레임조회!$C$8="",$E809=클레임조회!$C$8),OR(클레임조회!$C$9="",$F809=클레임조회!$C$9),OR(클레임조회!$C$10="",ISNUMBER(SEARCH(클레임조회!$C$10,$C809&amp;" "&amp;$F809&amp;" "&amp;$G809&amp;" "&amp;$H809)))),COUNT(O$1:O808)+1,"")</f>
        <v/>
      </c>
      <c r="P809" s="0" t="str">
        <f aca="false">IF(AND(TRIM(C809)&lt;&gt;"",COUNTIF(C$2:C809,C809)=1),MAX(P$1:P808)+1,"")</f>
        <v/>
      </c>
      <c r="Q809" s="0" t="str">
        <f aca="false">IF(AND(TRIM(F809)&lt;&gt;"",COUNTIF(F$2:F809,F809)=1),MAX(Q$1:Q808)+1,"")</f>
        <v/>
      </c>
    </row>
    <row r="810" customFormat="false" ht="15" hidden="false" customHeight="false" outlineLevel="0" collapsed="false">
      <c r="A810" s="9"/>
      <c r="B810" s="10"/>
      <c r="C810" s="11"/>
      <c r="D810" s="11"/>
      <c r="E810" s="11"/>
      <c r="F810" s="11"/>
      <c r="G810" s="12"/>
      <c r="H810" s="12"/>
      <c r="I810" s="10"/>
      <c r="J810" s="12"/>
      <c r="K810" s="13" t="str">
        <f aca="false">IF(ISNUMBER(B810),YEAR(B810),"")</f>
        <v/>
      </c>
      <c r="L810" s="13" t="str">
        <f aca="false">IF(ISNUMBER(B810),MONTH(B810),"")</f>
        <v/>
      </c>
      <c r="M810" s="13" t="str">
        <f aca="false">IF(AND(ISNUMBER(B810),ISNUMBER(I810)),B810-I810+1,"")</f>
        <v/>
      </c>
      <c r="N810" s="14" t="str">
        <f aca="false">IF(B810="","",IF(M810="","시작일 미입력",IF(M810&lt;1,"시작일 이전(확인)",IF(M810=1,"1일째",IF(M810=2,"2일째",IF(M810=3,"3일째",IF(M810&lt;=7,"일주일 이내",IF(M810&lt;=14,"이주일 이내","15일 이후"))))))))</f>
        <v/>
      </c>
      <c r="O810" s="0" t="str">
        <f aca="false">IF(AND(COUNTA($A810:$J810)&gt;0,OR(클레임조회!$C$4="",AND(ISNUMBER($B810),$B810&gt;=클레임조회!$C$4)),OR(클레임조회!$C$5="",AND(ISNUMBER($B810),$B810&lt;=클레임조회!$C$5)),OR(클레임조회!$C$6="",$C810=클레임조회!$C$6),OR(클레임조회!$C$7="",$D810=클레임조회!$C$7),OR(클레임조회!$C$8="",$E810=클레임조회!$C$8),OR(클레임조회!$C$9="",$F810=클레임조회!$C$9),OR(클레임조회!$C$10="",ISNUMBER(SEARCH(클레임조회!$C$10,$C810&amp;" "&amp;$F810&amp;" "&amp;$G810&amp;" "&amp;$H810)))),COUNT(O$1:O809)+1,"")</f>
        <v/>
      </c>
      <c r="P810" s="0" t="str">
        <f aca="false">IF(AND(TRIM(C810)&lt;&gt;"",COUNTIF(C$2:C810,C810)=1),MAX(P$1:P809)+1,"")</f>
        <v/>
      </c>
      <c r="Q810" s="0" t="str">
        <f aca="false">IF(AND(TRIM(F810)&lt;&gt;"",COUNTIF(F$2:F810,F810)=1),MAX(Q$1:Q809)+1,"")</f>
        <v/>
      </c>
    </row>
    <row r="811" customFormat="false" ht="15" hidden="false" customHeight="false" outlineLevel="0" collapsed="false">
      <c r="A811" s="9"/>
      <c r="B811" s="10"/>
      <c r="C811" s="11"/>
      <c r="D811" s="11"/>
      <c r="E811" s="11"/>
      <c r="F811" s="11"/>
      <c r="G811" s="12"/>
      <c r="H811" s="12"/>
      <c r="I811" s="10"/>
      <c r="J811" s="12"/>
      <c r="K811" s="13" t="str">
        <f aca="false">IF(ISNUMBER(B811),YEAR(B811),"")</f>
        <v/>
      </c>
      <c r="L811" s="13" t="str">
        <f aca="false">IF(ISNUMBER(B811),MONTH(B811),"")</f>
        <v/>
      </c>
      <c r="M811" s="13" t="str">
        <f aca="false">IF(AND(ISNUMBER(B811),ISNUMBER(I811)),B811-I811+1,"")</f>
        <v/>
      </c>
      <c r="N811" s="14" t="str">
        <f aca="false">IF(B811="","",IF(M811="","시작일 미입력",IF(M811&lt;1,"시작일 이전(확인)",IF(M811=1,"1일째",IF(M811=2,"2일째",IF(M811=3,"3일째",IF(M811&lt;=7,"일주일 이내",IF(M811&lt;=14,"이주일 이내","15일 이후"))))))))</f>
        <v/>
      </c>
      <c r="O811" s="0" t="str">
        <f aca="false">IF(AND(COUNTA($A811:$J811)&gt;0,OR(클레임조회!$C$4="",AND(ISNUMBER($B811),$B811&gt;=클레임조회!$C$4)),OR(클레임조회!$C$5="",AND(ISNUMBER($B811),$B811&lt;=클레임조회!$C$5)),OR(클레임조회!$C$6="",$C811=클레임조회!$C$6),OR(클레임조회!$C$7="",$D811=클레임조회!$C$7),OR(클레임조회!$C$8="",$E811=클레임조회!$C$8),OR(클레임조회!$C$9="",$F811=클레임조회!$C$9),OR(클레임조회!$C$10="",ISNUMBER(SEARCH(클레임조회!$C$10,$C811&amp;" "&amp;$F811&amp;" "&amp;$G811&amp;" "&amp;$H811)))),COUNT(O$1:O810)+1,"")</f>
        <v/>
      </c>
      <c r="P811" s="0" t="str">
        <f aca="false">IF(AND(TRIM(C811)&lt;&gt;"",COUNTIF(C$2:C811,C811)=1),MAX(P$1:P810)+1,"")</f>
        <v/>
      </c>
      <c r="Q811" s="0" t="str">
        <f aca="false">IF(AND(TRIM(F811)&lt;&gt;"",COUNTIF(F$2:F811,F811)=1),MAX(Q$1:Q810)+1,"")</f>
        <v/>
      </c>
    </row>
    <row r="812" customFormat="false" ht="15" hidden="false" customHeight="false" outlineLevel="0" collapsed="false">
      <c r="A812" s="9"/>
      <c r="B812" s="10"/>
      <c r="C812" s="11"/>
      <c r="D812" s="11"/>
      <c r="E812" s="11"/>
      <c r="F812" s="11"/>
      <c r="G812" s="12"/>
      <c r="H812" s="12"/>
      <c r="I812" s="10"/>
      <c r="J812" s="12"/>
      <c r="K812" s="13" t="str">
        <f aca="false">IF(ISNUMBER(B812),YEAR(B812),"")</f>
        <v/>
      </c>
      <c r="L812" s="13" t="str">
        <f aca="false">IF(ISNUMBER(B812),MONTH(B812),"")</f>
        <v/>
      </c>
      <c r="M812" s="13" t="str">
        <f aca="false">IF(AND(ISNUMBER(B812),ISNUMBER(I812)),B812-I812+1,"")</f>
        <v/>
      </c>
      <c r="N812" s="14" t="str">
        <f aca="false">IF(B812="","",IF(M812="","시작일 미입력",IF(M812&lt;1,"시작일 이전(확인)",IF(M812=1,"1일째",IF(M812=2,"2일째",IF(M812=3,"3일째",IF(M812&lt;=7,"일주일 이내",IF(M812&lt;=14,"이주일 이내","15일 이후"))))))))</f>
        <v/>
      </c>
      <c r="O812" s="0" t="str">
        <f aca="false">IF(AND(COUNTA($A812:$J812)&gt;0,OR(클레임조회!$C$4="",AND(ISNUMBER($B812),$B812&gt;=클레임조회!$C$4)),OR(클레임조회!$C$5="",AND(ISNUMBER($B812),$B812&lt;=클레임조회!$C$5)),OR(클레임조회!$C$6="",$C812=클레임조회!$C$6),OR(클레임조회!$C$7="",$D812=클레임조회!$C$7),OR(클레임조회!$C$8="",$E812=클레임조회!$C$8),OR(클레임조회!$C$9="",$F812=클레임조회!$C$9),OR(클레임조회!$C$10="",ISNUMBER(SEARCH(클레임조회!$C$10,$C812&amp;" "&amp;$F812&amp;" "&amp;$G812&amp;" "&amp;$H812)))),COUNT(O$1:O811)+1,"")</f>
        <v/>
      </c>
      <c r="P812" s="0" t="str">
        <f aca="false">IF(AND(TRIM(C812)&lt;&gt;"",COUNTIF(C$2:C812,C812)=1),MAX(P$1:P811)+1,"")</f>
        <v/>
      </c>
      <c r="Q812" s="0" t="str">
        <f aca="false">IF(AND(TRIM(F812)&lt;&gt;"",COUNTIF(F$2:F812,F812)=1),MAX(Q$1:Q811)+1,"")</f>
        <v/>
      </c>
    </row>
    <row r="813" customFormat="false" ht="15" hidden="false" customHeight="false" outlineLevel="0" collapsed="false">
      <c r="A813" s="9"/>
      <c r="B813" s="10"/>
      <c r="C813" s="11"/>
      <c r="D813" s="11"/>
      <c r="E813" s="11"/>
      <c r="F813" s="11"/>
      <c r="G813" s="12"/>
      <c r="H813" s="12"/>
      <c r="I813" s="10"/>
      <c r="J813" s="12"/>
      <c r="K813" s="13" t="str">
        <f aca="false">IF(ISNUMBER(B813),YEAR(B813),"")</f>
        <v/>
      </c>
      <c r="L813" s="13" t="str">
        <f aca="false">IF(ISNUMBER(B813),MONTH(B813),"")</f>
        <v/>
      </c>
      <c r="M813" s="13" t="str">
        <f aca="false">IF(AND(ISNUMBER(B813),ISNUMBER(I813)),B813-I813+1,"")</f>
        <v/>
      </c>
      <c r="N813" s="14" t="str">
        <f aca="false">IF(B813="","",IF(M813="","시작일 미입력",IF(M813&lt;1,"시작일 이전(확인)",IF(M813=1,"1일째",IF(M813=2,"2일째",IF(M813=3,"3일째",IF(M813&lt;=7,"일주일 이내",IF(M813&lt;=14,"이주일 이내","15일 이후"))))))))</f>
        <v/>
      </c>
      <c r="O813" s="0" t="str">
        <f aca="false">IF(AND(COUNTA($A813:$J813)&gt;0,OR(클레임조회!$C$4="",AND(ISNUMBER($B813),$B813&gt;=클레임조회!$C$4)),OR(클레임조회!$C$5="",AND(ISNUMBER($B813),$B813&lt;=클레임조회!$C$5)),OR(클레임조회!$C$6="",$C813=클레임조회!$C$6),OR(클레임조회!$C$7="",$D813=클레임조회!$C$7),OR(클레임조회!$C$8="",$E813=클레임조회!$C$8),OR(클레임조회!$C$9="",$F813=클레임조회!$C$9),OR(클레임조회!$C$10="",ISNUMBER(SEARCH(클레임조회!$C$10,$C813&amp;" "&amp;$F813&amp;" "&amp;$G813&amp;" "&amp;$H813)))),COUNT(O$1:O812)+1,"")</f>
        <v/>
      </c>
      <c r="P813" s="0" t="str">
        <f aca="false">IF(AND(TRIM(C813)&lt;&gt;"",COUNTIF(C$2:C813,C813)=1),MAX(P$1:P812)+1,"")</f>
        <v/>
      </c>
      <c r="Q813" s="0" t="str">
        <f aca="false">IF(AND(TRIM(F813)&lt;&gt;"",COUNTIF(F$2:F813,F813)=1),MAX(Q$1:Q812)+1,"")</f>
        <v/>
      </c>
    </row>
    <row r="814" customFormat="false" ht="15" hidden="false" customHeight="false" outlineLevel="0" collapsed="false">
      <c r="A814" s="9"/>
      <c r="B814" s="10"/>
      <c r="C814" s="11"/>
      <c r="D814" s="11"/>
      <c r="E814" s="11"/>
      <c r="F814" s="11"/>
      <c r="G814" s="12"/>
      <c r="H814" s="12"/>
      <c r="I814" s="10"/>
      <c r="J814" s="12"/>
      <c r="K814" s="13" t="str">
        <f aca="false">IF(ISNUMBER(B814),YEAR(B814),"")</f>
        <v/>
      </c>
      <c r="L814" s="13" t="str">
        <f aca="false">IF(ISNUMBER(B814),MONTH(B814),"")</f>
        <v/>
      </c>
      <c r="M814" s="13" t="str">
        <f aca="false">IF(AND(ISNUMBER(B814),ISNUMBER(I814)),B814-I814+1,"")</f>
        <v/>
      </c>
      <c r="N814" s="14" t="str">
        <f aca="false">IF(B814="","",IF(M814="","시작일 미입력",IF(M814&lt;1,"시작일 이전(확인)",IF(M814=1,"1일째",IF(M814=2,"2일째",IF(M814=3,"3일째",IF(M814&lt;=7,"일주일 이내",IF(M814&lt;=14,"이주일 이내","15일 이후"))))))))</f>
        <v/>
      </c>
      <c r="O814" s="0" t="str">
        <f aca="false">IF(AND(COUNTA($A814:$J814)&gt;0,OR(클레임조회!$C$4="",AND(ISNUMBER($B814),$B814&gt;=클레임조회!$C$4)),OR(클레임조회!$C$5="",AND(ISNUMBER($B814),$B814&lt;=클레임조회!$C$5)),OR(클레임조회!$C$6="",$C814=클레임조회!$C$6),OR(클레임조회!$C$7="",$D814=클레임조회!$C$7),OR(클레임조회!$C$8="",$E814=클레임조회!$C$8),OR(클레임조회!$C$9="",$F814=클레임조회!$C$9),OR(클레임조회!$C$10="",ISNUMBER(SEARCH(클레임조회!$C$10,$C814&amp;" "&amp;$F814&amp;" "&amp;$G814&amp;" "&amp;$H814)))),COUNT(O$1:O813)+1,"")</f>
        <v/>
      </c>
      <c r="P814" s="0" t="str">
        <f aca="false">IF(AND(TRIM(C814)&lt;&gt;"",COUNTIF(C$2:C814,C814)=1),MAX(P$1:P813)+1,"")</f>
        <v/>
      </c>
      <c r="Q814" s="0" t="str">
        <f aca="false">IF(AND(TRIM(F814)&lt;&gt;"",COUNTIF(F$2:F814,F814)=1),MAX(Q$1:Q813)+1,"")</f>
        <v/>
      </c>
    </row>
    <row r="815" customFormat="false" ht="15" hidden="false" customHeight="false" outlineLevel="0" collapsed="false">
      <c r="A815" s="9"/>
      <c r="B815" s="10"/>
      <c r="C815" s="11"/>
      <c r="D815" s="11"/>
      <c r="E815" s="11"/>
      <c r="F815" s="11"/>
      <c r="G815" s="12"/>
      <c r="H815" s="12"/>
      <c r="I815" s="10"/>
      <c r="J815" s="12"/>
      <c r="K815" s="13" t="str">
        <f aca="false">IF(ISNUMBER(B815),YEAR(B815),"")</f>
        <v/>
      </c>
      <c r="L815" s="13" t="str">
        <f aca="false">IF(ISNUMBER(B815),MONTH(B815),"")</f>
        <v/>
      </c>
      <c r="M815" s="13" t="str">
        <f aca="false">IF(AND(ISNUMBER(B815),ISNUMBER(I815)),B815-I815+1,"")</f>
        <v/>
      </c>
      <c r="N815" s="14" t="str">
        <f aca="false">IF(B815="","",IF(M815="","시작일 미입력",IF(M815&lt;1,"시작일 이전(확인)",IF(M815=1,"1일째",IF(M815=2,"2일째",IF(M815=3,"3일째",IF(M815&lt;=7,"일주일 이내",IF(M815&lt;=14,"이주일 이내","15일 이후"))))))))</f>
        <v/>
      </c>
      <c r="O815" s="0" t="str">
        <f aca="false">IF(AND(COUNTA($A815:$J815)&gt;0,OR(클레임조회!$C$4="",AND(ISNUMBER($B815),$B815&gt;=클레임조회!$C$4)),OR(클레임조회!$C$5="",AND(ISNUMBER($B815),$B815&lt;=클레임조회!$C$5)),OR(클레임조회!$C$6="",$C815=클레임조회!$C$6),OR(클레임조회!$C$7="",$D815=클레임조회!$C$7),OR(클레임조회!$C$8="",$E815=클레임조회!$C$8),OR(클레임조회!$C$9="",$F815=클레임조회!$C$9),OR(클레임조회!$C$10="",ISNUMBER(SEARCH(클레임조회!$C$10,$C815&amp;" "&amp;$F815&amp;" "&amp;$G815&amp;" "&amp;$H815)))),COUNT(O$1:O814)+1,"")</f>
        <v/>
      </c>
      <c r="P815" s="0" t="str">
        <f aca="false">IF(AND(TRIM(C815)&lt;&gt;"",COUNTIF(C$2:C815,C815)=1),MAX(P$1:P814)+1,"")</f>
        <v/>
      </c>
      <c r="Q815" s="0" t="str">
        <f aca="false">IF(AND(TRIM(F815)&lt;&gt;"",COUNTIF(F$2:F815,F815)=1),MAX(Q$1:Q814)+1,"")</f>
        <v/>
      </c>
    </row>
    <row r="816" customFormat="false" ht="15" hidden="false" customHeight="false" outlineLevel="0" collapsed="false">
      <c r="A816" s="9"/>
      <c r="B816" s="10"/>
      <c r="C816" s="11"/>
      <c r="D816" s="11"/>
      <c r="E816" s="11"/>
      <c r="F816" s="11"/>
      <c r="G816" s="12"/>
      <c r="H816" s="12"/>
      <c r="I816" s="10"/>
      <c r="J816" s="12"/>
      <c r="K816" s="13" t="str">
        <f aca="false">IF(ISNUMBER(B816),YEAR(B816),"")</f>
        <v/>
      </c>
      <c r="L816" s="13" t="str">
        <f aca="false">IF(ISNUMBER(B816),MONTH(B816),"")</f>
        <v/>
      </c>
      <c r="M816" s="13" t="str">
        <f aca="false">IF(AND(ISNUMBER(B816),ISNUMBER(I816)),B816-I816+1,"")</f>
        <v/>
      </c>
      <c r="N816" s="14" t="str">
        <f aca="false">IF(B816="","",IF(M816="","시작일 미입력",IF(M816&lt;1,"시작일 이전(확인)",IF(M816=1,"1일째",IF(M816=2,"2일째",IF(M816=3,"3일째",IF(M816&lt;=7,"일주일 이내",IF(M816&lt;=14,"이주일 이내","15일 이후"))))))))</f>
        <v/>
      </c>
      <c r="O816" s="0" t="str">
        <f aca="false">IF(AND(COUNTA($A816:$J816)&gt;0,OR(클레임조회!$C$4="",AND(ISNUMBER($B816),$B816&gt;=클레임조회!$C$4)),OR(클레임조회!$C$5="",AND(ISNUMBER($B816),$B816&lt;=클레임조회!$C$5)),OR(클레임조회!$C$6="",$C816=클레임조회!$C$6),OR(클레임조회!$C$7="",$D816=클레임조회!$C$7),OR(클레임조회!$C$8="",$E816=클레임조회!$C$8),OR(클레임조회!$C$9="",$F816=클레임조회!$C$9),OR(클레임조회!$C$10="",ISNUMBER(SEARCH(클레임조회!$C$10,$C816&amp;" "&amp;$F816&amp;" "&amp;$G816&amp;" "&amp;$H816)))),COUNT(O$1:O815)+1,"")</f>
        <v/>
      </c>
      <c r="P816" s="0" t="str">
        <f aca="false">IF(AND(TRIM(C816)&lt;&gt;"",COUNTIF(C$2:C816,C816)=1),MAX(P$1:P815)+1,"")</f>
        <v/>
      </c>
      <c r="Q816" s="0" t="str">
        <f aca="false">IF(AND(TRIM(F816)&lt;&gt;"",COUNTIF(F$2:F816,F816)=1),MAX(Q$1:Q815)+1,"")</f>
        <v/>
      </c>
    </row>
    <row r="817" customFormat="false" ht="15" hidden="false" customHeight="false" outlineLevel="0" collapsed="false">
      <c r="A817" s="9"/>
      <c r="B817" s="10"/>
      <c r="C817" s="11"/>
      <c r="D817" s="11"/>
      <c r="E817" s="11"/>
      <c r="F817" s="11"/>
      <c r="G817" s="12"/>
      <c r="H817" s="12"/>
      <c r="I817" s="10"/>
      <c r="J817" s="12"/>
      <c r="K817" s="13" t="str">
        <f aca="false">IF(ISNUMBER(B817),YEAR(B817),"")</f>
        <v/>
      </c>
      <c r="L817" s="13" t="str">
        <f aca="false">IF(ISNUMBER(B817),MONTH(B817),"")</f>
        <v/>
      </c>
      <c r="M817" s="13" t="str">
        <f aca="false">IF(AND(ISNUMBER(B817),ISNUMBER(I817)),B817-I817+1,"")</f>
        <v/>
      </c>
      <c r="N817" s="14" t="str">
        <f aca="false">IF(B817="","",IF(M817="","시작일 미입력",IF(M817&lt;1,"시작일 이전(확인)",IF(M817=1,"1일째",IF(M817=2,"2일째",IF(M817=3,"3일째",IF(M817&lt;=7,"일주일 이내",IF(M817&lt;=14,"이주일 이내","15일 이후"))))))))</f>
        <v/>
      </c>
      <c r="O817" s="0" t="str">
        <f aca="false">IF(AND(COUNTA($A817:$J817)&gt;0,OR(클레임조회!$C$4="",AND(ISNUMBER($B817),$B817&gt;=클레임조회!$C$4)),OR(클레임조회!$C$5="",AND(ISNUMBER($B817),$B817&lt;=클레임조회!$C$5)),OR(클레임조회!$C$6="",$C817=클레임조회!$C$6),OR(클레임조회!$C$7="",$D817=클레임조회!$C$7),OR(클레임조회!$C$8="",$E817=클레임조회!$C$8),OR(클레임조회!$C$9="",$F817=클레임조회!$C$9),OR(클레임조회!$C$10="",ISNUMBER(SEARCH(클레임조회!$C$10,$C817&amp;" "&amp;$F817&amp;" "&amp;$G817&amp;" "&amp;$H817)))),COUNT(O$1:O816)+1,"")</f>
        <v/>
      </c>
      <c r="P817" s="0" t="str">
        <f aca="false">IF(AND(TRIM(C817)&lt;&gt;"",COUNTIF(C$2:C817,C817)=1),MAX(P$1:P816)+1,"")</f>
        <v/>
      </c>
      <c r="Q817" s="0" t="str">
        <f aca="false">IF(AND(TRIM(F817)&lt;&gt;"",COUNTIF(F$2:F817,F817)=1),MAX(Q$1:Q816)+1,"")</f>
        <v/>
      </c>
    </row>
    <row r="818" customFormat="false" ht="15" hidden="false" customHeight="false" outlineLevel="0" collapsed="false">
      <c r="A818" s="9"/>
      <c r="B818" s="10"/>
      <c r="C818" s="11"/>
      <c r="D818" s="11"/>
      <c r="E818" s="11"/>
      <c r="F818" s="11"/>
      <c r="G818" s="12"/>
      <c r="H818" s="12"/>
      <c r="I818" s="10"/>
      <c r="J818" s="12"/>
      <c r="K818" s="13" t="str">
        <f aca="false">IF(ISNUMBER(B818),YEAR(B818),"")</f>
        <v/>
      </c>
      <c r="L818" s="13" t="str">
        <f aca="false">IF(ISNUMBER(B818),MONTH(B818),"")</f>
        <v/>
      </c>
      <c r="M818" s="13" t="str">
        <f aca="false">IF(AND(ISNUMBER(B818),ISNUMBER(I818)),B818-I818+1,"")</f>
        <v/>
      </c>
      <c r="N818" s="14" t="str">
        <f aca="false">IF(B818="","",IF(M818="","시작일 미입력",IF(M818&lt;1,"시작일 이전(확인)",IF(M818=1,"1일째",IF(M818=2,"2일째",IF(M818=3,"3일째",IF(M818&lt;=7,"일주일 이내",IF(M818&lt;=14,"이주일 이내","15일 이후"))))))))</f>
        <v/>
      </c>
      <c r="O818" s="0" t="str">
        <f aca="false">IF(AND(COUNTA($A818:$J818)&gt;0,OR(클레임조회!$C$4="",AND(ISNUMBER($B818),$B818&gt;=클레임조회!$C$4)),OR(클레임조회!$C$5="",AND(ISNUMBER($B818),$B818&lt;=클레임조회!$C$5)),OR(클레임조회!$C$6="",$C818=클레임조회!$C$6),OR(클레임조회!$C$7="",$D818=클레임조회!$C$7),OR(클레임조회!$C$8="",$E818=클레임조회!$C$8),OR(클레임조회!$C$9="",$F818=클레임조회!$C$9),OR(클레임조회!$C$10="",ISNUMBER(SEARCH(클레임조회!$C$10,$C818&amp;" "&amp;$F818&amp;" "&amp;$G818&amp;" "&amp;$H818)))),COUNT(O$1:O817)+1,"")</f>
        <v/>
      </c>
      <c r="P818" s="0" t="str">
        <f aca="false">IF(AND(TRIM(C818)&lt;&gt;"",COUNTIF(C$2:C818,C818)=1),MAX(P$1:P817)+1,"")</f>
        <v/>
      </c>
      <c r="Q818" s="0" t="str">
        <f aca="false">IF(AND(TRIM(F818)&lt;&gt;"",COUNTIF(F$2:F818,F818)=1),MAX(Q$1:Q817)+1,"")</f>
        <v/>
      </c>
    </row>
    <row r="819" customFormat="false" ht="15" hidden="false" customHeight="false" outlineLevel="0" collapsed="false">
      <c r="A819" s="9"/>
      <c r="B819" s="10"/>
      <c r="C819" s="11"/>
      <c r="D819" s="11"/>
      <c r="E819" s="11"/>
      <c r="F819" s="11"/>
      <c r="G819" s="12"/>
      <c r="H819" s="12"/>
      <c r="I819" s="10"/>
      <c r="J819" s="12"/>
      <c r="K819" s="13" t="str">
        <f aca="false">IF(ISNUMBER(B819),YEAR(B819),"")</f>
        <v/>
      </c>
      <c r="L819" s="13" t="str">
        <f aca="false">IF(ISNUMBER(B819),MONTH(B819),"")</f>
        <v/>
      </c>
      <c r="M819" s="13" t="str">
        <f aca="false">IF(AND(ISNUMBER(B819),ISNUMBER(I819)),B819-I819+1,"")</f>
        <v/>
      </c>
      <c r="N819" s="14" t="str">
        <f aca="false">IF(B819="","",IF(M819="","시작일 미입력",IF(M819&lt;1,"시작일 이전(확인)",IF(M819=1,"1일째",IF(M819=2,"2일째",IF(M819=3,"3일째",IF(M819&lt;=7,"일주일 이내",IF(M819&lt;=14,"이주일 이내","15일 이후"))))))))</f>
        <v/>
      </c>
      <c r="O819" s="0" t="str">
        <f aca="false">IF(AND(COUNTA($A819:$J819)&gt;0,OR(클레임조회!$C$4="",AND(ISNUMBER($B819),$B819&gt;=클레임조회!$C$4)),OR(클레임조회!$C$5="",AND(ISNUMBER($B819),$B819&lt;=클레임조회!$C$5)),OR(클레임조회!$C$6="",$C819=클레임조회!$C$6),OR(클레임조회!$C$7="",$D819=클레임조회!$C$7),OR(클레임조회!$C$8="",$E819=클레임조회!$C$8),OR(클레임조회!$C$9="",$F819=클레임조회!$C$9),OR(클레임조회!$C$10="",ISNUMBER(SEARCH(클레임조회!$C$10,$C819&amp;" "&amp;$F819&amp;" "&amp;$G819&amp;" "&amp;$H819)))),COUNT(O$1:O818)+1,"")</f>
        <v/>
      </c>
      <c r="P819" s="0" t="str">
        <f aca="false">IF(AND(TRIM(C819)&lt;&gt;"",COUNTIF(C$2:C819,C819)=1),MAX(P$1:P818)+1,"")</f>
        <v/>
      </c>
      <c r="Q819" s="0" t="str">
        <f aca="false">IF(AND(TRIM(F819)&lt;&gt;"",COUNTIF(F$2:F819,F819)=1),MAX(Q$1:Q818)+1,"")</f>
        <v/>
      </c>
    </row>
    <row r="820" customFormat="false" ht="15" hidden="false" customHeight="false" outlineLevel="0" collapsed="false">
      <c r="A820" s="9"/>
      <c r="B820" s="10"/>
      <c r="C820" s="11"/>
      <c r="D820" s="11"/>
      <c r="E820" s="11"/>
      <c r="F820" s="11"/>
      <c r="G820" s="12"/>
      <c r="H820" s="12"/>
      <c r="I820" s="10"/>
      <c r="J820" s="12"/>
      <c r="K820" s="13" t="str">
        <f aca="false">IF(ISNUMBER(B820),YEAR(B820),"")</f>
        <v/>
      </c>
      <c r="L820" s="13" t="str">
        <f aca="false">IF(ISNUMBER(B820),MONTH(B820),"")</f>
        <v/>
      </c>
      <c r="M820" s="13" t="str">
        <f aca="false">IF(AND(ISNUMBER(B820),ISNUMBER(I820)),B820-I820+1,"")</f>
        <v/>
      </c>
      <c r="N820" s="14" t="str">
        <f aca="false">IF(B820="","",IF(M820="","시작일 미입력",IF(M820&lt;1,"시작일 이전(확인)",IF(M820=1,"1일째",IF(M820=2,"2일째",IF(M820=3,"3일째",IF(M820&lt;=7,"일주일 이내",IF(M820&lt;=14,"이주일 이내","15일 이후"))))))))</f>
        <v/>
      </c>
      <c r="O820" s="0" t="str">
        <f aca="false">IF(AND(COUNTA($A820:$J820)&gt;0,OR(클레임조회!$C$4="",AND(ISNUMBER($B820),$B820&gt;=클레임조회!$C$4)),OR(클레임조회!$C$5="",AND(ISNUMBER($B820),$B820&lt;=클레임조회!$C$5)),OR(클레임조회!$C$6="",$C820=클레임조회!$C$6),OR(클레임조회!$C$7="",$D820=클레임조회!$C$7),OR(클레임조회!$C$8="",$E820=클레임조회!$C$8),OR(클레임조회!$C$9="",$F820=클레임조회!$C$9),OR(클레임조회!$C$10="",ISNUMBER(SEARCH(클레임조회!$C$10,$C820&amp;" "&amp;$F820&amp;" "&amp;$G820&amp;" "&amp;$H820)))),COUNT(O$1:O819)+1,"")</f>
        <v/>
      </c>
      <c r="P820" s="0" t="str">
        <f aca="false">IF(AND(TRIM(C820)&lt;&gt;"",COUNTIF(C$2:C820,C820)=1),MAX(P$1:P819)+1,"")</f>
        <v/>
      </c>
      <c r="Q820" s="0" t="str">
        <f aca="false">IF(AND(TRIM(F820)&lt;&gt;"",COUNTIF(F$2:F820,F820)=1),MAX(Q$1:Q819)+1,"")</f>
        <v/>
      </c>
    </row>
    <row r="821" customFormat="false" ht="15" hidden="false" customHeight="false" outlineLevel="0" collapsed="false">
      <c r="A821" s="9"/>
      <c r="B821" s="10"/>
      <c r="C821" s="11"/>
      <c r="D821" s="11"/>
      <c r="E821" s="11"/>
      <c r="F821" s="11"/>
      <c r="G821" s="12"/>
      <c r="H821" s="12"/>
      <c r="I821" s="10"/>
      <c r="J821" s="12"/>
      <c r="K821" s="13" t="str">
        <f aca="false">IF(ISNUMBER(B821),YEAR(B821),"")</f>
        <v/>
      </c>
      <c r="L821" s="13" t="str">
        <f aca="false">IF(ISNUMBER(B821),MONTH(B821),"")</f>
        <v/>
      </c>
      <c r="M821" s="13" t="str">
        <f aca="false">IF(AND(ISNUMBER(B821),ISNUMBER(I821)),B821-I821+1,"")</f>
        <v/>
      </c>
      <c r="N821" s="14" t="str">
        <f aca="false">IF(B821="","",IF(M821="","시작일 미입력",IF(M821&lt;1,"시작일 이전(확인)",IF(M821=1,"1일째",IF(M821=2,"2일째",IF(M821=3,"3일째",IF(M821&lt;=7,"일주일 이내",IF(M821&lt;=14,"이주일 이내","15일 이후"))))))))</f>
        <v/>
      </c>
      <c r="O821" s="0" t="str">
        <f aca="false">IF(AND(COUNTA($A821:$J821)&gt;0,OR(클레임조회!$C$4="",AND(ISNUMBER($B821),$B821&gt;=클레임조회!$C$4)),OR(클레임조회!$C$5="",AND(ISNUMBER($B821),$B821&lt;=클레임조회!$C$5)),OR(클레임조회!$C$6="",$C821=클레임조회!$C$6),OR(클레임조회!$C$7="",$D821=클레임조회!$C$7),OR(클레임조회!$C$8="",$E821=클레임조회!$C$8),OR(클레임조회!$C$9="",$F821=클레임조회!$C$9),OR(클레임조회!$C$10="",ISNUMBER(SEARCH(클레임조회!$C$10,$C821&amp;" "&amp;$F821&amp;" "&amp;$G821&amp;" "&amp;$H821)))),COUNT(O$1:O820)+1,"")</f>
        <v/>
      </c>
      <c r="P821" s="0" t="str">
        <f aca="false">IF(AND(TRIM(C821)&lt;&gt;"",COUNTIF(C$2:C821,C821)=1),MAX(P$1:P820)+1,"")</f>
        <v/>
      </c>
      <c r="Q821" s="0" t="str">
        <f aca="false">IF(AND(TRIM(F821)&lt;&gt;"",COUNTIF(F$2:F821,F821)=1),MAX(Q$1:Q820)+1,"")</f>
        <v/>
      </c>
    </row>
    <row r="822" customFormat="false" ht="15" hidden="false" customHeight="false" outlineLevel="0" collapsed="false">
      <c r="A822" s="9"/>
      <c r="B822" s="10"/>
      <c r="C822" s="11"/>
      <c r="D822" s="11"/>
      <c r="E822" s="11"/>
      <c r="F822" s="11"/>
      <c r="G822" s="12"/>
      <c r="H822" s="12"/>
      <c r="I822" s="10"/>
      <c r="J822" s="12"/>
      <c r="K822" s="13" t="str">
        <f aca="false">IF(ISNUMBER(B822),YEAR(B822),"")</f>
        <v/>
      </c>
      <c r="L822" s="13" t="str">
        <f aca="false">IF(ISNUMBER(B822),MONTH(B822),"")</f>
        <v/>
      </c>
      <c r="M822" s="13" t="str">
        <f aca="false">IF(AND(ISNUMBER(B822),ISNUMBER(I822)),B822-I822+1,"")</f>
        <v/>
      </c>
      <c r="N822" s="14" t="str">
        <f aca="false">IF(B822="","",IF(M822="","시작일 미입력",IF(M822&lt;1,"시작일 이전(확인)",IF(M822=1,"1일째",IF(M822=2,"2일째",IF(M822=3,"3일째",IF(M822&lt;=7,"일주일 이내",IF(M822&lt;=14,"이주일 이내","15일 이후"))))))))</f>
        <v/>
      </c>
      <c r="O822" s="0" t="str">
        <f aca="false">IF(AND(COUNTA($A822:$J822)&gt;0,OR(클레임조회!$C$4="",AND(ISNUMBER($B822),$B822&gt;=클레임조회!$C$4)),OR(클레임조회!$C$5="",AND(ISNUMBER($B822),$B822&lt;=클레임조회!$C$5)),OR(클레임조회!$C$6="",$C822=클레임조회!$C$6),OR(클레임조회!$C$7="",$D822=클레임조회!$C$7),OR(클레임조회!$C$8="",$E822=클레임조회!$C$8),OR(클레임조회!$C$9="",$F822=클레임조회!$C$9),OR(클레임조회!$C$10="",ISNUMBER(SEARCH(클레임조회!$C$10,$C822&amp;" "&amp;$F822&amp;" "&amp;$G822&amp;" "&amp;$H822)))),COUNT(O$1:O821)+1,"")</f>
        <v/>
      </c>
      <c r="P822" s="0" t="str">
        <f aca="false">IF(AND(TRIM(C822)&lt;&gt;"",COUNTIF(C$2:C822,C822)=1),MAX(P$1:P821)+1,"")</f>
        <v/>
      </c>
      <c r="Q822" s="0" t="str">
        <f aca="false">IF(AND(TRIM(F822)&lt;&gt;"",COUNTIF(F$2:F822,F822)=1),MAX(Q$1:Q821)+1,"")</f>
        <v/>
      </c>
    </row>
    <row r="823" customFormat="false" ht="15" hidden="false" customHeight="false" outlineLevel="0" collapsed="false">
      <c r="A823" s="9"/>
      <c r="B823" s="10"/>
      <c r="C823" s="11"/>
      <c r="D823" s="11"/>
      <c r="E823" s="11"/>
      <c r="F823" s="11"/>
      <c r="G823" s="12"/>
      <c r="H823" s="12"/>
      <c r="I823" s="10"/>
      <c r="J823" s="12"/>
      <c r="K823" s="13" t="str">
        <f aca="false">IF(ISNUMBER(B823),YEAR(B823),"")</f>
        <v/>
      </c>
      <c r="L823" s="13" t="str">
        <f aca="false">IF(ISNUMBER(B823),MONTH(B823),"")</f>
        <v/>
      </c>
      <c r="M823" s="13" t="str">
        <f aca="false">IF(AND(ISNUMBER(B823),ISNUMBER(I823)),B823-I823+1,"")</f>
        <v/>
      </c>
      <c r="N823" s="14" t="str">
        <f aca="false">IF(B823="","",IF(M823="","시작일 미입력",IF(M823&lt;1,"시작일 이전(확인)",IF(M823=1,"1일째",IF(M823=2,"2일째",IF(M823=3,"3일째",IF(M823&lt;=7,"일주일 이내",IF(M823&lt;=14,"이주일 이내","15일 이후"))))))))</f>
        <v/>
      </c>
      <c r="O823" s="0" t="str">
        <f aca="false">IF(AND(COUNTA($A823:$J823)&gt;0,OR(클레임조회!$C$4="",AND(ISNUMBER($B823),$B823&gt;=클레임조회!$C$4)),OR(클레임조회!$C$5="",AND(ISNUMBER($B823),$B823&lt;=클레임조회!$C$5)),OR(클레임조회!$C$6="",$C823=클레임조회!$C$6),OR(클레임조회!$C$7="",$D823=클레임조회!$C$7),OR(클레임조회!$C$8="",$E823=클레임조회!$C$8),OR(클레임조회!$C$9="",$F823=클레임조회!$C$9),OR(클레임조회!$C$10="",ISNUMBER(SEARCH(클레임조회!$C$10,$C823&amp;" "&amp;$F823&amp;" "&amp;$G823&amp;" "&amp;$H823)))),COUNT(O$1:O822)+1,"")</f>
        <v/>
      </c>
      <c r="P823" s="0" t="str">
        <f aca="false">IF(AND(TRIM(C823)&lt;&gt;"",COUNTIF(C$2:C823,C823)=1),MAX(P$1:P822)+1,"")</f>
        <v/>
      </c>
      <c r="Q823" s="0" t="str">
        <f aca="false">IF(AND(TRIM(F823)&lt;&gt;"",COUNTIF(F$2:F823,F823)=1),MAX(Q$1:Q822)+1,"")</f>
        <v/>
      </c>
    </row>
    <row r="824" customFormat="false" ht="15" hidden="false" customHeight="false" outlineLevel="0" collapsed="false">
      <c r="A824" s="9"/>
      <c r="B824" s="10"/>
      <c r="C824" s="11"/>
      <c r="D824" s="11"/>
      <c r="E824" s="11"/>
      <c r="F824" s="11"/>
      <c r="G824" s="12"/>
      <c r="H824" s="12"/>
      <c r="I824" s="10"/>
      <c r="J824" s="12"/>
      <c r="K824" s="13" t="str">
        <f aca="false">IF(ISNUMBER(B824),YEAR(B824),"")</f>
        <v/>
      </c>
      <c r="L824" s="13" t="str">
        <f aca="false">IF(ISNUMBER(B824),MONTH(B824),"")</f>
        <v/>
      </c>
      <c r="M824" s="13" t="str">
        <f aca="false">IF(AND(ISNUMBER(B824),ISNUMBER(I824)),B824-I824+1,"")</f>
        <v/>
      </c>
      <c r="N824" s="14" t="str">
        <f aca="false">IF(B824="","",IF(M824="","시작일 미입력",IF(M824&lt;1,"시작일 이전(확인)",IF(M824=1,"1일째",IF(M824=2,"2일째",IF(M824=3,"3일째",IF(M824&lt;=7,"일주일 이내",IF(M824&lt;=14,"이주일 이내","15일 이후"))))))))</f>
        <v/>
      </c>
      <c r="O824" s="0" t="str">
        <f aca="false">IF(AND(COUNTA($A824:$J824)&gt;0,OR(클레임조회!$C$4="",AND(ISNUMBER($B824),$B824&gt;=클레임조회!$C$4)),OR(클레임조회!$C$5="",AND(ISNUMBER($B824),$B824&lt;=클레임조회!$C$5)),OR(클레임조회!$C$6="",$C824=클레임조회!$C$6),OR(클레임조회!$C$7="",$D824=클레임조회!$C$7),OR(클레임조회!$C$8="",$E824=클레임조회!$C$8),OR(클레임조회!$C$9="",$F824=클레임조회!$C$9),OR(클레임조회!$C$10="",ISNUMBER(SEARCH(클레임조회!$C$10,$C824&amp;" "&amp;$F824&amp;" "&amp;$G824&amp;" "&amp;$H824)))),COUNT(O$1:O823)+1,"")</f>
        <v/>
      </c>
      <c r="P824" s="0" t="str">
        <f aca="false">IF(AND(TRIM(C824)&lt;&gt;"",COUNTIF(C$2:C824,C824)=1),MAX(P$1:P823)+1,"")</f>
        <v/>
      </c>
      <c r="Q824" s="0" t="str">
        <f aca="false">IF(AND(TRIM(F824)&lt;&gt;"",COUNTIF(F$2:F824,F824)=1),MAX(Q$1:Q823)+1,"")</f>
        <v/>
      </c>
    </row>
    <row r="825" customFormat="false" ht="15" hidden="false" customHeight="false" outlineLevel="0" collapsed="false">
      <c r="A825" s="9"/>
      <c r="B825" s="10"/>
      <c r="C825" s="11"/>
      <c r="D825" s="11"/>
      <c r="E825" s="11"/>
      <c r="F825" s="11"/>
      <c r="G825" s="12"/>
      <c r="H825" s="12"/>
      <c r="I825" s="10"/>
      <c r="J825" s="12"/>
      <c r="K825" s="13" t="str">
        <f aca="false">IF(ISNUMBER(B825),YEAR(B825),"")</f>
        <v/>
      </c>
      <c r="L825" s="13" t="str">
        <f aca="false">IF(ISNUMBER(B825),MONTH(B825),"")</f>
        <v/>
      </c>
      <c r="M825" s="13" t="str">
        <f aca="false">IF(AND(ISNUMBER(B825),ISNUMBER(I825)),B825-I825+1,"")</f>
        <v/>
      </c>
      <c r="N825" s="14" t="str">
        <f aca="false">IF(B825="","",IF(M825="","시작일 미입력",IF(M825&lt;1,"시작일 이전(확인)",IF(M825=1,"1일째",IF(M825=2,"2일째",IF(M825=3,"3일째",IF(M825&lt;=7,"일주일 이내",IF(M825&lt;=14,"이주일 이내","15일 이후"))))))))</f>
        <v/>
      </c>
      <c r="O825" s="0" t="str">
        <f aca="false">IF(AND(COUNTA($A825:$J825)&gt;0,OR(클레임조회!$C$4="",AND(ISNUMBER($B825),$B825&gt;=클레임조회!$C$4)),OR(클레임조회!$C$5="",AND(ISNUMBER($B825),$B825&lt;=클레임조회!$C$5)),OR(클레임조회!$C$6="",$C825=클레임조회!$C$6),OR(클레임조회!$C$7="",$D825=클레임조회!$C$7),OR(클레임조회!$C$8="",$E825=클레임조회!$C$8),OR(클레임조회!$C$9="",$F825=클레임조회!$C$9),OR(클레임조회!$C$10="",ISNUMBER(SEARCH(클레임조회!$C$10,$C825&amp;" "&amp;$F825&amp;" "&amp;$G825&amp;" "&amp;$H825)))),COUNT(O$1:O824)+1,"")</f>
        <v/>
      </c>
      <c r="P825" s="0" t="str">
        <f aca="false">IF(AND(TRIM(C825)&lt;&gt;"",COUNTIF(C$2:C825,C825)=1),MAX(P$1:P824)+1,"")</f>
        <v/>
      </c>
      <c r="Q825" s="0" t="str">
        <f aca="false">IF(AND(TRIM(F825)&lt;&gt;"",COUNTIF(F$2:F825,F825)=1),MAX(Q$1:Q824)+1,"")</f>
        <v/>
      </c>
    </row>
    <row r="826" customFormat="false" ht="15" hidden="false" customHeight="false" outlineLevel="0" collapsed="false">
      <c r="A826" s="9"/>
      <c r="B826" s="10"/>
      <c r="C826" s="11"/>
      <c r="D826" s="11"/>
      <c r="E826" s="11"/>
      <c r="F826" s="11"/>
      <c r="G826" s="12"/>
      <c r="H826" s="12"/>
      <c r="I826" s="10"/>
      <c r="J826" s="12"/>
      <c r="K826" s="13" t="str">
        <f aca="false">IF(ISNUMBER(B826),YEAR(B826),"")</f>
        <v/>
      </c>
      <c r="L826" s="13" t="str">
        <f aca="false">IF(ISNUMBER(B826),MONTH(B826),"")</f>
        <v/>
      </c>
      <c r="M826" s="13" t="str">
        <f aca="false">IF(AND(ISNUMBER(B826),ISNUMBER(I826)),B826-I826+1,"")</f>
        <v/>
      </c>
      <c r="N826" s="14" t="str">
        <f aca="false">IF(B826="","",IF(M826="","시작일 미입력",IF(M826&lt;1,"시작일 이전(확인)",IF(M826=1,"1일째",IF(M826=2,"2일째",IF(M826=3,"3일째",IF(M826&lt;=7,"일주일 이내",IF(M826&lt;=14,"이주일 이내","15일 이후"))))))))</f>
        <v/>
      </c>
      <c r="O826" s="0" t="str">
        <f aca="false">IF(AND(COUNTA($A826:$J826)&gt;0,OR(클레임조회!$C$4="",AND(ISNUMBER($B826),$B826&gt;=클레임조회!$C$4)),OR(클레임조회!$C$5="",AND(ISNUMBER($B826),$B826&lt;=클레임조회!$C$5)),OR(클레임조회!$C$6="",$C826=클레임조회!$C$6),OR(클레임조회!$C$7="",$D826=클레임조회!$C$7),OR(클레임조회!$C$8="",$E826=클레임조회!$C$8),OR(클레임조회!$C$9="",$F826=클레임조회!$C$9),OR(클레임조회!$C$10="",ISNUMBER(SEARCH(클레임조회!$C$10,$C826&amp;" "&amp;$F826&amp;" "&amp;$G826&amp;" "&amp;$H826)))),COUNT(O$1:O825)+1,"")</f>
        <v/>
      </c>
      <c r="P826" s="0" t="str">
        <f aca="false">IF(AND(TRIM(C826)&lt;&gt;"",COUNTIF(C$2:C826,C826)=1),MAX(P$1:P825)+1,"")</f>
        <v/>
      </c>
      <c r="Q826" s="0" t="str">
        <f aca="false">IF(AND(TRIM(F826)&lt;&gt;"",COUNTIF(F$2:F826,F826)=1),MAX(Q$1:Q825)+1,"")</f>
        <v/>
      </c>
    </row>
    <row r="827" customFormat="false" ht="15" hidden="false" customHeight="false" outlineLevel="0" collapsed="false">
      <c r="A827" s="9"/>
      <c r="B827" s="10"/>
      <c r="C827" s="11"/>
      <c r="D827" s="11"/>
      <c r="E827" s="11"/>
      <c r="F827" s="11"/>
      <c r="G827" s="12"/>
      <c r="H827" s="12"/>
      <c r="I827" s="10"/>
      <c r="J827" s="12"/>
      <c r="K827" s="13" t="str">
        <f aca="false">IF(ISNUMBER(B827),YEAR(B827),"")</f>
        <v/>
      </c>
      <c r="L827" s="13" t="str">
        <f aca="false">IF(ISNUMBER(B827),MONTH(B827),"")</f>
        <v/>
      </c>
      <c r="M827" s="13" t="str">
        <f aca="false">IF(AND(ISNUMBER(B827),ISNUMBER(I827)),B827-I827+1,"")</f>
        <v/>
      </c>
      <c r="N827" s="14" t="str">
        <f aca="false">IF(B827="","",IF(M827="","시작일 미입력",IF(M827&lt;1,"시작일 이전(확인)",IF(M827=1,"1일째",IF(M827=2,"2일째",IF(M827=3,"3일째",IF(M827&lt;=7,"일주일 이내",IF(M827&lt;=14,"이주일 이내","15일 이후"))))))))</f>
        <v/>
      </c>
      <c r="O827" s="0" t="str">
        <f aca="false">IF(AND(COUNTA($A827:$J827)&gt;0,OR(클레임조회!$C$4="",AND(ISNUMBER($B827),$B827&gt;=클레임조회!$C$4)),OR(클레임조회!$C$5="",AND(ISNUMBER($B827),$B827&lt;=클레임조회!$C$5)),OR(클레임조회!$C$6="",$C827=클레임조회!$C$6),OR(클레임조회!$C$7="",$D827=클레임조회!$C$7),OR(클레임조회!$C$8="",$E827=클레임조회!$C$8),OR(클레임조회!$C$9="",$F827=클레임조회!$C$9),OR(클레임조회!$C$10="",ISNUMBER(SEARCH(클레임조회!$C$10,$C827&amp;" "&amp;$F827&amp;" "&amp;$G827&amp;" "&amp;$H827)))),COUNT(O$1:O826)+1,"")</f>
        <v/>
      </c>
      <c r="P827" s="0" t="str">
        <f aca="false">IF(AND(TRIM(C827)&lt;&gt;"",COUNTIF(C$2:C827,C827)=1),MAX(P$1:P826)+1,"")</f>
        <v/>
      </c>
      <c r="Q827" s="0" t="str">
        <f aca="false">IF(AND(TRIM(F827)&lt;&gt;"",COUNTIF(F$2:F827,F827)=1),MAX(Q$1:Q826)+1,"")</f>
        <v/>
      </c>
    </row>
    <row r="828" customFormat="false" ht="15" hidden="false" customHeight="false" outlineLevel="0" collapsed="false">
      <c r="A828" s="9"/>
      <c r="B828" s="10"/>
      <c r="C828" s="11"/>
      <c r="D828" s="11"/>
      <c r="E828" s="11"/>
      <c r="F828" s="11"/>
      <c r="G828" s="12"/>
      <c r="H828" s="12"/>
      <c r="I828" s="10"/>
      <c r="J828" s="12"/>
      <c r="K828" s="13" t="str">
        <f aca="false">IF(ISNUMBER(B828),YEAR(B828),"")</f>
        <v/>
      </c>
      <c r="L828" s="13" t="str">
        <f aca="false">IF(ISNUMBER(B828),MONTH(B828),"")</f>
        <v/>
      </c>
      <c r="M828" s="13" t="str">
        <f aca="false">IF(AND(ISNUMBER(B828),ISNUMBER(I828)),B828-I828+1,"")</f>
        <v/>
      </c>
      <c r="N828" s="14" t="str">
        <f aca="false">IF(B828="","",IF(M828="","시작일 미입력",IF(M828&lt;1,"시작일 이전(확인)",IF(M828=1,"1일째",IF(M828=2,"2일째",IF(M828=3,"3일째",IF(M828&lt;=7,"일주일 이내",IF(M828&lt;=14,"이주일 이내","15일 이후"))))))))</f>
        <v/>
      </c>
      <c r="O828" s="0" t="str">
        <f aca="false">IF(AND(COUNTA($A828:$J828)&gt;0,OR(클레임조회!$C$4="",AND(ISNUMBER($B828),$B828&gt;=클레임조회!$C$4)),OR(클레임조회!$C$5="",AND(ISNUMBER($B828),$B828&lt;=클레임조회!$C$5)),OR(클레임조회!$C$6="",$C828=클레임조회!$C$6),OR(클레임조회!$C$7="",$D828=클레임조회!$C$7),OR(클레임조회!$C$8="",$E828=클레임조회!$C$8),OR(클레임조회!$C$9="",$F828=클레임조회!$C$9),OR(클레임조회!$C$10="",ISNUMBER(SEARCH(클레임조회!$C$10,$C828&amp;" "&amp;$F828&amp;" "&amp;$G828&amp;" "&amp;$H828)))),COUNT(O$1:O827)+1,"")</f>
        <v/>
      </c>
      <c r="P828" s="0" t="str">
        <f aca="false">IF(AND(TRIM(C828)&lt;&gt;"",COUNTIF(C$2:C828,C828)=1),MAX(P$1:P827)+1,"")</f>
        <v/>
      </c>
      <c r="Q828" s="0" t="str">
        <f aca="false">IF(AND(TRIM(F828)&lt;&gt;"",COUNTIF(F$2:F828,F828)=1),MAX(Q$1:Q827)+1,"")</f>
        <v/>
      </c>
    </row>
    <row r="829" customFormat="false" ht="15" hidden="false" customHeight="false" outlineLevel="0" collapsed="false">
      <c r="A829" s="9"/>
      <c r="B829" s="10"/>
      <c r="C829" s="11"/>
      <c r="D829" s="11"/>
      <c r="E829" s="11"/>
      <c r="F829" s="11"/>
      <c r="G829" s="12"/>
      <c r="H829" s="12"/>
      <c r="I829" s="10"/>
      <c r="J829" s="12"/>
      <c r="K829" s="13" t="str">
        <f aca="false">IF(ISNUMBER(B829),YEAR(B829),"")</f>
        <v/>
      </c>
      <c r="L829" s="13" t="str">
        <f aca="false">IF(ISNUMBER(B829),MONTH(B829),"")</f>
        <v/>
      </c>
      <c r="M829" s="13" t="str">
        <f aca="false">IF(AND(ISNUMBER(B829),ISNUMBER(I829)),B829-I829+1,"")</f>
        <v/>
      </c>
      <c r="N829" s="14" t="str">
        <f aca="false">IF(B829="","",IF(M829="","시작일 미입력",IF(M829&lt;1,"시작일 이전(확인)",IF(M829=1,"1일째",IF(M829=2,"2일째",IF(M829=3,"3일째",IF(M829&lt;=7,"일주일 이내",IF(M829&lt;=14,"이주일 이내","15일 이후"))))))))</f>
        <v/>
      </c>
      <c r="O829" s="0" t="str">
        <f aca="false">IF(AND(COUNTA($A829:$J829)&gt;0,OR(클레임조회!$C$4="",AND(ISNUMBER($B829),$B829&gt;=클레임조회!$C$4)),OR(클레임조회!$C$5="",AND(ISNUMBER($B829),$B829&lt;=클레임조회!$C$5)),OR(클레임조회!$C$6="",$C829=클레임조회!$C$6),OR(클레임조회!$C$7="",$D829=클레임조회!$C$7),OR(클레임조회!$C$8="",$E829=클레임조회!$C$8),OR(클레임조회!$C$9="",$F829=클레임조회!$C$9),OR(클레임조회!$C$10="",ISNUMBER(SEARCH(클레임조회!$C$10,$C829&amp;" "&amp;$F829&amp;" "&amp;$G829&amp;" "&amp;$H829)))),COUNT(O$1:O828)+1,"")</f>
        <v/>
      </c>
      <c r="P829" s="0" t="str">
        <f aca="false">IF(AND(TRIM(C829)&lt;&gt;"",COUNTIF(C$2:C829,C829)=1),MAX(P$1:P828)+1,"")</f>
        <v/>
      </c>
      <c r="Q829" s="0" t="str">
        <f aca="false">IF(AND(TRIM(F829)&lt;&gt;"",COUNTIF(F$2:F829,F829)=1),MAX(Q$1:Q828)+1,"")</f>
        <v/>
      </c>
    </row>
    <row r="830" customFormat="false" ht="15" hidden="false" customHeight="false" outlineLevel="0" collapsed="false">
      <c r="A830" s="9"/>
      <c r="B830" s="10"/>
      <c r="C830" s="11"/>
      <c r="D830" s="11"/>
      <c r="E830" s="11"/>
      <c r="F830" s="11"/>
      <c r="G830" s="12"/>
      <c r="H830" s="12"/>
      <c r="I830" s="10"/>
      <c r="J830" s="12"/>
      <c r="K830" s="13" t="str">
        <f aca="false">IF(ISNUMBER(B830),YEAR(B830),"")</f>
        <v/>
      </c>
      <c r="L830" s="13" t="str">
        <f aca="false">IF(ISNUMBER(B830),MONTH(B830),"")</f>
        <v/>
      </c>
      <c r="M830" s="13" t="str">
        <f aca="false">IF(AND(ISNUMBER(B830),ISNUMBER(I830)),B830-I830+1,"")</f>
        <v/>
      </c>
      <c r="N830" s="14" t="str">
        <f aca="false">IF(B830="","",IF(M830="","시작일 미입력",IF(M830&lt;1,"시작일 이전(확인)",IF(M830=1,"1일째",IF(M830=2,"2일째",IF(M830=3,"3일째",IF(M830&lt;=7,"일주일 이내",IF(M830&lt;=14,"이주일 이내","15일 이후"))))))))</f>
        <v/>
      </c>
      <c r="O830" s="0" t="str">
        <f aca="false">IF(AND(COUNTA($A830:$J830)&gt;0,OR(클레임조회!$C$4="",AND(ISNUMBER($B830),$B830&gt;=클레임조회!$C$4)),OR(클레임조회!$C$5="",AND(ISNUMBER($B830),$B830&lt;=클레임조회!$C$5)),OR(클레임조회!$C$6="",$C830=클레임조회!$C$6),OR(클레임조회!$C$7="",$D830=클레임조회!$C$7),OR(클레임조회!$C$8="",$E830=클레임조회!$C$8),OR(클레임조회!$C$9="",$F830=클레임조회!$C$9),OR(클레임조회!$C$10="",ISNUMBER(SEARCH(클레임조회!$C$10,$C830&amp;" "&amp;$F830&amp;" "&amp;$G830&amp;" "&amp;$H830)))),COUNT(O$1:O829)+1,"")</f>
        <v/>
      </c>
      <c r="P830" s="0" t="str">
        <f aca="false">IF(AND(TRIM(C830)&lt;&gt;"",COUNTIF(C$2:C830,C830)=1),MAX(P$1:P829)+1,"")</f>
        <v/>
      </c>
      <c r="Q830" s="0" t="str">
        <f aca="false">IF(AND(TRIM(F830)&lt;&gt;"",COUNTIF(F$2:F830,F830)=1),MAX(Q$1:Q829)+1,"")</f>
        <v/>
      </c>
    </row>
    <row r="831" customFormat="false" ht="15" hidden="false" customHeight="false" outlineLevel="0" collapsed="false">
      <c r="A831" s="9"/>
      <c r="B831" s="10"/>
      <c r="C831" s="11"/>
      <c r="D831" s="11"/>
      <c r="E831" s="11"/>
      <c r="F831" s="11"/>
      <c r="G831" s="12"/>
      <c r="H831" s="12"/>
      <c r="I831" s="10"/>
      <c r="J831" s="12"/>
      <c r="K831" s="13" t="str">
        <f aca="false">IF(ISNUMBER(B831),YEAR(B831),"")</f>
        <v/>
      </c>
      <c r="L831" s="13" t="str">
        <f aca="false">IF(ISNUMBER(B831),MONTH(B831),"")</f>
        <v/>
      </c>
      <c r="M831" s="13" t="str">
        <f aca="false">IF(AND(ISNUMBER(B831),ISNUMBER(I831)),B831-I831+1,"")</f>
        <v/>
      </c>
      <c r="N831" s="14" t="str">
        <f aca="false">IF(B831="","",IF(M831="","시작일 미입력",IF(M831&lt;1,"시작일 이전(확인)",IF(M831=1,"1일째",IF(M831=2,"2일째",IF(M831=3,"3일째",IF(M831&lt;=7,"일주일 이내",IF(M831&lt;=14,"이주일 이내","15일 이후"))))))))</f>
        <v/>
      </c>
      <c r="O831" s="0" t="str">
        <f aca="false">IF(AND(COUNTA($A831:$J831)&gt;0,OR(클레임조회!$C$4="",AND(ISNUMBER($B831),$B831&gt;=클레임조회!$C$4)),OR(클레임조회!$C$5="",AND(ISNUMBER($B831),$B831&lt;=클레임조회!$C$5)),OR(클레임조회!$C$6="",$C831=클레임조회!$C$6),OR(클레임조회!$C$7="",$D831=클레임조회!$C$7),OR(클레임조회!$C$8="",$E831=클레임조회!$C$8),OR(클레임조회!$C$9="",$F831=클레임조회!$C$9),OR(클레임조회!$C$10="",ISNUMBER(SEARCH(클레임조회!$C$10,$C831&amp;" "&amp;$F831&amp;" "&amp;$G831&amp;" "&amp;$H831)))),COUNT(O$1:O830)+1,"")</f>
        <v/>
      </c>
      <c r="P831" s="0" t="str">
        <f aca="false">IF(AND(TRIM(C831)&lt;&gt;"",COUNTIF(C$2:C831,C831)=1),MAX(P$1:P830)+1,"")</f>
        <v/>
      </c>
      <c r="Q831" s="0" t="str">
        <f aca="false">IF(AND(TRIM(F831)&lt;&gt;"",COUNTIF(F$2:F831,F831)=1),MAX(Q$1:Q830)+1,"")</f>
        <v/>
      </c>
    </row>
    <row r="832" customFormat="false" ht="15" hidden="false" customHeight="false" outlineLevel="0" collapsed="false">
      <c r="A832" s="9"/>
      <c r="B832" s="10"/>
      <c r="C832" s="11"/>
      <c r="D832" s="11"/>
      <c r="E832" s="11"/>
      <c r="F832" s="11"/>
      <c r="G832" s="12"/>
      <c r="H832" s="12"/>
      <c r="I832" s="10"/>
      <c r="J832" s="12"/>
      <c r="K832" s="13" t="str">
        <f aca="false">IF(ISNUMBER(B832),YEAR(B832),"")</f>
        <v/>
      </c>
      <c r="L832" s="13" t="str">
        <f aca="false">IF(ISNUMBER(B832),MONTH(B832),"")</f>
        <v/>
      </c>
      <c r="M832" s="13" t="str">
        <f aca="false">IF(AND(ISNUMBER(B832),ISNUMBER(I832)),B832-I832+1,"")</f>
        <v/>
      </c>
      <c r="N832" s="14" t="str">
        <f aca="false">IF(B832="","",IF(M832="","시작일 미입력",IF(M832&lt;1,"시작일 이전(확인)",IF(M832=1,"1일째",IF(M832=2,"2일째",IF(M832=3,"3일째",IF(M832&lt;=7,"일주일 이내",IF(M832&lt;=14,"이주일 이내","15일 이후"))))))))</f>
        <v/>
      </c>
      <c r="O832" s="0" t="str">
        <f aca="false">IF(AND(COUNTA($A832:$J832)&gt;0,OR(클레임조회!$C$4="",AND(ISNUMBER($B832),$B832&gt;=클레임조회!$C$4)),OR(클레임조회!$C$5="",AND(ISNUMBER($B832),$B832&lt;=클레임조회!$C$5)),OR(클레임조회!$C$6="",$C832=클레임조회!$C$6),OR(클레임조회!$C$7="",$D832=클레임조회!$C$7),OR(클레임조회!$C$8="",$E832=클레임조회!$C$8),OR(클레임조회!$C$9="",$F832=클레임조회!$C$9),OR(클레임조회!$C$10="",ISNUMBER(SEARCH(클레임조회!$C$10,$C832&amp;" "&amp;$F832&amp;" "&amp;$G832&amp;" "&amp;$H832)))),COUNT(O$1:O831)+1,"")</f>
        <v/>
      </c>
      <c r="P832" s="0" t="str">
        <f aca="false">IF(AND(TRIM(C832)&lt;&gt;"",COUNTIF(C$2:C832,C832)=1),MAX(P$1:P831)+1,"")</f>
        <v/>
      </c>
      <c r="Q832" s="0" t="str">
        <f aca="false">IF(AND(TRIM(F832)&lt;&gt;"",COUNTIF(F$2:F832,F832)=1),MAX(Q$1:Q831)+1,"")</f>
        <v/>
      </c>
    </row>
    <row r="833" customFormat="false" ht="15" hidden="false" customHeight="false" outlineLevel="0" collapsed="false">
      <c r="A833" s="9"/>
      <c r="B833" s="10"/>
      <c r="C833" s="11"/>
      <c r="D833" s="11"/>
      <c r="E833" s="11"/>
      <c r="F833" s="11"/>
      <c r="G833" s="12"/>
      <c r="H833" s="12"/>
      <c r="I833" s="10"/>
      <c r="J833" s="12"/>
      <c r="K833" s="13" t="str">
        <f aca="false">IF(ISNUMBER(B833),YEAR(B833),"")</f>
        <v/>
      </c>
      <c r="L833" s="13" t="str">
        <f aca="false">IF(ISNUMBER(B833),MONTH(B833),"")</f>
        <v/>
      </c>
      <c r="M833" s="13" t="str">
        <f aca="false">IF(AND(ISNUMBER(B833),ISNUMBER(I833)),B833-I833+1,"")</f>
        <v/>
      </c>
      <c r="N833" s="14" t="str">
        <f aca="false">IF(B833="","",IF(M833="","시작일 미입력",IF(M833&lt;1,"시작일 이전(확인)",IF(M833=1,"1일째",IF(M833=2,"2일째",IF(M833=3,"3일째",IF(M833&lt;=7,"일주일 이내",IF(M833&lt;=14,"이주일 이내","15일 이후"))))))))</f>
        <v/>
      </c>
      <c r="O833" s="0" t="str">
        <f aca="false">IF(AND(COUNTA($A833:$J833)&gt;0,OR(클레임조회!$C$4="",AND(ISNUMBER($B833),$B833&gt;=클레임조회!$C$4)),OR(클레임조회!$C$5="",AND(ISNUMBER($B833),$B833&lt;=클레임조회!$C$5)),OR(클레임조회!$C$6="",$C833=클레임조회!$C$6),OR(클레임조회!$C$7="",$D833=클레임조회!$C$7),OR(클레임조회!$C$8="",$E833=클레임조회!$C$8),OR(클레임조회!$C$9="",$F833=클레임조회!$C$9),OR(클레임조회!$C$10="",ISNUMBER(SEARCH(클레임조회!$C$10,$C833&amp;" "&amp;$F833&amp;" "&amp;$G833&amp;" "&amp;$H833)))),COUNT(O$1:O832)+1,"")</f>
        <v/>
      </c>
      <c r="P833" s="0" t="str">
        <f aca="false">IF(AND(TRIM(C833)&lt;&gt;"",COUNTIF(C$2:C833,C833)=1),MAX(P$1:P832)+1,"")</f>
        <v/>
      </c>
      <c r="Q833" s="0" t="str">
        <f aca="false">IF(AND(TRIM(F833)&lt;&gt;"",COUNTIF(F$2:F833,F833)=1),MAX(Q$1:Q832)+1,"")</f>
        <v/>
      </c>
    </row>
    <row r="834" customFormat="false" ht="15" hidden="false" customHeight="false" outlineLevel="0" collapsed="false">
      <c r="A834" s="9"/>
      <c r="B834" s="10"/>
      <c r="C834" s="11"/>
      <c r="D834" s="11"/>
      <c r="E834" s="11"/>
      <c r="F834" s="11"/>
      <c r="G834" s="12"/>
      <c r="H834" s="12"/>
      <c r="I834" s="10"/>
      <c r="J834" s="12"/>
      <c r="K834" s="13" t="str">
        <f aca="false">IF(ISNUMBER(B834),YEAR(B834),"")</f>
        <v/>
      </c>
      <c r="L834" s="13" t="str">
        <f aca="false">IF(ISNUMBER(B834),MONTH(B834),"")</f>
        <v/>
      </c>
      <c r="M834" s="13" t="str">
        <f aca="false">IF(AND(ISNUMBER(B834),ISNUMBER(I834)),B834-I834+1,"")</f>
        <v/>
      </c>
      <c r="N834" s="14" t="str">
        <f aca="false">IF(B834="","",IF(M834="","시작일 미입력",IF(M834&lt;1,"시작일 이전(확인)",IF(M834=1,"1일째",IF(M834=2,"2일째",IF(M834=3,"3일째",IF(M834&lt;=7,"일주일 이내",IF(M834&lt;=14,"이주일 이내","15일 이후"))))))))</f>
        <v/>
      </c>
      <c r="O834" s="0" t="str">
        <f aca="false">IF(AND(COUNTA($A834:$J834)&gt;0,OR(클레임조회!$C$4="",AND(ISNUMBER($B834),$B834&gt;=클레임조회!$C$4)),OR(클레임조회!$C$5="",AND(ISNUMBER($B834),$B834&lt;=클레임조회!$C$5)),OR(클레임조회!$C$6="",$C834=클레임조회!$C$6),OR(클레임조회!$C$7="",$D834=클레임조회!$C$7),OR(클레임조회!$C$8="",$E834=클레임조회!$C$8),OR(클레임조회!$C$9="",$F834=클레임조회!$C$9),OR(클레임조회!$C$10="",ISNUMBER(SEARCH(클레임조회!$C$10,$C834&amp;" "&amp;$F834&amp;" "&amp;$G834&amp;" "&amp;$H834)))),COUNT(O$1:O833)+1,"")</f>
        <v/>
      </c>
      <c r="P834" s="0" t="str">
        <f aca="false">IF(AND(TRIM(C834)&lt;&gt;"",COUNTIF(C$2:C834,C834)=1),MAX(P$1:P833)+1,"")</f>
        <v/>
      </c>
      <c r="Q834" s="0" t="str">
        <f aca="false">IF(AND(TRIM(F834)&lt;&gt;"",COUNTIF(F$2:F834,F834)=1),MAX(Q$1:Q833)+1,"")</f>
        <v/>
      </c>
    </row>
    <row r="835" customFormat="false" ht="15" hidden="false" customHeight="false" outlineLevel="0" collapsed="false">
      <c r="A835" s="9"/>
      <c r="B835" s="10"/>
      <c r="C835" s="11"/>
      <c r="D835" s="11"/>
      <c r="E835" s="11"/>
      <c r="F835" s="11"/>
      <c r="G835" s="12"/>
      <c r="H835" s="12"/>
      <c r="I835" s="10"/>
      <c r="J835" s="12"/>
      <c r="K835" s="13" t="str">
        <f aca="false">IF(ISNUMBER(B835),YEAR(B835),"")</f>
        <v/>
      </c>
      <c r="L835" s="13" t="str">
        <f aca="false">IF(ISNUMBER(B835),MONTH(B835),"")</f>
        <v/>
      </c>
      <c r="M835" s="13" t="str">
        <f aca="false">IF(AND(ISNUMBER(B835),ISNUMBER(I835)),B835-I835+1,"")</f>
        <v/>
      </c>
      <c r="N835" s="14" t="str">
        <f aca="false">IF(B835="","",IF(M835="","시작일 미입력",IF(M835&lt;1,"시작일 이전(확인)",IF(M835=1,"1일째",IF(M835=2,"2일째",IF(M835=3,"3일째",IF(M835&lt;=7,"일주일 이내",IF(M835&lt;=14,"이주일 이내","15일 이후"))))))))</f>
        <v/>
      </c>
      <c r="O835" s="0" t="str">
        <f aca="false">IF(AND(COUNTA($A835:$J835)&gt;0,OR(클레임조회!$C$4="",AND(ISNUMBER($B835),$B835&gt;=클레임조회!$C$4)),OR(클레임조회!$C$5="",AND(ISNUMBER($B835),$B835&lt;=클레임조회!$C$5)),OR(클레임조회!$C$6="",$C835=클레임조회!$C$6),OR(클레임조회!$C$7="",$D835=클레임조회!$C$7),OR(클레임조회!$C$8="",$E835=클레임조회!$C$8),OR(클레임조회!$C$9="",$F835=클레임조회!$C$9),OR(클레임조회!$C$10="",ISNUMBER(SEARCH(클레임조회!$C$10,$C835&amp;" "&amp;$F835&amp;" "&amp;$G835&amp;" "&amp;$H835)))),COUNT(O$1:O834)+1,"")</f>
        <v/>
      </c>
      <c r="P835" s="0" t="str">
        <f aca="false">IF(AND(TRIM(C835)&lt;&gt;"",COUNTIF(C$2:C835,C835)=1),MAX(P$1:P834)+1,"")</f>
        <v/>
      </c>
      <c r="Q835" s="0" t="str">
        <f aca="false">IF(AND(TRIM(F835)&lt;&gt;"",COUNTIF(F$2:F835,F835)=1),MAX(Q$1:Q834)+1,"")</f>
        <v/>
      </c>
    </row>
    <row r="836" customFormat="false" ht="15" hidden="false" customHeight="false" outlineLevel="0" collapsed="false">
      <c r="A836" s="9"/>
      <c r="B836" s="10"/>
      <c r="C836" s="11"/>
      <c r="D836" s="11"/>
      <c r="E836" s="11"/>
      <c r="F836" s="11"/>
      <c r="G836" s="12"/>
      <c r="H836" s="12"/>
      <c r="I836" s="10"/>
      <c r="J836" s="12"/>
      <c r="K836" s="13" t="str">
        <f aca="false">IF(ISNUMBER(B836),YEAR(B836),"")</f>
        <v/>
      </c>
      <c r="L836" s="13" t="str">
        <f aca="false">IF(ISNUMBER(B836),MONTH(B836),"")</f>
        <v/>
      </c>
      <c r="M836" s="13" t="str">
        <f aca="false">IF(AND(ISNUMBER(B836),ISNUMBER(I836)),B836-I836+1,"")</f>
        <v/>
      </c>
      <c r="N836" s="14" t="str">
        <f aca="false">IF(B836="","",IF(M836="","시작일 미입력",IF(M836&lt;1,"시작일 이전(확인)",IF(M836=1,"1일째",IF(M836=2,"2일째",IF(M836=3,"3일째",IF(M836&lt;=7,"일주일 이내",IF(M836&lt;=14,"이주일 이내","15일 이후"))))))))</f>
        <v/>
      </c>
      <c r="O836" s="0" t="str">
        <f aca="false">IF(AND(COUNTA($A836:$J836)&gt;0,OR(클레임조회!$C$4="",AND(ISNUMBER($B836),$B836&gt;=클레임조회!$C$4)),OR(클레임조회!$C$5="",AND(ISNUMBER($B836),$B836&lt;=클레임조회!$C$5)),OR(클레임조회!$C$6="",$C836=클레임조회!$C$6),OR(클레임조회!$C$7="",$D836=클레임조회!$C$7),OR(클레임조회!$C$8="",$E836=클레임조회!$C$8),OR(클레임조회!$C$9="",$F836=클레임조회!$C$9),OR(클레임조회!$C$10="",ISNUMBER(SEARCH(클레임조회!$C$10,$C836&amp;" "&amp;$F836&amp;" "&amp;$G836&amp;" "&amp;$H836)))),COUNT(O$1:O835)+1,"")</f>
        <v/>
      </c>
      <c r="P836" s="0" t="str">
        <f aca="false">IF(AND(TRIM(C836)&lt;&gt;"",COUNTIF(C$2:C836,C836)=1),MAX(P$1:P835)+1,"")</f>
        <v/>
      </c>
      <c r="Q836" s="0" t="str">
        <f aca="false">IF(AND(TRIM(F836)&lt;&gt;"",COUNTIF(F$2:F836,F836)=1),MAX(Q$1:Q835)+1,"")</f>
        <v/>
      </c>
    </row>
    <row r="837" customFormat="false" ht="15" hidden="false" customHeight="false" outlineLevel="0" collapsed="false">
      <c r="A837" s="9"/>
      <c r="B837" s="10"/>
      <c r="C837" s="11"/>
      <c r="D837" s="11"/>
      <c r="E837" s="11"/>
      <c r="F837" s="11"/>
      <c r="G837" s="12"/>
      <c r="H837" s="12"/>
      <c r="I837" s="10"/>
      <c r="J837" s="12"/>
      <c r="K837" s="13" t="str">
        <f aca="false">IF(ISNUMBER(B837),YEAR(B837),"")</f>
        <v/>
      </c>
      <c r="L837" s="13" t="str">
        <f aca="false">IF(ISNUMBER(B837),MONTH(B837),"")</f>
        <v/>
      </c>
      <c r="M837" s="13" t="str">
        <f aca="false">IF(AND(ISNUMBER(B837),ISNUMBER(I837)),B837-I837+1,"")</f>
        <v/>
      </c>
      <c r="N837" s="14" t="str">
        <f aca="false">IF(B837="","",IF(M837="","시작일 미입력",IF(M837&lt;1,"시작일 이전(확인)",IF(M837=1,"1일째",IF(M837=2,"2일째",IF(M837=3,"3일째",IF(M837&lt;=7,"일주일 이내",IF(M837&lt;=14,"이주일 이내","15일 이후"))))))))</f>
        <v/>
      </c>
      <c r="O837" s="0" t="str">
        <f aca="false">IF(AND(COUNTA($A837:$J837)&gt;0,OR(클레임조회!$C$4="",AND(ISNUMBER($B837),$B837&gt;=클레임조회!$C$4)),OR(클레임조회!$C$5="",AND(ISNUMBER($B837),$B837&lt;=클레임조회!$C$5)),OR(클레임조회!$C$6="",$C837=클레임조회!$C$6),OR(클레임조회!$C$7="",$D837=클레임조회!$C$7),OR(클레임조회!$C$8="",$E837=클레임조회!$C$8),OR(클레임조회!$C$9="",$F837=클레임조회!$C$9),OR(클레임조회!$C$10="",ISNUMBER(SEARCH(클레임조회!$C$10,$C837&amp;" "&amp;$F837&amp;" "&amp;$G837&amp;" "&amp;$H837)))),COUNT(O$1:O836)+1,"")</f>
        <v/>
      </c>
      <c r="P837" s="0" t="str">
        <f aca="false">IF(AND(TRIM(C837)&lt;&gt;"",COUNTIF(C$2:C837,C837)=1),MAX(P$1:P836)+1,"")</f>
        <v/>
      </c>
      <c r="Q837" s="0" t="str">
        <f aca="false">IF(AND(TRIM(F837)&lt;&gt;"",COUNTIF(F$2:F837,F837)=1),MAX(Q$1:Q836)+1,"")</f>
        <v/>
      </c>
    </row>
    <row r="838" customFormat="false" ht="15" hidden="false" customHeight="false" outlineLevel="0" collapsed="false">
      <c r="A838" s="9"/>
      <c r="B838" s="10"/>
      <c r="C838" s="11"/>
      <c r="D838" s="11"/>
      <c r="E838" s="11"/>
      <c r="F838" s="11"/>
      <c r="G838" s="12"/>
      <c r="H838" s="12"/>
      <c r="I838" s="10"/>
      <c r="J838" s="12"/>
      <c r="K838" s="13" t="str">
        <f aca="false">IF(ISNUMBER(B838),YEAR(B838),"")</f>
        <v/>
      </c>
      <c r="L838" s="13" t="str">
        <f aca="false">IF(ISNUMBER(B838),MONTH(B838),"")</f>
        <v/>
      </c>
      <c r="M838" s="13" t="str">
        <f aca="false">IF(AND(ISNUMBER(B838),ISNUMBER(I838)),B838-I838+1,"")</f>
        <v/>
      </c>
      <c r="N838" s="14" t="str">
        <f aca="false">IF(B838="","",IF(M838="","시작일 미입력",IF(M838&lt;1,"시작일 이전(확인)",IF(M838=1,"1일째",IF(M838=2,"2일째",IF(M838=3,"3일째",IF(M838&lt;=7,"일주일 이내",IF(M838&lt;=14,"이주일 이내","15일 이후"))))))))</f>
        <v/>
      </c>
      <c r="O838" s="0" t="str">
        <f aca="false">IF(AND(COUNTA($A838:$J838)&gt;0,OR(클레임조회!$C$4="",AND(ISNUMBER($B838),$B838&gt;=클레임조회!$C$4)),OR(클레임조회!$C$5="",AND(ISNUMBER($B838),$B838&lt;=클레임조회!$C$5)),OR(클레임조회!$C$6="",$C838=클레임조회!$C$6),OR(클레임조회!$C$7="",$D838=클레임조회!$C$7),OR(클레임조회!$C$8="",$E838=클레임조회!$C$8),OR(클레임조회!$C$9="",$F838=클레임조회!$C$9),OR(클레임조회!$C$10="",ISNUMBER(SEARCH(클레임조회!$C$10,$C838&amp;" "&amp;$F838&amp;" "&amp;$G838&amp;" "&amp;$H838)))),COUNT(O$1:O837)+1,"")</f>
        <v/>
      </c>
      <c r="P838" s="0" t="str">
        <f aca="false">IF(AND(TRIM(C838)&lt;&gt;"",COUNTIF(C$2:C838,C838)=1),MAX(P$1:P837)+1,"")</f>
        <v/>
      </c>
      <c r="Q838" s="0" t="str">
        <f aca="false">IF(AND(TRIM(F838)&lt;&gt;"",COUNTIF(F$2:F838,F838)=1),MAX(Q$1:Q837)+1,"")</f>
        <v/>
      </c>
    </row>
    <row r="839" customFormat="false" ht="15" hidden="false" customHeight="false" outlineLevel="0" collapsed="false">
      <c r="A839" s="9"/>
      <c r="B839" s="10"/>
      <c r="C839" s="11"/>
      <c r="D839" s="11"/>
      <c r="E839" s="11"/>
      <c r="F839" s="11"/>
      <c r="G839" s="12"/>
      <c r="H839" s="12"/>
      <c r="I839" s="10"/>
      <c r="J839" s="12"/>
      <c r="K839" s="13" t="str">
        <f aca="false">IF(ISNUMBER(B839),YEAR(B839),"")</f>
        <v/>
      </c>
      <c r="L839" s="13" t="str">
        <f aca="false">IF(ISNUMBER(B839),MONTH(B839),"")</f>
        <v/>
      </c>
      <c r="M839" s="13" t="str">
        <f aca="false">IF(AND(ISNUMBER(B839),ISNUMBER(I839)),B839-I839+1,"")</f>
        <v/>
      </c>
      <c r="N839" s="14" t="str">
        <f aca="false">IF(B839="","",IF(M839="","시작일 미입력",IF(M839&lt;1,"시작일 이전(확인)",IF(M839=1,"1일째",IF(M839=2,"2일째",IF(M839=3,"3일째",IF(M839&lt;=7,"일주일 이내",IF(M839&lt;=14,"이주일 이내","15일 이후"))))))))</f>
        <v/>
      </c>
      <c r="O839" s="0" t="str">
        <f aca="false">IF(AND(COUNTA($A839:$J839)&gt;0,OR(클레임조회!$C$4="",AND(ISNUMBER($B839),$B839&gt;=클레임조회!$C$4)),OR(클레임조회!$C$5="",AND(ISNUMBER($B839),$B839&lt;=클레임조회!$C$5)),OR(클레임조회!$C$6="",$C839=클레임조회!$C$6),OR(클레임조회!$C$7="",$D839=클레임조회!$C$7),OR(클레임조회!$C$8="",$E839=클레임조회!$C$8),OR(클레임조회!$C$9="",$F839=클레임조회!$C$9),OR(클레임조회!$C$10="",ISNUMBER(SEARCH(클레임조회!$C$10,$C839&amp;" "&amp;$F839&amp;" "&amp;$G839&amp;" "&amp;$H839)))),COUNT(O$1:O838)+1,"")</f>
        <v/>
      </c>
      <c r="P839" s="0" t="str">
        <f aca="false">IF(AND(TRIM(C839)&lt;&gt;"",COUNTIF(C$2:C839,C839)=1),MAX(P$1:P838)+1,"")</f>
        <v/>
      </c>
      <c r="Q839" s="0" t="str">
        <f aca="false">IF(AND(TRIM(F839)&lt;&gt;"",COUNTIF(F$2:F839,F839)=1),MAX(Q$1:Q838)+1,"")</f>
        <v/>
      </c>
    </row>
    <row r="840" customFormat="false" ht="15" hidden="false" customHeight="false" outlineLevel="0" collapsed="false">
      <c r="A840" s="9"/>
      <c r="B840" s="10"/>
      <c r="C840" s="11"/>
      <c r="D840" s="11"/>
      <c r="E840" s="11"/>
      <c r="F840" s="11"/>
      <c r="G840" s="12"/>
      <c r="H840" s="12"/>
      <c r="I840" s="10"/>
      <c r="J840" s="12"/>
      <c r="K840" s="13" t="str">
        <f aca="false">IF(ISNUMBER(B840),YEAR(B840),"")</f>
        <v/>
      </c>
      <c r="L840" s="13" t="str">
        <f aca="false">IF(ISNUMBER(B840),MONTH(B840),"")</f>
        <v/>
      </c>
      <c r="M840" s="13" t="str">
        <f aca="false">IF(AND(ISNUMBER(B840),ISNUMBER(I840)),B840-I840+1,"")</f>
        <v/>
      </c>
      <c r="N840" s="14" t="str">
        <f aca="false">IF(B840="","",IF(M840="","시작일 미입력",IF(M840&lt;1,"시작일 이전(확인)",IF(M840=1,"1일째",IF(M840=2,"2일째",IF(M840=3,"3일째",IF(M840&lt;=7,"일주일 이내",IF(M840&lt;=14,"이주일 이내","15일 이후"))))))))</f>
        <v/>
      </c>
      <c r="O840" s="0" t="str">
        <f aca="false">IF(AND(COUNTA($A840:$J840)&gt;0,OR(클레임조회!$C$4="",AND(ISNUMBER($B840),$B840&gt;=클레임조회!$C$4)),OR(클레임조회!$C$5="",AND(ISNUMBER($B840),$B840&lt;=클레임조회!$C$5)),OR(클레임조회!$C$6="",$C840=클레임조회!$C$6),OR(클레임조회!$C$7="",$D840=클레임조회!$C$7),OR(클레임조회!$C$8="",$E840=클레임조회!$C$8),OR(클레임조회!$C$9="",$F840=클레임조회!$C$9),OR(클레임조회!$C$10="",ISNUMBER(SEARCH(클레임조회!$C$10,$C840&amp;" "&amp;$F840&amp;" "&amp;$G840&amp;" "&amp;$H840)))),COUNT(O$1:O839)+1,"")</f>
        <v/>
      </c>
      <c r="P840" s="0" t="str">
        <f aca="false">IF(AND(TRIM(C840)&lt;&gt;"",COUNTIF(C$2:C840,C840)=1),MAX(P$1:P839)+1,"")</f>
        <v/>
      </c>
      <c r="Q840" s="0" t="str">
        <f aca="false">IF(AND(TRIM(F840)&lt;&gt;"",COUNTIF(F$2:F840,F840)=1),MAX(Q$1:Q839)+1,"")</f>
        <v/>
      </c>
    </row>
    <row r="841" customFormat="false" ht="15" hidden="false" customHeight="false" outlineLevel="0" collapsed="false">
      <c r="A841" s="9"/>
      <c r="B841" s="10"/>
      <c r="C841" s="11"/>
      <c r="D841" s="11"/>
      <c r="E841" s="11"/>
      <c r="F841" s="11"/>
      <c r="G841" s="12"/>
      <c r="H841" s="12"/>
      <c r="I841" s="10"/>
      <c r="J841" s="12"/>
      <c r="K841" s="13" t="str">
        <f aca="false">IF(ISNUMBER(B841),YEAR(B841),"")</f>
        <v/>
      </c>
      <c r="L841" s="13" t="str">
        <f aca="false">IF(ISNUMBER(B841),MONTH(B841),"")</f>
        <v/>
      </c>
      <c r="M841" s="13" t="str">
        <f aca="false">IF(AND(ISNUMBER(B841),ISNUMBER(I841)),B841-I841+1,"")</f>
        <v/>
      </c>
      <c r="N841" s="14" t="str">
        <f aca="false">IF(B841="","",IF(M841="","시작일 미입력",IF(M841&lt;1,"시작일 이전(확인)",IF(M841=1,"1일째",IF(M841=2,"2일째",IF(M841=3,"3일째",IF(M841&lt;=7,"일주일 이내",IF(M841&lt;=14,"이주일 이내","15일 이후"))))))))</f>
        <v/>
      </c>
      <c r="O841" s="0" t="str">
        <f aca="false">IF(AND(COUNTA($A841:$J841)&gt;0,OR(클레임조회!$C$4="",AND(ISNUMBER($B841),$B841&gt;=클레임조회!$C$4)),OR(클레임조회!$C$5="",AND(ISNUMBER($B841),$B841&lt;=클레임조회!$C$5)),OR(클레임조회!$C$6="",$C841=클레임조회!$C$6),OR(클레임조회!$C$7="",$D841=클레임조회!$C$7),OR(클레임조회!$C$8="",$E841=클레임조회!$C$8),OR(클레임조회!$C$9="",$F841=클레임조회!$C$9),OR(클레임조회!$C$10="",ISNUMBER(SEARCH(클레임조회!$C$10,$C841&amp;" "&amp;$F841&amp;" "&amp;$G841&amp;" "&amp;$H841)))),COUNT(O$1:O840)+1,"")</f>
        <v/>
      </c>
      <c r="P841" s="0" t="str">
        <f aca="false">IF(AND(TRIM(C841)&lt;&gt;"",COUNTIF(C$2:C841,C841)=1),MAX(P$1:P840)+1,"")</f>
        <v/>
      </c>
      <c r="Q841" s="0" t="str">
        <f aca="false">IF(AND(TRIM(F841)&lt;&gt;"",COUNTIF(F$2:F841,F841)=1),MAX(Q$1:Q840)+1,"")</f>
        <v/>
      </c>
    </row>
    <row r="842" customFormat="false" ht="15" hidden="false" customHeight="false" outlineLevel="0" collapsed="false">
      <c r="A842" s="9"/>
      <c r="B842" s="10"/>
      <c r="C842" s="11"/>
      <c r="D842" s="11"/>
      <c r="E842" s="11"/>
      <c r="F842" s="11"/>
      <c r="G842" s="12"/>
      <c r="H842" s="12"/>
      <c r="I842" s="10"/>
      <c r="J842" s="12"/>
      <c r="K842" s="13" t="str">
        <f aca="false">IF(ISNUMBER(B842),YEAR(B842),"")</f>
        <v/>
      </c>
      <c r="L842" s="13" t="str">
        <f aca="false">IF(ISNUMBER(B842),MONTH(B842),"")</f>
        <v/>
      </c>
      <c r="M842" s="13" t="str">
        <f aca="false">IF(AND(ISNUMBER(B842),ISNUMBER(I842)),B842-I842+1,"")</f>
        <v/>
      </c>
      <c r="N842" s="14" t="str">
        <f aca="false">IF(B842="","",IF(M842="","시작일 미입력",IF(M842&lt;1,"시작일 이전(확인)",IF(M842=1,"1일째",IF(M842=2,"2일째",IF(M842=3,"3일째",IF(M842&lt;=7,"일주일 이내",IF(M842&lt;=14,"이주일 이내","15일 이후"))))))))</f>
        <v/>
      </c>
      <c r="O842" s="0" t="str">
        <f aca="false">IF(AND(COUNTA($A842:$J842)&gt;0,OR(클레임조회!$C$4="",AND(ISNUMBER($B842),$B842&gt;=클레임조회!$C$4)),OR(클레임조회!$C$5="",AND(ISNUMBER($B842),$B842&lt;=클레임조회!$C$5)),OR(클레임조회!$C$6="",$C842=클레임조회!$C$6),OR(클레임조회!$C$7="",$D842=클레임조회!$C$7),OR(클레임조회!$C$8="",$E842=클레임조회!$C$8),OR(클레임조회!$C$9="",$F842=클레임조회!$C$9),OR(클레임조회!$C$10="",ISNUMBER(SEARCH(클레임조회!$C$10,$C842&amp;" "&amp;$F842&amp;" "&amp;$G842&amp;" "&amp;$H842)))),COUNT(O$1:O841)+1,"")</f>
        <v/>
      </c>
      <c r="P842" s="0" t="str">
        <f aca="false">IF(AND(TRIM(C842)&lt;&gt;"",COUNTIF(C$2:C842,C842)=1),MAX(P$1:P841)+1,"")</f>
        <v/>
      </c>
      <c r="Q842" s="0" t="str">
        <f aca="false">IF(AND(TRIM(F842)&lt;&gt;"",COUNTIF(F$2:F842,F842)=1),MAX(Q$1:Q841)+1,"")</f>
        <v/>
      </c>
    </row>
    <row r="843" customFormat="false" ht="15" hidden="false" customHeight="false" outlineLevel="0" collapsed="false">
      <c r="A843" s="9"/>
      <c r="B843" s="10"/>
      <c r="C843" s="11"/>
      <c r="D843" s="11"/>
      <c r="E843" s="11"/>
      <c r="F843" s="11"/>
      <c r="G843" s="12"/>
      <c r="H843" s="12"/>
      <c r="I843" s="10"/>
      <c r="J843" s="12"/>
      <c r="K843" s="13" t="str">
        <f aca="false">IF(ISNUMBER(B843),YEAR(B843),"")</f>
        <v/>
      </c>
      <c r="L843" s="13" t="str">
        <f aca="false">IF(ISNUMBER(B843),MONTH(B843),"")</f>
        <v/>
      </c>
      <c r="M843" s="13" t="str">
        <f aca="false">IF(AND(ISNUMBER(B843),ISNUMBER(I843)),B843-I843+1,"")</f>
        <v/>
      </c>
      <c r="N843" s="14" t="str">
        <f aca="false">IF(B843="","",IF(M843="","시작일 미입력",IF(M843&lt;1,"시작일 이전(확인)",IF(M843=1,"1일째",IF(M843=2,"2일째",IF(M843=3,"3일째",IF(M843&lt;=7,"일주일 이내",IF(M843&lt;=14,"이주일 이내","15일 이후"))))))))</f>
        <v/>
      </c>
      <c r="O843" s="0" t="str">
        <f aca="false">IF(AND(COUNTA($A843:$J843)&gt;0,OR(클레임조회!$C$4="",AND(ISNUMBER($B843),$B843&gt;=클레임조회!$C$4)),OR(클레임조회!$C$5="",AND(ISNUMBER($B843),$B843&lt;=클레임조회!$C$5)),OR(클레임조회!$C$6="",$C843=클레임조회!$C$6),OR(클레임조회!$C$7="",$D843=클레임조회!$C$7),OR(클레임조회!$C$8="",$E843=클레임조회!$C$8),OR(클레임조회!$C$9="",$F843=클레임조회!$C$9),OR(클레임조회!$C$10="",ISNUMBER(SEARCH(클레임조회!$C$10,$C843&amp;" "&amp;$F843&amp;" "&amp;$G843&amp;" "&amp;$H843)))),COUNT(O$1:O842)+1,"")</f>
        <v/>
      </c>
      <c r="P843" s="0" t="str">
        <f aca="false">IF(AND(TRIM(C843)&lt;&gt;"",COUNTIF(C$2:C843,C843)=1),MAX(P$1:P842)+1,"")</f>
        <v/>
      </c>
      <c r="Q843" s="0" t="str">
        <f aca="false">IF(AND(TRIM(F843)&lt;&gt;"",COUNTIF(F$2:F843,F843)=1),MAX(Q$1:Q842)+1,"")</f>
        <v/>
      </c>
    </row>
    <row r="844" customFormat="false" ht="15" hidden="false" customHeight="false" outlineLevel="0" collapsed="false">
      <c r="A844" s="9"/>
      <c r="B844" s="10"/>
      <c r="C844" s="11"/>
      <c r="D844" s="11"/>
      <c r="E844" s="11"/>
      <c r="F844" s="11"/>
      <c r="G844" s="12"/>
      <c r="H844" s="12"/>
      <c r="I844" s="10"/>
      <c r="J844" s="12"/>
      <c r="K844" s="13" t="str">
        <f aca="false">IF(ISNUMBER(B844),YEAR(B844),"")</f>
        <v/>
      </c>
      <c r="L844" s="13" t="str">
        <f aca="false">IF(ISNUMBER(B844),MONTH(B844),"")</f>
        <v/>
      </c>
      <c r="M844" s="13" t="str">
        <f aca="false">IF(AND(ISNUMBER(B844),ISNUMBER(I844)),B844-I844+1,"")</f>
        <v/>
      </c>
      <c r="N844" s="14" t="str">
        <f aca="false">IF(B844="","",IF(M844="","시작일 미입력",IF(M844&lt;1,"시작일 이전(확인)",IF(M844=1,"1일째",IF(M844=2,"2일째",IF(M844=3,"3일째",IF(M844&lt;=7,"일주일 이내",IF(M844&lt;=14,"이주일 이내","15일 이후"))))))))</f>
        <v/>
      </c>
      <c r="O844" s="0" t="str">
        <f aca="false">IF(AND(COUNTA($A844:$J844)&gt;0,OR(클레임조회!$C$4="",AND(ISNUMBER($B844),$B844&gt;=클레임조회!$C$4)),OR(클레임조회!$C$5="",AND(ISNUMBER($B844),$B844&lt;=클레임조회!$C$5)),OR(클레임조회!$C$6="",$C844=클레임조회!$C$6),OR(클레임조회!$C$7="",$D844=클레임조회!$C$7),OR(클레임조회!$C$8="",$E844=클레임조회!$C$8),OR(클레임조회!$C$9="",$F844=클레임조회!$C$9),OR(클레임조회!$C$10="",ISNUMBER(SEARCH(클레임조회!$C$10,$C844&amp;" "&amp;$F844&amp;" "&amp;$G844&amp;" "&amp;$H844)))),COUNT(O$1:O843)+1,"")</f>
        <v/>
      </c>
      <c r="P844" s="0" t="str">
        <f aca="false">IF(AND(TRIM(C844)&lt;&gt;"",COUNTIF(C$2:C844,C844)=1),MAX(P$1:P843)+1,"")</f>
        <v/>
      </c>
      <c r="Q844" s="0" t="str">
        <f aca="false">IF(AND(TRIM(F844)&lt;&gt;"",COUNTIF(F$2:F844,F844)=1),MAX(Q$1:Q843)+1,"")</f>
        <v/>
      </c>
    </row>
    <row r="845" customFormat="false" ht="15" hidden="false" customHeight="false" outlineLevel="0" collapsed="false">
      <c r="A845" s="9"/>
      <c r="B845" s="10"/>
      <c r="C845" s="11"/>
      <c r="D845" s="11"/>
      <c r="E845" s="11"/>
      <c r="F845" s="11"/>
      <c r="G845" s="12"/>
      <c r="H845" s="12"/>
      <c r="I845" s="10"/>
      <c r="J845" s="12"/>
      <c r="K845" s="13" t="str">
        <f aca="false">IF(ISNUMBER(B845),YEAR(B845),"")</f>
        <v/>
      </c>
      <c r="L845" s="13" t="str">
        <f aca="false">IF(ISNUMBER(B845),MONTH(B845),"")</f>
        <v/>
      </c>
      <c r="M845" s="13" t="str">
        <f aca="false">IF(AND(ISNUMBER(B845),ISNUMBER(I845)),B845-I845+1,"")</f>
        <v/>
      </c>
      <c r="N845" s="14" t="str">
        <f aca="false">IF(B845="","",IF(M845="","시작일 미입력",IF(M845&lt;1,"시작일 이전(확인)",IF(M845=1,"1일째",IF(M845=2,"2일째",IF(M845=3,"3일째",IF(M845&lt;=7,"일주일 이내",IF(M845&lt;=14,"이주일 이내","15일 이후"))))))))</f>
        <v/>
      </c>
      <c r="O845" s="0" t="str">
        <f aca="false">IF(AND(COUNTA($A845:$J845)&gt;0,OR(클레임조회!$C$4="",AND(ISNUMBER($B845),$B845&gt;=클레임조회!$C$4)),OR(클레임조회!$C$5="",AND(ISNUMBER($B845),$B845&lt;=클레임조회!$C$5)),OR(클레임조회!$C$6="",$C845=클레임조회!$C$6),OR(클레임조회!$C$7="",$D845=클레임조회!$C$7),OR(클레임조회!$C$8="",$E845=클레임조회!$C$8),OR(클레임조회!$C$9="",$F845=클레임조회!$C$9),OR(클레임조회!$C$10="",ISNUMBER(SEARCH(클레임조회!$C$10,$C845&amp;" "&amp;$F845&amp;" "&amp;$G845&amp;" "&amp;$H845)))),COUNT(O$1:O844)+1,"")</f>
        <v/>
      </c>
      <c r="P845" s="0" t="str">
        <f aca="false">IF(AND(TRIM(C845)&lt;&gt;"",COUNTIF(C$2:C845,C845)=1),MAX(P$1:P844)+1,"")</f>
        <v/>
      </c>
      <c r="Q845" s="0" t="str">
        <f aca="false">IF(AND(TRIM(F845)&lt;&gt;"",COUNTIF(F$2:F845,F845)=1),MAX(Q$1:Q844)+1,"")</f>
        <v/>
      </c>
    </row>
    <row r="846" customFormat="false" ht="15" hidden="false" customHeight="false" outlineLevel="0" collapsed="false">
      <c r="A846" s="9"/>
      <c r="B846" s="10"/>
      <c r="C846" s="11"/>
      <c r="D846" s="11"/>
      <c r="E846" s="11"/>
      <c r="F846" s="11"/>
      <c r="G846" s="12"/>
      <c r="H846" s="12"/>
      <c r="I846" s="10"/>
      <c r="J846" s="12"/>
      <c r="K846" s="13" t="str">
        <f aca="false">IF(ISNUMBER(B846),YEAR(B846),"")</f>
        <v/>
      </c>
      <c r="L846" s="13" t="str">
        <f aca="false">IF(ISNUMBER(B846),MONTH(B846),"")</f>
        <v/>
      </c>
      <c r="M846" s="13" t="str">
        <f aca="false">IF(AND(ISNUMBER(B846),ISNUMBER(I846)),B846-I846+1,"")</f>
        <v/>
      </c>
      <c r="N846" s="14" t="str">
        <f aca="false">IF(B846="","",IF(M846="","시작일 미입력",IF(M846&lt;1,"시작일 이전(확인)",IF(M846=1,"1일째",IF(M846=2,"2일째",IF(M846=3,"3일째",IF(M846&lt;=7,"일주일 이내",IF(M846&lt;=14,"이주일 이내","15일 이후"))))))))</f>
        <v/>
      </c>
      <c r="O846" s="0" t="str">
        <f aca="false">IF(AND(COUNTA($A846:$J846)&gt;0,OR(클레임조회!$C$4="",AND(ISNUMBER($B846),$B846&gt;=클레임조회!$C$4)),OR(클레임조회!$C$5="",AND(ISNUMBER($B846),$B846&lt;=클레임조회!$C$5)),OR(클레임조회!$C$6="",$C846=클레임조회!$C$6),OR(클레임조회!$C$7="",$D846=클레임조회!$C$7),OR(클레임조회!$C$8="",$E846=클레임조회!$C$8),OR(클레임조회!$C$9="",$F846=클레임조회!$C$9),OR(클레임조회!$C$10="",ISNUMBER(SEARCH(클레임조회!$C$10,$C846&amp;" "&amp;$F846&amp;" "&amp;$G846&amp;" "&amp;$H846)))),COUNT(O$1:O845)+1,"")</f>
        <v/>
      </c>
      <c r="P846" s="0" t="str">
        <f aca="false">IF(AND(TRIM(C846)&lt;&gt;"",COUNTIF(C$2:C846,C846)=1),MAX(P$1:P845)+1,"")</f>
        <v/>
      </c>
      <c r="Q846" s="0" t="str">
        <f aca="false">IF(AND(TRIM(F846)&lt;&gt;"",COUNTIF(F$2:F846,F846)=1),MAX(Q$1:Q845)+1,"")</f>
        <v/>
      </c>
    </row>
    <row r="847" customFormat="false" ht="15" hidden="false" customHeight="false" outlineLevel="0" collapsed="false">
      <c r="A847" s="9"/>
      <c r="B847" s="10"/>
      <c r="C847" s="11"/>
      <c r="D847" s="11"/>
      <c r="E847" s="11"/>
      <c r="F847" s="11"/>
      <c r="G847" s="12"/>
      <c r="H847" s="12"/>
      <c r="I847" s="10"/>
      <c r="J847" s="12"/>
      <c r="K847" s="13" t="str">
        <f aca="false">IF(ISNUMBER(B847),YEAR(B847),"")</f>
        <v/>
      </c>
      <c r="L847" s="13" t="str">
        <f aca="false">IF(ISNUMBER(B847),MONTH(B847),"")</f>
        <v/>
      </c>
      <c r="M847" s="13" t="str">
        <f aca="false">IF(AND(ISNUMBER(B847),ISNUMBER(I847)),B847-I847+1,"")</f>
        <v/>
      </c>
      <c r="N847" s="14" t="str">
        <f aca="false">IF(B847="","",IF(M847="","시작일 미입력",IF(M847&lt;1,"시작일 이전(확인)",IF(M847=1,"1일째",IF(M847=2,"2일째",IF(M847=3,"3일째",IF(M847&lt;=7,"일주일 이내",IF(M847&lt;=14,"이주일 이내","15일 이후"))))))))</f>
        <v/>
      </c>
      <c r="O847" s="0" t="str">
        <f aca="false">IF(AND(COUNTA($A847:$J847)&gt;0,OR(클레임조회!$C$4="",AND(ISNUMBER($B847),$B847&gt;=클레임조회!$C$4)),OR(클레임조회!$C$5="",AND(ISNUMBER($B847),$B847&lt;=클레임조회!$C$5)),OR(클레임조회!$C$6="",$C847=클레임조회!$C$6),OR(클레임조회!$C$7="",$D847=클레임조회!$C$7),OR(클레임조회!$C$8="",$E847=클레임조회!$C$8),OR(클레임조회!$C$9="",$F847=클레임조회!$C$9),OR(클레임조회!$C$10="",ISNUMBER(SEARCH(클레임조회!$C$10,$C847&amp;" "&amp;$F847&amp;" "&amp;$G847&amp;" "&amp;$H847)))),COUNT(O$1:O846)+1,"")</f>
        <v/>
      </c>
      <c r="P847" s="0" t="str">
        <f aca="false">IF(AND(TRIM(C847)&lt;&gt;"",COUNTIF(C$2:C847,C847)=1),MAX(P$1:P846)+1,"")</f>
        <v/>
      </c>
      <c r="Q847" s="0" t="str">
        <f aca="false">IF(AND(TRIM(F847)&lt;&gt;"",COUNTIF(F$2:F847,F847)=1),MAX(Q$1:Q846)+1,"")</f>
        <v/>
      </c>
    </row>
    <row r="848" customFormat="false" ht="15" hidden="false" customHeight="false" outlineLevel="0" collapsed="false">
      <c r="A848" s="9"/>
      <c r="B848" s="10"/>
      <c r="C848" s="11"/>
      <c r="D848" s="11"/>
      <c r="E848" s="11"/>
      <c r="F848" s="11"/>
      <c r="G848" s="12"/>
      <c r="H848" s="12"/>
      <c r="I848" s="10"/>
      <c r="J848" s="12"/>
      <c r="K848" s="13" t="str">
        <f aca="false">IF(ISNUMBER(B848),YEAR(B848),"")</f>
        <v/>
      </c>
      <c r="L848" s="13" t="str">
        <f aca="false">IF(ISNUMBER(B848),MONTH(B848),"")</f>
        <v/>
      </c>
      <c r="M848" s="13" t="str">
        <f aca="false">IF(AND(ISNUMBER(B848),ISNUMBER(I848)),B848-I848+1,"")</f>
        <v/>
      </c>
      <c r="N848" s="14" t="str">
        <f aca="false">IF(B848="","",IF(M848="","시작일 미입력",IF(M848&lt;1,"시작일 이전(확인)",IF(M848=1,"1일째",IF(M848=2,"2일째",IF(M848=3,"3일째",IF(M848&lt;=7,"일주일 이내",IF(M848&lt;=14,"이주일 이내","15일 이후"))))))))</f>
        <v/>
      </c>
      <c r="O848" s="0" t="str">
        <f aca="false">IF(AND(COUNTA($A848:$J848)&gt;0,OR(클레임조회!$C$4="",AND(ISNUMBER($B848),$B848&gt;=클레임조회!$C$4)),OR(클레임조회!$C$5="",AND(ISNUMBER($B848),$B848&lt;=클레임조회!$C$5)),OR(클레임조회!$C$6="",$C848=클레임조회!$C$6),OR(클레임조회!$C$7="",$D848=클레임조회!$C$7),OR(클레임조회!$C$8="",$E848=클레임조회!$C$8),OR(클레임조회!$C$9="",$F848=클레임조회!$C$9),OR(클레임조회!$C$10="",ISNUMBER(SEARCH(클레임조회!$C$10,$C848&amp;" "&amp;$F848&amp;" "&amp;$G848&amp;" "&amp;$H848)))),COUNT(O$1:O847)+1,"")</f>
        <v/>
      </c>
      <c r="P848" s="0" t="str">
        <f aca="false">IF(AND(TRIM(C848)&lt;&gt;"",COUNTIF(C$2:C848,C848)=1),MAX(P$1:P847)+1,"")</f>
        <v/>
      </c>
      <c r="Q848" s="0" t="str">
        <f aca="false">IF(AND(TRIM(F848)&lt;&gt;"",COUNTIF(F$2:F848,F848)=1),MAX(Q$1:Q847)+1,"")</f>
        <v/>
      </c>
    </row>
    <row r="849" customFormat="false" ht="15" hidden="false" customHeight="false" outlineLevel="0" collapsed="false">
      <c r="A849" s="9"/>
      <c r="B849" s="10"/>
      <c r="C849" s="11"/>
      <c r="D849" s="11"/>
      <c r="E849" s="11"/>
      <c r="F849" s="11"/>
      <c r="G849" s="12"/>
      <c r="H849" s="12"/>
      <c r="I849" s="10"/>
      <c r="J849" s="12"/>
      <c r="K849" s="13" t="str">
        <f aca="false">IF(ISNUMBER(B849),YEAR(B849),"")</f>
        <v/>
      </c>
      <c r="L849" s="13" t="str">
        <f aca="false">IF(ISNUMBER(B849),MONTH(B849),"")</f>
        <v/>
      </c>
      <c r="M849" s="13" t="str">
        <f aca="false">IF(AND(ISNUMBER(B849),ISNUMBER(I849)),B849-I849+1,"")</f>
        <v/>
      </c>
      <c r="N849" s="14" t="str">
        <f aca="false">IF(B849="","",IF(M849="","시작일 미입력",IF(M849&lt;1,"시작일 이전(확인)",IF(M849=1,"1일째",IF(M849=2,"2일째",IF(M849=3,"3일째",IF(M849&lt;=7,"일주일 이내",IF(M849&lt;=14,"이주일 이내","15일 이후"))))))))</f>
        <v/>
      </c>
      <c r="O849" s="0" t="str">
        <f aca="false">IF(AND(COUNTA($A849:$J849)&gt;0,OR(클레임조회!$C$4="",AND(ISNUMBER($B849),$B849&gt;=클레임조회!$C$4)),OR(클레임조회!$C$5="",AND(ISNUMBER($B849),$B849&lt;=클레임조회!$C$5)),OR(클레임조회!$C$6="",$C849=클레임조회!$C$6),OR(클레임조회!$C$7="",$D849=클레임조회!$C$7),OR(클레임조회!$C$8="",$E849=클레임조회!$C$8),OR(클레임조회!$C$9="",$F849=클레임조회!$C$9),OR(클레임조회!$C$10="",ISNUMBER(SEARCH(클레임조회!$C$10,$C849&amp;" "&amp;$F849&amp;" "&amp;$G849&amp;" "&amp;$H849)))),COUNT(O$1:O848)+1,"")</f>
        <v/>
      </c>
      <c r="P849" s="0" t="str">
        <f aca="false">IF(AND(TRIM(C849)&lt;&gt;"",COUNTIF(C$2:C849,C849)=1),MAX(P$1:P848)+1,"")</f>
        <v/>
      </c>
      <c r="Q849" s="0" t="str">
        <f aca="false">IF(AND(TRIM(F849)&lt;&gt;"",COUNTIF(F$2:F849,F849)=1),MAX(Q$1:Q848)+1,"")</f>
        <v/>
      </c>
    </row>
    <row r="850" customFormat="false" ht="15" hidden="false" customHeight="false" outlineLevel="0" collapsed="false">
      <c r="A850" s="9"/>
      <c r="B850" s="10"/>
      <c r="C850" s="11"/>
      <c r="D850" s="11"/>
      <c r="E850" s="11"/>
      <c r="F850" s="11"/>
      <c r="G850" s="12"/>
      <c r="H850" s="12"/>
      <c r="I850" s="10"/>
      <c r="J850" s="12"/>
      <c r="K850" s="13" t="str">
        <f aca="false">IF(ISNUMBER(B850),YEAR(B850),"")</f>
        <v/>
      </c>
      <c r="L850" s="13" t="str">
        <f aca="false">IF(ISNUMBER(B850),MONTH(B850),"")</f>
        <v/>
      </c>
      <c r="M850" s="13" t="str">
        <f aca="false">IF(AND(ISNUMBER(B850),ISNUMBER(I850)),B850-I850+1,"")</f>
        <v/>
      </c>
      <c r="N850" s="14" t="str">
        <f aca="false">IF(B850="","",IF(M850="","시작일 미입력",IF(M850&lt;1,"시작일 이전(확인)",IF(M850=1,"1일째",IF(M850=2,"2일째",IF(M850=3,"3일째",IF(M850&lt;=7,"일주일 이내",IF(M850&lt;=14,"이주일 이내","15일 이후"))))))))</f>
        <v/>
      </c>
      <c r="O850" s="0" t="str">
        <f aca="false">IF(AND(COUNTA($A850:$J850)&gt;0,OR(클레임조회!$C$4="",AND(ISNUMBER($B850),$B850&gt;=클레임조회!$C$4)),OR(클레임조회!$C$5="",AND(ISNUMBER($B850),$B850&lt;=클레임조회!$C$5)),OR(클레임조회!$C$6="",$C850=클레임조회!$C$6),OR(클레임조회!$C$7="",$D850=클레임조회!$C$7),OR(클레임조회!$C$8="",$E850=클레임조회!$C$8),OR(클레임조회!$C$9="",$F850=클레임조회!$C$9),OR(클레임조회!$C$10="",ISNUMBER(SEARCH(클레임조회!$C$10,$C850&amp;" "&amp;$F850&amp;" "&amp;$G850&amp;" "&amp;$H850)))),COUNT(O$1:O849)+1,"")</f>
        <v/>
      </c>
      <c r="P850" s="0" t="str">
        <f aca="false">IF(AND(TRIM(C850)&lt;&gt;"",COUNTIF(C$2:C850,C850)=1),MAX(P$1:P849)+1,"")</f>
        <v/>
      </c>
      <c r="Q850" s="0" t="str">
        <f aca="false">IF(AND(TRIM(F850)&lt;&gt;"",COUNTIF(F$2:F850,F850)=1),MAX(Q$1:Q849)+1,"")</f>
        <v/>
      </c>
    </row>
    <row r="851" customFormat="false" ht="15" hidden="false" customHeight="false" outlineLevel="0" collapsed="false">
      <c r="A851" s="9"/>
      <c r="B851" s="10"/>
      <c r="C851" s="11"/>
      <c r="D851" s="11"/>
      <c r="E851" s="11"/>
      <c r="F851" s="11"/>
      <c r="G851" s="12"/>
      <c r="H851" s="12"/>
      <c r="I851" s="10"/>
      <c r="J851" s="12"/>
      <c r="K851" s="13" t="str">
        <f aca="false">IF(ISNUMBER(B851),YEAR(B851),"")</f>
        <v/>
      </c>
      <c r="L851" s="13" t="str">
        <f aca="false">IF(ISNUMBER(B851),MONTH(B851),"")</f>
        <v/>
      </c>
      <c r="M851" s="13" t="str">
        <f aca="false">IF(AND(ISNUMBER(B851),ISNUMBER(I851)),B851-I851+1,"")</f>
        <v/>
      </c>
      <c r="N851" s="14" t="str">
        <f aca="false">IF(B851="","",IF(M851="","시작일 미입력",IF(M851&lt;1,"시작일 이전(확인)",IF(M851=1,"1일째",IF(M851=2,"2일째",IF(M851=3,"3일째",IF(M851&lt;=7,"일주일 이내",IF(M851&lt;=14,"이주일 이내","15일 이후"))))))))</f>
        <v/>
      </c>
      <c r="O851" s="0" t="str">
        <f aca="false">IF(AND(COUNTA($A851:$J851)&gt;0,OR(클레임조회!$C$4="",AND(ISNUMBER($B851),$B851&gt;=클레임조회!$C$4)),OR(클레임조회!$C$5="",AND(ISNUMBER($B851),$B851&lt;=클레임조회!$C$5)),OR(클레임조회!$C$6="",$C851=클레임조회!$C$6),OR(클레임조회!$C$7="",$D851=클레임조회!$C$7),OR(클레임조회!$C$8="",$E851=클레임조회!$C$8),OR(클레임조회!$C$9="",$F851=클레임조회!$C$9),OR(클레임조회!$C$10="",ISNUMBER(SEARCH(클레임조회!$C$10,$C851&amp;" "&amp;$F851&amp;" "&amp;$G851&amp;" "&amp;$H851)))),COUNT(O$1:O850)+1,"")</f>
        <v/>
      </c>
      <c r="P851" s="0" t="str">
        <f aca="false">IF(AND(TRIM(C851)&lt;&gt;"",COUNTIF(C$2:C851,C851)=1),MAX(P$1:P850)+1,"")</f>
        <v/>
      </c>
      <c r="Q851" s="0" t="str">
        <f aca="false">IF(AND(TRIM(F851)&lt;&gt;"",COUNTIF(F$2:F851,F851)=1),MAX(Q$1:Q850)+1,"")</f>
        <v/>
      </c>
    </row>
    <row r="852" customFormat="false" ht="15" hidden="false" customHeight="false" outlineLevel="0" collapsed="false">
      <c r="A852" s="9"/>
      <c r="B852" s="10"/>
      <c r="C852" s="11"/>
      <c r="D852" s="11"/>
      <c r="E852" s="11"/>
      <c r="F852" s="11"/>
      <c r="G852" s="12"/>
      <c r="H852" s="12"/>
      <c r="I852" s="10"/>
      <c r="J852" s="12"/>
      <c r="K852" s="13" t="str">
        <f aca="false">IF(ISNUMBER(B852),YEAR(B852),"")</f>
        <v/>
      </c>
      <c r="L852" s="13" t="str">
        <f aca="false">IF(ISNUMBER(B852),MONTH(B852),"")</f>
        <v/>
      </c>
      <c r="M852" s="13" t="str">
        <f aca="false">IF(AND(ISNUMBER(B852),ISNUMBER(I852)),B852-I852+1,"")</f>
        <v/>
      </c>
      <c r="N852" s="14" t="str">
        <f aca="false">IF(B852="","",IF(M852="","시작일 미입력",IF(M852&lt;1,"시작일 이전(확인)",IF(M852=1,"1일째",IF(M852=2,"2일째",IF(M852=3,"3일째",IF(M852&lt;=7,"일주일 이내",IF(M852&lt;=14,"이주일 이내","15일 이후"))))))))</f>
        <v/>
      </c>
      <c r="O852" s="0" t="str">
        <f aca="false">IF(AND(COUNTA($A852:$J852)&gt;0,OR(클레임조회!$C$4="",AND(ISNUMBER($B852),$B852&gt;=클레임조회!$C$4)),OR(클레임조회!$C$5="",AND(ISNUMBER($B852),$B852&lt;=클레임조회!$C$5)),OR(클레임조회!$C$6="",$C852=클레임조회!$C$6),OR(클레임조회!$C$7="",$D852=클레임조회!$C$7),OR(클레임조회!$C$8="",$E852=클레임조회!$C$8),OR(클레임조회!$C$9="",$F852=클레임조회!$C$9),OR(클레임조회!$C$10="",ISNUMBER(SEARCH(클레임조회!$C$10,$C852&amp;" "&amp;$F852&amp;" "&amp;$G852&amp;" "&amp;$H852)))),COUNT(O$1:O851)+1,"")</f>
        <v/>
      </c>
      <c r="P852" s="0" t="str">
        <f aca="false">IF(AND(TRIM(C852)&lt;&gt;"",COUNTIF(C$2:C852,C852)=1),MAX(P$1:P851)+1,"")</f>
        <v/>
      </c>
      <c r="Q852" s="0" t="str">
        <f aca="false">IF(AND(TRIM(F852)&lt;&gt;"",COUNTIF(F$2:F852,F852)=1),MAX(Q$1:Q851)+1,"")</f>
        <v/>
      </c>
    </row>
    <row r="853" customFormat="false" ht="15" hidden="false" customHeight="false" outlineLevel="0" collapsed="false">
      <c r="A853" s="9"/>
      <c r="B853" s="10"/>
      <c r="C853" s="11"/>
      <c r="D853" s="11"/>
      <c r="E853" s="11"/>
      <c r="F853" s="11"/>
      <c r="G853" s="12"/>
      <c r="H853" s="12"/>
      <c r="I853" s="10"/>
      <c r="J853" s="12"/>
      <c r="K853" s="13" t="str">
        <f aca="false">IF(ISNUMBER(B853),YEAR(B853),"")</f>
        <v/>
      </c>
      <c r="L853" s="13" t="str">
        <f aca="false">IF(ISNUMBER(B853),MONTH(B853),"")</f>
        <v/>
      </c>
      <c r="M853" s="13" t="str">
        <f aca="false">IF(AND(ISNUMBER(B853),ISNUMBER(I853)),B853-I853+1,"")</f>
        <v/>
      </c>
      <c r="N853" s="14" t="str">
        <f aca="false">IF(B853="","",IF(M853="","시작일 미입력",IF(M853&lt;1,"시작일 이전(확인)",IF(M853=1,"1일째",IF(M853=2,"2일째",IF(M853=3,"3일째",IF(M853&lt;=7,"일주일 이내",IF(M853&lt;=14,"이주일 이내","15일 이후"))))))))</f>
        <v/>
      </c>
      <c r="O853" s="0" t="str">
        <f aca="false">IF(AND(COUNTA($A853:$J853)&gt;0,OR(클레임조회!$C$4="",AND(ISNUMBER($B853),$B853&gt;=클레임조회!$C$4)),OR(클레임조회!$C$5="",AND(ISNUMBER($B853),$B853&lt;=클레임조회!$C$5)),OR(클레임조회!$C$6="",$C853=클레임조회!$C$6),OR(클레임조회!$C$7="",$D853=클레임조회!$C$7),OR(클레임조회!$C$8="",$E853=클레임조회!$C$8),OR(클레임조회!$C$9="",$F853=클레임조회!$C$9),OR(클레임조회!$C$10="",ISNUMBER(SEARCH(클레임조회!$C$10,$C853&amp;" "&amp;$F853&amp;" "&amp;$G853&amp;" "&amp;$H853)))),COUNT(O$1:O852)+1,"")</f>
        <v/>
      </c>
      <c r="P853" s="0" t="str">
        <f aca="false">IF(AND(TRIM(C853)&lt;&gt;"",COUNTIF(C$2:C853,C853)=1),MAX(P$1:P852)+1,"")</f>
        <v/>
      </c>
      <c r="Q853" s="0" t="str">
        <f aca="false">IF(AND(TRIM(F853)&lt;&gt;"",COUNTIF(F$2:F853,F853)=1),MAX(Q$1:Q852)+1,"")</f>
        <v/>
      </c>
    </row>
    <row r="854" customFormat="false" ht="15" hidden="false" customHeight="false" outlineLevel="0" collapsed="false">
      <c r="A854" s="9"/>
      <c r="B854" s="10"/>
      <c r="C854" s="11"/>
      <c r="D854" s="11"/>
      <c r="E854" s="11"/>
      <c r="F854" s="11"/>
      <c r="G854" s="12"/>
      <c r="H854" s="12"/>
      <c r="I854" s="10"/>
      <c r="J854" s="12"/>
      <c r="K854" s="13" t="str">
        <f aca="false">IF(ISNUMBER(B854),YEAR(B854),"")</f>
        <v/>
      </c>
      <c r="L854" s="13" t="str">
        <f aca="false">IF(ISNUMBER(B854),MONTH(B854),"")</f>
        <v/>
      </c>
      <c r="M854" s="13" t="str">
        <f aca="false">IF(AND(ISNUMBER(B854),ISNUMBER(I854)),B854-I854+1,"")</f>
        <v/>
      </c>
      <c r="N854" s="14" t="str">
        <f aca="false">IF(B854="","",IF(M854="","시작일 미입력",IF(M854&lt;1,"시작일 이전(확인)",IF(M854=1,"1일째",IF(M854=2,"2일째",IF(M854=3,"3일째",IF(M854&lt;=7,"일주일 이내",IF(M854&lt;=14,"이주일 이내","15일 이후"))))))))</f>
        <v/>
      </c>
      <c r="O854" s="0" t="str">
        <f aca="false">IF(AND(COUNTA($A854:$J854)&gt;0,OR(클레임조회!$C$4="",AND(ISNUMBER($B854),$B854&gt;=클레임조회!$C$4)),OR(클레임조회!$C$5="",AND(ISNUMBER($B854),$B854&lt;=클레임조회!$C$5)),OR(클레임조회!$C$6="",$C854=클레임조회!$C$6),OR(클레임조회!$C$7="",$D854=클레임조회!$C$7),OR(클레임조회!$C$8="",$E854=클레임조회!$C$8),OR(클레임조회!$C$9="",$F854=클레임조회!$C$9),OR(클레임조회!$C$10="",ISNUMBER(SEARCH(클레임조회!$C$10,$C854&amp;" "&amp;$F854&amp;" "&amp;$G854&amp;" "&amp;$H854)))),COUNT(O$1:O853)+1,"")</f>
        <v/>
      </c>
      <c r="P854" s="0" t="str">
        <f aca="false">IF(AND(TRIM(C854)&lt;&gt;"",COUNTIF(C$2:C854,C854)=1),MAX(P$1:P853)+1,"")</f>
        <v/>
      </c>
      <c r="Q854" s="0" t="str">
        <f aca="false">IF(AND(TRIM(F854)&lt;&gt;"",COUNTIF(F$2:F854,F854)=1),MAX(Q$1:Q853)+1,"")</f>
        <v/>
      </c>
    </row>
    <row r="855" customFormat="false" ht="15" hidden="false" customHeight="false" outlineLevel="0" collapsed="false">
      <c r="A855" s="9"/>
      <c r="B855" s="10"/>
      <c r="C855" s="11"/>
      <c r="D855" s="11"/>
      <c r="E855" s="11"/>
      <c r="F855" s="11"/>
      <c r="G855" s="12"/>
      <c r="H855" s="12"/>
      <c r="I855" s="10"/>
      <c r="J855" s="12"/>
      <c r="K855" s="13" t="str">
        <f aca="false">IF(ISNUMBER(B855),YEAR(B855),"")</f>
        <v/>
      </c>
      <c r="L855" s="13" t="str">
        <f aca="false">IF(ISNUMBER(B855),MONTH(B855),"")</f>
        <v/>
      </c>
      <c r="M855" s="13" t="str">
        <f aca="false">IF(AND(ISNUMBER(B855),ISNUMBER(I855)),B855-I855+1,"")</f>
        <v/>
      </c>
      <c r="N855" s="14" t="str">
        <f aca="false">IF(B855="","",IF(M855="","시작일 미입력",IF(M855&lt;1,"시작일 이전(확인)",IF(M855=1,"1일째",IF(M855=2,"2일째",IF(M855=3,"3일째",IF(M855&lt;=7,"일주일 이내",IF(M855&lt;=14,"이주일 이내","15일 이후"))))))))</f>
        <v/>
      </c>
      <c r="O855" s="0" t="str">
        <f aca="false">IF(AND(COUNTA($A855:$J855)&gt;0,OR(클레임조회!$C$4="",AND(ISNUMBER($B855),$B855&gt;=클레임조회!$C$4)),OR(클레임조회!$C$5="",AND(ISNUMBER($B855),$B855&lt;=클레임조회!$C$5)),OR(클레임조회!$C$6="",$C855=클레임조회!$C$6),OR(클레임조회!$C$7="",$D855=클레임조회!$C$7),OR(클레임조회!$C$8="",$E855=클레임조회!$C$8),OR(클레임조회!$C$9="",$F855=클레임조회!$C$9),OR(클레임조회!$C$10="",ISNUMBER(SEARCH(클레임조회!$C$10,$C855&amp;" "&amp;$F855&amp;" "&amp;$G855&amp;" "&amp;$H855)))),COUNT(O$1:O854)+1,"")</f>
        <v/>
      </c>
      <c r="P855" s="0" t="str">
        <f aca="false">IF(AND(TRIM(C855)&lt;&gt;"",COUNTIF(C$2:C855,C855)=1),MAX(P$1:P854)+1,"")</f>
        <v/>
      </c>
      <c r="Q855" s="0" t="str">
        <f aca="false">IF(AND(TRIM(F855)&lt;&gt;"",COUNTIF(F$2:F855,F855)=1),MAX(Q$1:Q854)+1,"")</f>
        <v/>
      </c>
    </row>
    <row r="856" customFormat="false" ht="15" hidden="false" customHeight="false" outlineLevel="0" collapsed="false">
      <c r="A856" s="9"/>
      <c r="B856" s="10"/>
      <c r="C856" s="11"/>
      <c r="D856" s="11"/>
      <c r="E856" s="11"/>
      <c r="F856" s="11"/>
      <c r="G856" s="12"/>
      <c r="H856" s="12"/>
      <c r="I856" s="10"/>
      <c r="J856" s="12"/>
      <c r="K856" s="13" t="str">
        <f aca="false">IF(ISNUMBER(B856),YEAR(B856),"")</f>
        <v/>
      </c>
      <c r="L856" s="13" t="str">
        <f aca="false">IF(ISNUMBER(B856),MONTH(B856),"")</f>
        <v/>
      </c>
      <c r="M856" s="13" t="str">
        <f aca="false">IF(AND(ISNUMBER(B856),ISNUMBER(I856)),B856-I856+1,"")</f>
        <v/>
      </c>
      <c r="N856" s="14" t="str">
        <f aca="false">IF(B856="","",IF(M856="","시작일 미입력",IF(M856&lt;1,"시작일 이전(확인)",IF(M856=1,"1일째",IF(M856=2,"2일째",IF(M856=3,"3일째",IF(M856&lt;=7,"일주일 이내",IF(M856&lt;=14,"이주일 이내","15일 이후"))))))))</f>
        <v/>
      </c>
      <c r="O856" s="0" t="str">
        <f aca="false">IF(AND(COUNTA($A856:$J856)&gt;0,OR(클레임조회!$C$4="",AND(ISNUMBER($B856),$B856&gt;=클레임조회!$C$4)),OR(클레임조회!$C$5="",AND(ISNUMBER($B856),$B856&lt;=클레임조회!$C$5)),OR(클레임조회!$C$6="",$C856=클레임조회!$C$6),OR(클레임조회!$C$7="",$D856=클레임조회!$C$7),OR(클레임조회!$C$8="",$E856=클레임조회!$C$8),OR(클레임조회!$C$9="",$F856=클레임조회!$C$9),OR(클레임조회!$C$10="",ISNUMBER(SEARCH(클레임조회!$C$10,$C856&amp;" "&amp;$F856&amp;" "&amp;$G856&amp;" "&amp;$H856)))),COUNT(O$1:O855)+1,"")</f>
        <v/>
      </c>
      <c r="P856" s="0" t="str">
        <f aca="false">IF(AND(TRIM(C856)&lt;&gt;"",COUNTIF(C$2:C856,C856)=1),MAX(P$1:P855)+1,"")</f>
        <v/>
      </c>
      <c r="Q856" s="0" t="str">
        <f aca="false">IF(AND(TRIM(F856)&lt;&gt;"",COUNTIF(F$2:F856,F856)=1),MAX(Q$1:Q855)+1,"")</f>
        <v/>
      </c>
    </row>
    <row r="857" customFormat="false" ht="15" hidden="false" customHeight="false" outlineLevel="0" collapsed="false">
      <c r="A857" s="9"/>
      <c r="B857" s="10"/>
      <c r="C857" s="11"/>
      <c r="D857" s="11"/>
      <c r="E857" s="11"/>
      <c r="F857" s="11"/>
      <c r="G857" s="12"/>
      <c r="H857" s="12"/>
      <c r="I857" s="10"/>
      <c r="J857" s="12"/>
      <c r="K857" s="13" t="str">
        <f aca="false">IF(ISNUMBER(B857),YEAR(B857),"")</f>
        <v/>
      </c>
      <c r="L857" s="13" t="str">
        <f aca="false">IF(ISNUMBER(B857),MONTH(B857),"")</f>
        <v/>
      </c>
      <c r="M857" s="13" t="str">
        <f aca="false">IF(AND(ISNUMBER(B857),ISNUMBER(I857)),B857-I857+1,"")</f>
        <v/>
      </c>
      <c r="N857" s="14" t="str">
        <f aca="false">IF(B857="","",IF(M857="","시작일 미입력",IF(M857&lt;1,"시작일 이전(확인)",IF(M857=1,"1일째",IF(M857=2,"2일째",IF(M857=3,"3일째",IF(M857&lt;=7,"일주일 이내",IF(M857&lt;=14,"이주일 이내","15일 이후"))))))))</f>
        <v/>
      </c>
      <c r="O857" s="0" t="str">
        <f aca="false">IF(AND(COUNTA($A857:$J857)&gt;0,OR(클레임조회!$C$4="",AND(ISNUMBER($B857),$B857&gt;=클레임조회!$C$4)),OR(클레임조회!$C$5="",AND(ISNUMBER($B857),$B857&lt;=클레임조회!$C$5)),OR(클레임조회!$C$6="",$C857=클레임조회!$C$6),OR(클레임조회!$C$7="",$D857=클레임조회!$C$7),OR(클레임조회!$C$8="",$E857=클레임조회!$C$8),OR(클레임조회!$C$9="",$F857=클레임조회!$C$9),OR(클레임조회!$C$10="",ISNUMBER(SEARCH(클레임조회!$C$10,$C857&amp;" "&amp;$F857&amp;" "&amp;$G857&amp;" "&amp;$H857)))),COUNT(O$1:O856)+1,"")</f>
        <v/>
      </c>
      <c r="P857" s="0" t="str">
        <f aca="false">IF(AND(TRIM(C857)&lt;&gt;"",COUNTIF(C$2:C857,C857)=1),MAX(P$1:P856)+1,"")</f>
        <v/>
      </c>
      <c r="Q857" s="0" t="str">
        <f aca="false">IF(AND(TRIM(F857)&lt;&gt;"",COUNTIF(F$2:F857,F857)=1),MAX(Q$1:Q856)+1,"")</f>
        <v/>
      </c>
    </row>
    <row r="858" customFormat="false" ht="15" hidden="false" customHeight="false" outlineLevel="0" collapsed="false">
      <c r="A858" s="9"/>
      <c r="B858" s="10"/>
      <c r="C858" s="11"/>
      <c r="D858" s="11"/>
      <c r="E858" s="11"/>
      <c r="F858" s="11"/>
      <c r="G858" s="12"/>
      <c r="H858" s="12"/>
      <c r="I858" s="10"/>
      <c r="J858" s="12"/>
      <c r="K858" s="13" t="str">
        <f aca="false">IF(ISNUMBER(B858),YEAR(B858),"")</f>
        <v/>
      </c>
      <c r="L858" s="13" t="str">
        <f aca="false">IF(ISNUMBER(B858),MONTH(B858),"")</f>
        <v/>
      </c>
      <c r="M858" s="13" t="str">
        <f aca="false">IF(AND(ISNUMBER(B858),ISNUMBER(I858)),B858-I858+1,"")</f>
        <v/>
      </c>
      <c r="N858" s="14" t="str">
        <f aca="false">IF(B858="","",IF(M858="","시작일 미입력",IF(M858&lt;1,"시작일 이전(확인)",IF(M858=1,"1일째",IF(M858=2,"2일째",IF(M858=3,"3일째",IF(M858&lt;=7,"일주일 이내",IF(M858&lt;=14,"이주일 이내","15일 이후"))))))))</f>
        <v/>
      </c>
      <c r="O858" s="0" t="str">
        <f aca="false">IF(AND(COUNTA($A858:$J858)&gt;0,OR(클레임조회!$C$4="",AND(ISNUMBER($B858),$B858&gt;=클레임조회!$C$4)),OR(클레임조회!$C$5="",AND(ISNUMBER($B858),$B858&lt;=클레임조회!$C$5)),OR(클레임조회!$C$6="",$C858=클레임조회!$C$6),OR(클레임조회!$C$7="",$D858=클레임조회!$C$7),OR(클레임조회!$C$8="",$E858=클레임조회!$C$8),OR(클레임조회!$C$9="",$F858=클레임조회!$C$9),OR(클레임조회!$C$10="",ISNUMBER(SEARCH(클레임조회!$C$10,$C858&amp;" "&amp;$F858&amp;" "&amp;$G858&amp;" "&amp;$H858)))),COUNT(O$1:O857)+1,"")</f>
        <v/>
      </c>
      <c r="P858" s="0" t="str">
        <f aca="false">IF(AND(TRIM(C858)&lt;&gt;"",COUNTIF(C$2:C858,C858)=1),MAX(P$1:P857)+1,"")</f>
        <v/>
      </c>
      <c r="Q858" s="0" t="str">
        <f aca="false">IF(AND(TRIM(F858)&lt;&gt;"",COUNTIF(F$2:F858,F858)=1),MAX(Q$1:Q857)+1,"")</f>
        <v/>
      </c>
    </row>
    <row r="859" customFormat="false" ht="15" hidden="false" customHeight="false" outlineLevel="0" collapsed="false">
      <c r="A859" s="9"/>
      <c r="B859" s="10"/>
      <c r="C859" s="11"/>
      <c r="D859" s="11"/>
      <c r="E859" s="11"/>
      <c r="F859" s="11"/>
      <c r="G859" s="12"/>
      <c r="H859" s="12"/>
      <c r="I859" s="10"/>
      <c r="J859" s="12"/>
      <c r="K859" s="13" t="str">
        <f aca="false">IF(ISNUMBER(B859),YEAR(B859),"")</f>
        <v/>
      </c>
      <c r="L859" s="13" t="str">
        <f aca="false">IF(ISNUMBER(B859),MONTH(B859),"")</f>
        <v/>
      </c>
      <c r="M859" s="13" t="str">
        <f aca="false">IF(AND(ISNUMBER(B859),ISNUMBER(I859)),B859-I859+1,"")</f>
        <v/>
      </c>
      <c r="N859" s="14" t="str">
        <f aca="false">IF(B859="","",IF(M859="","시작일 미입력",IF(M859&lt;1,"시작일 이전(확인)",IF(M859=1,"1일째",IF(M859=2,"2일째",IF(M859=3,"3일째",IF(M859&lt;=7,"일주일 이내",IF(M859&lt;=14,"이주일 이내","15일 이후"))))))))</f>
        <v/>
      </c>
      <c r="O859" s="0" t="str">
        <f aca="false">IF(AND(COUNTA($A859:$J859)&gt;0,OR(클레임조회!$C$4="",AND(ISNUMBER($B859),$B859&gt;=클레임조회!$C$4)),OR(클레임조회!$C$5="",AND(ISNUMBER($B859),$B859&lt;=클레임조회!$C$5)),OR(클레임조회!$C$6="",$C859=클레임조회!$C$6),OR(클레임조회!$C$7="",$D859=클레임조회!$C$7),OR(클레임조회!$C$8="",$E859=클레임조회!$C$8),OR(클레임조회!$C$9="",$F859=클레임조회!$C$9),OR(클레임조회!$C$10="",ISNUMBER(SEARCH(클레임조회!$C$10,$C859&amp;" "&amp;$F859&amp;" "&amp;$G859&amp;" "&amp;$H859)))),COUNT(O$1:O858)+1,"")</f>
        <v/>
      </c>
      <c r="P859" s="0" t="str">
        <f aca="false">IF(AND(TRIM(C859)&lt;&gt;"",COUNTIF(C$2:C859,C859)=1),MAX(P$1:P858)+1,"")</f>
        <v/>
      </c>
      <c r="Q859" s="0" t="str">
        <f aca="false">IF(AND(TRIM(F859)&lt;&gt;"",COUNTIF(F$2:F859,F859)=1),MAX(Q$1:Q858)+1,"")</f>
        <v/>
      </c>
    </row>
    <row r="860" customFormat="false" ht="15" hidden="false" customHeight="false" outlineLevel="0" collapsed="false">
      <c r="A860" s="9"/>
      <c r="B860" s="10"/>
      <c r="C860" s="11"/>
      <c r="D860" s="11"/>
      <c r="E860" s="11"/>
      <c r="F860" s="11"/>
      <c r="G860" s="12"/>
      <c r="H860" s="12"/>
      <c r="I860" s="10"/>
      <c r="J860" s="12"/>
      <c r="K860" s="13" t="str">
        <f aca="false">IF(ISNUMBER(B860),YEAR(B860),"")</f>
        <v/>
      </c>
      <c r="L860" s="13" t="str">
        <f aca="false">IF(ISNUMBER(B860),MONTH(B860),"")</f>
        <v/>
      </c>
      <c r="M860" s="13" t="str">
        <f aca="false">IF(AND(ISNUMBER(B860),ISNUMBER(I860)),B860-I860+1,"")</f>
        <v/>
      </c>
      <c r="N860" s="14" t="str">
        <f aca="false">IF(B860="","",IF(M860="","시작일 미입력",IF(M860&lt;1,"시작일 이전(확인)",IF(M860=1,"1일째",IF(M860=2,"2일째",IF(M860=3,"3일째",IF(M860&lt;=7,"일주일 이내",IF(M860&lt;=14,"이주일 이내","15일 이후"))))))))</f>
        <v/>
      </c>
      <c r="O860" s="0" t="str">
        <f aca="false">IF(AND(COUNTA($A860:$J860)&gt;0,OR(클레임조회!$C$4="",AND(ISNUMBER($B860),$B860&gt;=클레임조회!$C$4)),OR(클레임조회!$C$5="",AND(ISNUMBER($B860),$B860&lt;=클레임조회!$C$5)),OR(클레임조회!$C$6="",$C860=클레임조회!$C$6),OR(클레임조회!$C$7="",$D860=클레임조회!$C$7),OR(클레임조회!$C$8="",$E860=클레임조회!$C$8),OR(클레임조회!$C$9="",$F860=클레임조회!$C$9),OR(클레임조회!$C$10="",ISNUMBER(SEARCH(클레임조회!$C$10,$C860&amp;" "&amp;$F860&amp;" "&amp;$G860&amp;" "&amp;$H860)))),COUNT(O$1:O859)+1,"")</f>
        <v/>
      </c>
      <c r="P860" s="0" t="str">
        <f aca="false">IF(AND(TRIM(C860)&lt;&gt;"",COUNTIF(C$2:C860,C860)=1),MAX(P$1:P859)+1,"")</f>
        <v/>
      </c>
      <c r="Q860" s="0" t="str">
        <f aca="false">IF(AND(TRIM(F860)&lt;&gt;"",COUNTIF(F$2:F860,F860)=1),MAX(Q$1:Q859)+1,"")</f>
        <v/>
      </c>
    </row>
    <row r="861" customFormat="false" ht="15" hidden="false" customHeight="false" outlineLevel="0" collapsed="false">
      <c r="A861" s="9"/>
      <c r="B861" s="10"/>
      <c r="C861" s="11"/>
      <c r="D861" s="11"/>
      <c r="E861" s="11"/>
      <c r="F861" s="11"/>
      <c r="G861" s="12"/>
      <c r="H861" s="12"/>
      <c r="I861" s="10"/>
      <c r="J861" s="12"/>
      <c r="K861" s="13" t="str">
        <f aca="false">IF(ISNUMBER(B861),YEAR(B861),"")</f>
        <v/>
      </c>
      <c r="L861" s="13" t="str">
        <f aca="false">IF(ISNUMBER(B861),MONTH(B861),"")</f>
        <v/>
      </c>
      <c r="M861" s="13" t="str">
        <f aca="false">IF(AND(ISNUMBER(B861),ISNUMBER(I861)),B861-I861+1,"")</f>
        <v/>
      </c>
      <c r="N861" s="14" t="str">
        <f aca="false">IF(B861="","",IF(M861="","시작일 미입력",IF(M861&lt;1,"시작일 이전(확인)",IF(M861=1,"1일째",IF(M861=2,"2일째",IF(M861=3,"3일째",IF(M861&lt;=7,"일주일 이내",IF(M861&lt;=14,"이주일 이내","15일 이후"))))))))</f>
        <v/>
      </c>
      <c r="O861" s="0" t="str">
        <f aca="false">IF(AND(COUNTA($A861:$J861)&gt;0,OR(클레임조회!$C$4="",AND(ISNUMBER($B861),$B861&gt;=클레임조회!$C$4)),OR(클레임조회!$C$5="",AND(ISNUMBER($B861),$B861&lt;=클레임조회!$C$5)),OR(클레임조회!$C$6="",$C861=클레임조회!$C$6),OR(클레임조회!$C$7="",$D861=클레임조회!$C$7),OR(클레임조회!$C$8="",$E861=클레임조회!$C$8),OR(클레임조회!$C$9="",$F861=클레임조회!$C$9),OR(클레임조회!$C$10="",ISNUMBER(SEARCH(클레임조회!$C$10,$C861&amp;" "&amp;$F861&amp;" "&amp;$G861&amp;" "&amp;$H861)))),COUNT(O$1:O860)+1,"")</f>
        <v/>
      </c>
      <c r="P861" s="0" t="str">
        <f aca="false">IF(AND(TRIM(C861)&lt;&gt;"",COUNTIF(C$2:C861,C861)=1),MAX(P$1:P860)+1,"")</f>
        <v/>
      </c>
      <c r="Q861" s="0" t="str">
        <f aca="false">IF(AND(TRIM(F861)&lt;&gt;"",COUNTIF(F$2:F861,F861)=1),MAX(Q$1:Q860)+1,"")</f>
        <v/>
      </c>
    </row>
    <row r="862" customFormat="false" ht="15" hidden="false" customHeight="false" outlineLevel="0" collapsed="false">
      <c r="A862" s="9"/>
      <c r="B862" s="10"/>
      <c r="C862" s="11"/>
      <c r="D862" s="11"/>
      <c r="E862" s="11"/>
      <c r="F862" s="11"/>
      <c r="G862" s="12"/>
      <c r="H862" s="12"/>
      <c r="I862" s="10"/>
      <c r="J862" s="12"/>
      <c r="K862" s="13" t="str">
        <f aca="false">IF(ISNUMBER(B862),YEAR(B862),"")</f>
        <v/>
      </c>
      <c r="L862" s="13" t="str">
        <f aca="false">IF(ISNUMBER(B862),MONTH(B862),"")</f>
        <v/>
      </c>
      <c r="M862" s="13" t="str">
        <f aca="false">IF(AND(ISNUMBER(B862),ISNUMBER(I862)),B862-I862+1,"")</f>
        <v/>
      </c>
      <c r="N862" s="14" t="str">
        <f aca="false">IF(B862="","",IF(M862="","시작일 미입력",IF(M862&lt;1,"시작일 이전(확인)",IF(M862=1,"1일째",IF(M862=2,"2일째",IF(M862=3,"3일째",IF(M862&lt;=7,"일주일 이내",IF(M862&lt;=14,"이주일 이내","15일 이후"))))))))</f>
        <v/>
      </c>
      <c r="O862" s="0" t="str">
        <f aca="false">IF(AND(COUNTA($A862:$J862)&gt;0,OR(클레임조회!$C$4="",AND(ISNUMBER($B862),$B862&gt;=클레임조회!$C$4)),OR(클레임조회!$C$5="",AND(ISNUMBER($B862),$B862&lt;=클레임조회!$C$5)),OR(클레임조회!$C$6="",$C862=클레임조회!$C$6),OR(클레임조회!$C$7="",$D862=클레임조회!$C$7),OR(클레임조회!$C$8="",$E862=클레임조회!$C$8),OR(클레임조회!$C$9="",$F862=클레임조회!$C$9),OR(클레임조회!$C$10="",ISNUMBER(SEARCH(클레임조회!$C$10,$C862&amp;" "&amp;$F862&amp;" "&amp;$G862&amp;" "&amp;$H862)))),COUNT(O$1:O861)+1,"")</f>
        <v/>
      </c>
      <c r="P862" s="0" t="str">
        <f aca="false">IF(AND(TRIM(C862)&lt;&gt;"",COUNTIF(C$2:C862,C862)=1),MAX(P$1:P861)+1,"")</f>
        <v/>
      </c>
      <c r="Q862" s="0" t="str">
        <f aca="false">IF(AND(TRIM(F862)&lt;&gt;"",COUNTIF(F$2:F862,F862)=1),MAX(Q$1:Q861)+1,"")</f>
        <v/>
      </c>
    </row>
    <row r="863" customFormat="false" ht="15" hidden="false" customHeight="false" outlineLevel="0" collapsed="false">
      <c r="A863" s="9"/>
      <c r="B863" s="10"/>
      <c r="C863" s="11"/>
      <c r="D863" s="11"/>
      <c r="E863" s="11"/>
      <c r="F863" s="11"/>
      <c r="G863" s="12"/>
      <c r="H863" s="12"/>
      <c r="I863" s="10"/>
      <c r="J863" s="12"/>
      <c r="K863" s="13" t="str">
        <f aca="false">IF(ISNUMBER(B863),YEAR(B863),"")</f>
        <v/>
      </c>
      <c r="L863" s="13" t="str">
        <f aca="false">IF(ISNUMBER(B863),MONTH(B863),"")</f>
        <v/>
      </c>
      <c r="M863" s="13" t="str">
        <f aca="false">IF(AND(ISNUMBER(B863),ISNUMBER(I863)),B863-I863+1,"")</f>
        <v/>
      </c>
      <c r="N863" s="14" t="str">
        <f aca="false">IF(B863="","",IF(M863="","시작일 미입력",IF(M863&lt;1,"시작일 이전(확인)",IF(M863=1,"1일째",IF(M863=2,"2일째",IF(M863=3,"3일째",IF(M863&lt;=7,"일주일 이내",IF(M863&lt;=14,"이주일 이내","15일 이후"))))))))</f>
        <v/>
      </c>
      <c r="O863" s="0" t="str">
        <f aca="false">IF(AND(COUNTA($A863:$J863)&gt;0,OR(클레임조회!$C$4="",AND(ISNUMBER($B863),$B863&gt;=클레임조회!$C$4)),OR(클레임조회!$C$5="",AND(ISNUMBER($B863),$B863&lt;=클레임조회!$C$5)),OR(클레임조회!$C$6="",$C863=클레임조회!$C$6),OR(클레임조회!$C$7="",$D863=클레임조회!$C$7),OR(클레임조회!$C$8="",$E863=클레임조회!$C$8),OR(클레임조회!$C$9="",$F863=클레임조회!$C$9),OR(클레임조회!$C$10="",ISNUMBER(SEARCH(클레임조회!$C$10,$C863&amp;" "&amp;$F863&amp;" "&amp;$G863&amp;" "&amp;$H863)))),COUNT(O$1:O862)+1,"")</f>
        <v/>
      </c>
      <c r="P863" s="0" t="str">
        <f aca="false">IF(AND(TRIM(C863)&lt;&gt;"",COUNTIF(C$2:C863,C863)=1),MAX(P$1:P862)+1,"")</f>
        <v/>
      </c>
      <c r="Q863" s="0" t="str">
        <f aca="false">IF(AND(TRIM(F863)&lt;&gt;"",COUNTIF(F$2:F863,F863)=1),MAX(Q$1:Q862)+1,"")</f>
        <v/>
      </c>
    </row>
    <row r="864" customFormat="false" ht="15" hidden="false" customHeight="false" outlineLevel="0" collapsed="false">
      <c r="A864" s="9"/>
      <c r="B864" s="10"/>
      <c r="C864" s="11"/>
      <c r="D864" s="11"/>
      <c r="E864" s="11"/>
      <c r="F864" s="11"/>
      <c r="G864" s="12"/>
      <c r="H864" s="12"/>
      <c r="I864" s="10"/>
      <c r="J864" s="12"/>
      <c r="K864" s="13" t="str">
        <f aca="false">IF(ISNUMBER(B864),YEAR(B864),"")</f>
        <v/>
      </c>
      <c r="L864" s="13" t="str">
        <f aca="false">IF(ISNUMBER(B864),MONTH(B864),"")</f>
        <v/>
      </c>
      <c r="M864" s="13" t="str">
        <f aca="false">IF(AND(ISNUMBER(B864),ISNUMBER(I864)),B864-I864+1,"")</f>
        <v/>
      </c>
      <c r="N864" s="14" t="str">
        <f aca="false">IF(B864="","",IF(M864="","시작일 미입력",IF(M864&lt;1,"시작일 이전(확인)",IF(M864=1,"1일째",IF(M864=2,"2일째",IF(M864=3,"3일째",IF(M864&lt;=7,"일주일 이내",IF(M864&lt;=14,"이주일 이내","15일 이후"))))))))</f>
        <v/>
      </c>
      <c r="O864" s="0" t="str">
        <f aca="false">IF(AND(COUNTA($A864:$J864)&gt;0,OR(클레임조회!$C$4="",AND(ISNUMBER($B864),$B864&gt;=클레임조회!$C$4)),OR(클레임조회!$C$5="",AND(ISNUMBER($B864),$B864&lt;=클레임조회!$C$5)),OR(클레임조회!$C$6="",$C864=클레임조회!$C$6),OR(클레임조회!$C$7="",$D864=클레임조회!$C$7),OR(클레임조회!$C$8="",$E864=클레임조회!$C$8),OR(클레임조회!$C$9="",$F864=클레임조회!$C$9),OR(클레임조회!$C$10="",ISNUMBER(SEARCH(클레임조회!$C$10,$C864&amp;" "&amp;$F864&amp;" "&amp;$G864&amp;" "&amp;$H864)))),COUNT(O$1:O863)+1,"")</f>
        <v/>
      </c>
      <c r="P864" s="0" t="str">
        <f aca="false">IF(AND(TRIM(C864)&lt;&gt;"",COUNTIF(C$2:C864,C864)=1),MAX(P$1:P863)+1,"")</f>
        <v/>
      </c>
      <c r="Q864" s="0" t="str">
        <f aca="false">IF(AND(TRIM(F864)&lt;&gt;"",COUNTIF(F$2:F864,F864)=1),MAX(Q$1:Q863)+1,"")</f>
        <v/>
      </c>
    </row>
    <row r="865" customFormat="false" ht="15" hidden="false" customHeight="false" outlineLevel="0" collapsed="false">
      <c r="A865" s="9"/>
      <c r="B865" s="10"/>
      <c r="C865" s="11"/>
      <c r="D865" s="11"/>
      <c r="E865" s="11"/>
      <c r="F865" s="11"/>
      <c r="G865" s="12"/>
      <c r="H865" s="12"/>
      <c r="I865" s="10"/>
      <c r="J865" s="12"/>
      <c r="K865" s="13" t="str">
        <f aca="false">IF(ISNUMBER(B865),YEAR(B865),"")</f>
        <v/>
      </c>
      <c r="L865" s="13" t="str">
        <f aca="false">IF(ISNUMBER(B865),MONTH(B865),"")</f>
        <v/>
      </c>
      <c r="M865" s="13" t="str">
        <f aca="false">IF(AND(ISNUMBER(B865),ISNUMBER(I865)),B865-I865+1,"")</f>
        <v/>
      </c>
      <c r="N865" s="14" t="str">
        <f aca="false">IF(B865="","",IF(M865="","시작일 미입력",IF(M865&lt;1,"시작일 이전(확인)",IF(M865=1,"1일째",IF(M865=2,"2일째",IF(M865=3,"3일째",IF(M865&lt;=7,"일주일 이내",IF(M865&lt;=14,"이주일 이내","15일 이후"))))))))</f>
        <v/>
      </c>
      <c r="O865" s="0" t="str">
        <f aca="false">IF(AND(COUNTA($A865:$J865)&gt;0,OR(클레임조회!$C$4="",AND(ISNUMBER($B865),$B865&gt;=클레임조회!$C$4)),OR(클레임조회!$C$5="",AND(ISNUMBER($B865),$B865&lt;=클레임조회!$C$5)),OR(클레임조회!$C$6="",$C865=클레임조회!$C$6),OR(클레임조회!$C$7="",$D865=클레임조회!$C$7),OR(클레임조회!$C$8="",$E865=클레임조회!$C$8),OR(클레임조회!$C$9="",$F865=클레임조회!$C$9),OR(클레임조회!$C$10="",ISNUMBER(SEARCH(클레임조회!$C$10,$C865&amp;" "&amp;$F865&amp;" "&amp;$G865&amp;" "&amp;$H865)))),COUNT(O$1:O864)+1,"")</f>
        <v/>
      </c>
      <c r="P865" s="0" t="str">
        <f aca="false">IF(AND(TRIM(C865)&lt;&gt;"",COUNTIF(C$2:C865,C865)=1),MAX(P$1:P864)+1,"")</f>
        <v/>
      </c>
      <c r="Q865" s="0" t="str">
        <f aca="false">IF(AND(TRIM(F865)&lt;&gt;"",COUNTIF(F$2:F865,F865)=1),MAX(Q$1:Q864)+1,"")</f>
        <v/>
      </c>
    </row>
    <row r="866" customFormat="false" ht="15" hidden="false" customHeight="false" outlineLevel="0" collapsed="false">
      <c r="A866" s="9"/>
      <c r="B866" s="10"/>
      <c r="C866" s="11"/>
      <c r="D866" s="11"/>
      <c r="E866" s="11"/>
      <c r="F866" s="11"/>
      <c r="G866" s="12"/>
      <c r="H866" s="12"/>
      <c r="I866" s="10"/>
      <c r="J866" s="12"/>
      <c r="K866" s="13" t="str">
        <f aca="false">IF(ISNUMBER(B866),YEAR(B866),"")</f>
        <v/>
      </c>
      <c r="L866" s="13" t="str">
        <f aca="false">IF(ISNUMBER(B866),MONTH(B866),"")</f>
        <v/>
      </c>
      <c r="M866" s="13" t="str">
        <f aca="false">IF(AND(ISNUMBER(B866),ISNUMBER(I866)),B866-I866+1,"")</f>
        <v/>
      </c>
      <c r="N866" s="14" t="str">
        <f aca="false">IF(B866="","",IF(M866="","시작일 미입력",IF(M866&lt;1,"시작일 이전(확인)",IF(M866=1,"1일째",IF(M866=2,"2일째",IF(M866=3,"3일째",IF(M866&lt;=7,"일주일 이내",IF(M866&lt;=14,"이주일 이내","15일 이후"))))))))</f>
        <v/>
      </c>
      <c r="O866" s="0" t="str">
        <f aca="false">IF(AND(COUNTA($A866:$J866)&gt;0,OR(클레임조회!$C$4="",AND(ISNUMBER($B866),$B866&gt;=클레임조회!$C$4)),OR(클레임조회!$C$5="",AND(ISNUMBER($B866),$B866&lt;=클레임조회!$C$5)),OR(클레임조회!$C$6="",$C866=클레임조회!$C$6),OR(클레임조회!$C$7="",$D866=클레임조회!$C$7),OR(클레임조회!$C$8="",$E866=클레임조회!$C$8),OR(클레임조회!$C$9="",$F866=클레임조회!$C$9),OR(클레임조회!$C$10="",ISNUMBER(SEARCH(클레임조회!$C$10,$C866&amp;" "&amp;$F866&amp;" "&amp;$G866&amp;" "&amp;$H866)))),COUNT(O$1:O865)+1,"")</f>
        <v/>
      </c>
      <c r="P866" s="0" t="str">
        <f aca="false">IF(AND(TRIM(C866)&lt;&gt;"",COUNTIF(C$2:C866,C866)=1),MAX(P$1:P865)+1,"")</f>
        <v/>
      </c>
      <c r="Q866" s="0" t="str">
        <f aca="false">IF(AND(TRIM(F866)&lt;&gt;"",COUNTIF(F$2:F866,F866)=1),MAX(Q$1:Q865)+1,"")</f>
        <v/>
      </c>
    </row>
    <row r="867" customFormat="false" ht="15" hidden="false" customHeight="false" outlineLevel="0" collapsed="false">
      <c r="A867" s="9"/>
      <c r="B867" s="10"/>
      <c r="C867" s="11"/>
      <c r="D867" s="11"/>
      <c r="E867" s="11"/>
      <c r="F867" s="11"/>
      <c r="G867" s="12"/>
      <c r="H867" s="12"/>
      <c r="I867" s="10"/>
      <c r="J867" s="12"/>
      <c r="K867" s="13" t="str">
        <f aca="false">IF(ISNUMBER(B867),YEAR(B867),"")</f>
        <v/>
      </c>
      <c r="L867" s="13" t="str">
        <f aca="false">IF(ISNUMBER(B867),MONTH(B867),"")</f>
        <v/>
      </c>
      <c r="M867" s="13" t="str">
        <f aca="false">IF(AND(ISNUMBER(B867),ISNUMBER(I867)),B867-I867+1,"")</f>
        <v/>
      </c>
      <c r="N867" s="14" t="str">
        <f aca="false">IF(B867="","",IF(M867="","시작일 미입력",IF(M867&lt;1,"시작일 이전(확인)",IF(M867=1,"1일째",IF(M867=2,"2일째",IF(M867=3,"3일째",IF(M867&lt;=7,"일주일 이내",IF(M867&lt;=14,"이주일 이내","15일 이후"))))))))</f>
        <v/>
      </c>
      <c r="O867" s="0" t="str">
        <f aca="false">IF(AND(COUNTA($A867:$J867)&gt;0,OR(클레임조회!$C$4="",AND(ISNUMBER($B867),$B867&gt;=클레임조회!$C$4)),OR(클레임조회!$C$5="",AND(ISNUMBER($B867),$B867&lt;=클레임조회!$C$5)),OR(클레임조회!$C$6="",$C867=클레임조회!$C$6),OR(클레임조회!$C$7="",$D867=클레임조회!$C$7),OR(클레임조회!$C$8="",$E867=클레임조회!$C$8),OR(클레임조회!$C$9="",$F867=클레임조회!$C$9),OR(클레임조회!$C$10="",ISNUMBER(SEARCH(클레임조회!$C$10,$C867&amp;" "&amp;$F867&amp;" "&amp;$G867&amp;" "&amp;$H867)))),COUNT(O$1:O866)+1,"")</f>
        <v/>
      </c>
      <c r="P867" s="0" t="str">
        <f aca="false">IF(AND(TRIM(C867)&lt;&gt;"",COUNTIF(C$2:C867,C867)=1),MAX(P$1:P866)+1,"")</f>
        <v/>
      </c>
      <c r="Q867" s="0" t="str">
        <f aca="false">IF(AND(TRIM(F867)&lt;&gt;"",COUNTIF(F$2:F867,F867)=1),MAX(Q$1:Q866)+1,"")</f>
        <v/>
      </c>
    </row>
    <row r="868" customFormat="false" ht="15" hidden="false" customHeight="false" outlineLevel="0" collapsed="false">
      <c r="A868" s="9"/>
      <c r="B868" s="10"/>
      <c r="C868" s="11"/>
      <c r="D868" s="11"/>
      <c r="E868" s="11"/>
      <c r="F868" s="11"/>
      <c r="G868" s="12"/>
      <c r="H868" s="12"/>
      <c r="I868" s="10"/>
      <c r="J868" s="12"/>
      <c r="K868" s="13" t="str">
        <f aca="false">IF(ISNUMBER(B868),YEAR(B868),"")</f>
        <v/>
      </c>
      <c r="L868" s="13" t="str">
        <f aca="false">IF(ISNUMBER(B868),MONTH(B868),"")</f>
        <v/>
      </c>
      <c r="M868" s="13" t="str">
        <f aca="false">IF(AND(ISNUMBER(B868),ISNUMBER(I868)),B868-I868+1,"")</f>
        <v/>
      </c>
      <c r="N868" s="14" t="str">
        <f aca="false">IF(B868="","",IF(M868="","시작일 미입력",IF(M868&lt;1,"시작일 이전(확인)",IF(M868=1,"1일째",IF(M868=2,"2일째",IF(M868=3,"3일째",IF(M868&lt;=7,"일주일 이내",IF(M868&lt;=14,"이주일 이내","15일 이후"))))))))</f>
        <v/>
      </c>
      <c r="O868" s="0" t="str">
        <f aca="false">IF(AND(COUNTA($A868:$J868)&gt;0,OR(클레임조회!$C$4="",AND(ISNUMBER($B868),$B868&gt;=클레임조회!$C$4)),OR(클레임조회!$C$5="",AND(ISNUMBER($B868),$B868&lt;=클레임조회!$C$5)),OR(클레임조회!$C$6="",$C868=클레임조회!$C$6),OR(클레임조회!$C$7="",$D868=클레임조회!$C$7),OR(클레임조회!$C$8="",$E868=클레임조회!$C$8),OR(클레임조회!$C$9="",$F868=클레임조회!$C$9),OR(클레임조회!$C$10="",ISNUMBER(SEARCH(클레임조회!$C$10,$C868&amp;" "&amp;$F868&amp;" "&amp;$G868&amp;" "&amp;$H868)))),COUNT(O$1:O867)+1,"")</f>
        <v/>
      </c>
      <c r="P868" s="0" t="str">
        <f aca="false">IF(AND(TRIM(C868)&lt;&gt;"",COUNTIF(C$2:C868,C868)=1),MAX(P$1:P867)+1,"")</f>
        <v/>
      </c>
      <c r="Q868" s="0" t="str">
        <f aca="false">IF(AND(TRIM(F868)&lt;&gt;"",COUNTIF(F$2:F868,F868)=1),MAX(Q$1:Q867)+1,"")</f>
        <v/>
      </c>
    </row>
    <row r="869" customFormat="false" ht="15" hidden="false" customHeight="false" outlineLevel="0" collapsed="false">
      <c r="A869" s="9"/>
      <c r="B869" s="10"/>
      <c r="C869" s="11"/>
      <c r="D869" s="11"/>
      <c r="E869" s="11"/>
      <c r="F869" s="11"/>
      <c r="G869" s="12"/>
      <c r="H869" s="12"/>
      <c r="I869" s="10"/>
      <c r="J869" s="12"/>
      <c r="K869" s="13" t="str">
        <f aca="false">IF(ISNUMBER(B869),YEAR(B869),"")</f>
        <v/>
      </c>
      <c r="L869" s="13" t="str">
        <f aca="false">IF(ISNUMBER(B869),MONTH(B869),"")</f>
        <v/>
      </c>
      <c r="M869" s="13" t="str">
        <f aca="false">IF(AND(ISNUMBER(B869),ISNUMBER(I869)),B869-I869+1,"")</f>
        <v/>
      </c>
      <c r="N869" s="14" t="str">
        <f aca="false">IF(B869="","",IF(M869="","시작일 미입력",IF(M869&lt;1,"시작일 이전(확인)",IF(M869=1,"1일째",IF(M869=2,"2일째",IF(M869=3,"3일째",IF(M869&lt;=7,"일주일 이내",IF(M869&lt;=14,"이주일 이내","15일 이후"))))))))</f>
        <v/>
      </c>
      <c r="O869" s="0" t="str">
        <f aca="false">IF(AND(COUNTA($A869:$J869)&gt;0,OR(클레임조회!$C$4="",AND(ISNUMBER($B869),$B869&gt;=클레임조회!$C$4)),OR(클레임조회!$C$5="",AND(ISNUMBER($B869),$B869&lt;=클레임조회!$C$5)),OR(클레임조회!$C$6="",$C869=클레임조회!$C$6),OR(클레임조회!$C$7="",$D869=클레임조회!$C$7),OR(클레임조회!$C$8="",$E869=클레임조회!$C$8),OR(클레임조회!$C$9="",$F869=클레임조회!$C$9),OR(클레임조회!$C$10="",ISNUMBER(SEARCH(클레임조회!$C$10,$C869&amp;" "&amp;$F869&amp;" "&amp;$G869&amp;" "&amp;$H869)))),COUNT(O$1:O868)+1,"")</f>
        <v/>
      </c>
      <c r="P869" s="0" t="str">
        <f aca="false">IF(AND(TRIM(C869)&lt;&gt;"",COUNTIF(C$2:C869,C869)=1),MAX(P$1:P868)+1,"")</f>
        <v/>
      </c>
      <c r="Q869" s="0" t="str">
        <f aca="false">IF(AND(TRIM(F869)&lt;&gt;"",COUNTIF(F$2:F869,F869)=1),MAX(Q$1:Q868)+1,"")</f>
        <v/>
      </c>
    </row>
    <row r="870" customFormat="false" ht="15" hidden="false" customHeight="false" outlineLevel="0" collapsed="false">
      <c r="A870" s="9"/>
      <c r="B870" s="10"/>
      <c r="C870" s="11"/>
      <c r="D870" s="11"/>
      <c r="E870" s="11"/>
      <c r="F870" s="11"/>
      <c r="G870" s="12"/>
      <c r="H870" s="12"/>
      <c r="I870" s="10"/>
      <c r="J870" s="12"/>
      <c r="K870" s="13" t="str">
        <f aca="false">IF(ISNUMBER(B870),YEAR(B870),"")</f>
        <v/>
      </c>
      <c r="L870" s="13" t="str">
        <f aca="false">IF(ISNUMBER(B870),MONTH(B870),"")</f>
        <v/>
      </c>
      <c r="M870" s="13" t="str">
        <f aca="false">IF(AND(ISNUMBER(B870),ISNUMBER(I870)),B870-I870+1,"")</f>
        <v/>
      </c>
      <c r="N870" s="14" t="str">
        <f aca="false">IF(B870="","",IF(M870="","시작일 미입력",IF(M870&lt;1,"시작일 이전(확인)",IF(M870=1,"1일째",IF(M870=2,"2일째",IF(M870=3,"3일째",IF(M870&lt;=7,"일주일 이내",IF(M870&lt;=14,"이주일 이내","15일 이후"))))))))</f>
        <v/>
      </c>
      <c r="O870" s="0" t="str">
        <f aca="false">IF(AND(COUNTA($A870:$J870)&gt;0,OR(클레임조회!$C$4="",AND(ISNUMBER($B870),$B870&gt;=클레임조회!$C$4)),OR(클레임조회!$C$5="",AND(ISNUMBER($B870),$B870&lt;=클레임조회!$C$5)),OR(클레임조회!$C$6="",$C870=클레임조회!$C$6),OR(클레임조회!$C$7="",$D870=클레임조회!$C$7),OR(클레임조회!$C$8="",$E870=클레임조회!$C$8),OR(클레임조회!$C$9="",$F870=클레임조회!$C$9),OR(클레임조회!$C$10="",ISNUMBER(SEARCH(클레임조회!$C$10,$C870&amp;" "&amp;$F870&amp;" "&amp;$G870&amp;" "&amp;$H870)))),COUNT(O$1:O869)+1,"")</f>
        <v/>
      </c>
      <c r="P870" s="0" t="str">
        <f aca="false">IF(AND(TRIM(C870)&lt;&gt;"",COUNTIF(C$2:C870,C870)=1),MAX(P$1:P869)+1,"")</f>
        <v/>
      </c>
      <c r="Q870" s="0" t="str">
        <f aca="false">IF(AND(TRIM(F870)&lt;&gt;"",COUNTIF(F$2:F870,F870)=1),MAX(Q$1:Q869)+1,"")</f>
        <v/>
      </c>
    </row>
    <row r="871" customFormat="false" ht="15" hidden="false" customHeight="false" outlineLevel="0" collapsed="false">
      <c r="A871" s="9"/>
      <c r="B871" s="10"/>
      <c r="C871" s="11"/>
      <c r="D871" s="11"/>
      <c r="E871" s="11"/>
      <c r="F871" s="11"/>
      <c r="G871" s="12"/>
      <c r="H871" s="12"/>
      <c r="I871" s="10"/>
      <c r="J871" s="12"/>
      <c r="K871" s="13" t="str">
        <f aca="false">IF(ISNUMBER(B871),YEAR(B871),"")</f>
        <v/>
      </c>
      <c r="L871" s="13" t="str">
        <f aca="false">IF(ISNUMBER(B871),MONTH(B871),"")</f>
        <v/>
      </c>
      <c r="M871" s="13" t="str">
        <f aca="false">IF(AND(ISNUMBER(B871),ISNUMBER(I871)),B871-I871+1,"")</f>
        <v/>
      </c>
      <c r="N871" s="14" t="str">
        <f aca="false">IF(B871="","",IF(M871="","시작일 미입력",IF(M871&lt;1,"시작일 이전(확인)",IF(M871=1,"1일째",IF(M871=2,"2일째",IF(M871=3,"3일째",IF(M871&lt;=7,"일주일 이내",IF(M871&lt;=14,"이주일 이내","15일 이후"))))))))</f>
        <v/>
      </c>
      <c r="O871" s="0" t="str">
        <f aca="false">IF(AND(COUNTA($A871:$J871)&gt;0,OR(클레임조회!$C$4="",AND(ISNUMBER($B871),$B871&gt;=클레임조회!$C$4)),OR(클레임조회!$C$5="",AND(ISNUMBER($B871),$B871&lt;=클레임조회!$C$5)),OR(클레임조회!$C$6="",$C871=클레임조회!$C$6),OR(클레임조회!$C$7="",$D871=클레임조회!$C$7),OR(클레임조회!$C$8="",$E871=클레임조회!$C$8),OR(클레임조회!$C$9="",$F871=클레임조회!$C$9),OR(클레임조회!$C$10="",ISNUMBER(SEARCH(클레임조회!$C$10,$C871&amp;" "&amp;$F871&amp;" "&amp;$G871&amp;" "&amp;$H871)))),COUNT(O$1:O870)+1,"")</f>
        <v/>
      </c>
      <c r="P871" s="0" t="str">
        <f aca="false">IF(AND(TRIM(C871)&lt;&gt;"",COUNTIF(C$2:C871,C871)=1),MAX(P$1:P870)+1,"")</f>
        <v/>
      </c>
      <c r="Q871" s="0" t="str">
        <f aca="false">IF(AND(TRIM(F871)&lt;&gt;"",COUNTIF(F$2:F871,F871)=1),MAX(Q$1:Q870)+1,"")</f>
        <v/>
      </c>
    </row>
    <row r="872" customFormat="false" ht="15" hidden="false" customHeight="false" outlineLevel="0" collapsed="false">
      <c r="A872" s="9"/>
      <c r="B872" s="10"/>
      <c r="C872" s="11"/>
      <c r="D872" s="11"/>
      <c r="E872" s="11"/>
      <c r="F872" s="11"/>
      <c r="G872" s="12"/>
      <c r="H872" s="12"/>
      <c r="I872" s="10"/>
      <c r="J872" s="12"/>
      <c r="K872" s="13" t="str">
        <f aca="false">IF(ISNUMBER(B872),YEAR(B872),"")</f>
        <v/>
      </c>
      <c r="L872" s="13" t="str">
        <f aca="false">IF(ISNUMBER(B872),MONTH(B872),"")</f>
        <v/>
      </c>
      <c r="M872" s="13" t="str">
        <f aca="false">IF(AND(ISNUMBER(B872),ISNUMBER(I872)),B872-I872+1,"")</f>
        <v/>
      </c>
      <c r="N872" s="14" t="str">
        <f aca="false">IF(B872="","",IF(M872="","시작일 미입력",IF(M872&lt;1,"시작일 이전(확인)",IF(M872=1,"1일째",IF(M872=2,"2일째",IF(M872=3,"3일째",IF(M872&lt;=7,"일주일 이내",IF(M872&lt;=14,"이주일 이내","15일 이후"))))))))</f>
        <v/>
      </c>
      <c r="O872" s="0" t="str">
        <f aca="false">IF(AND(COUNTA($A872:$J872)&gt;0,OR(클레임조회!$C$4="",AND(ISNUMBER($B872),$B872&gt;=클레임조회!$C$4)),OR(클레임조회!$C$5="",AND(ISNUMBER($B872),$B872&lt;=클레임조회!$C$5)),OR(클레임조회!$C$6="",$C872=클레임조회!$C$6),OR(클레임조회!$C$7="",$D872=클레임조회!$C$7),OR(클레임조회!$C$8="",$E872=클레임조회!$C$8),OR(클레임조회!$C$9="",$F872=클레임조회!$C$9),OR(클레임조회!$C$10="",ISNUMBER(SEARCH(클레임조회!$C$10,$C872&amp;" "&amp;$F872&amp;" "&amp;$G872&amp;" "&amp;$H872)))),COUNT(O$1:O871)+1,"")</f>
        <v/>
      </c>
      <c r="P872" s="0" t="str">
        <f aca="false">IF(AND(TRIM(C872)&lt;&gt;"",COUNTIF(C$2:C872,C872)=1),MAX(P$1:P871)+1,"")</f>
        <v/>
      </c>
      <c r="Q872" s="0" t="str">
        <f aca="false">IF(AND(TRIM(F872)&lt;&gt;"",COUNTIF(F$2:F872,F872)=1),MAX(Q$1:Q871)+1,"")</f>
        <v/>
      </c>
    </row>
    <row r="873" customFormat="false" ht="15" hidden="false" customHeight="false" outlineLevel="0" collapsed="false">
      <c r="A873" s="9"/>
      <c r="B873" s="10"/>
      <c r="C873" s="11"/>
      <c r="D873" s="11"/>
      <c r="E873" s="11"/>
      <c r="F873" s="11"/>
      <c r="G873" s="12"/>
      <c r="H873" s="12"/>
      <c r="I873" s="10"/>
      <c r="J873" s="12"/>
      <c r="K873" s="13" t="str">
        <f aca="false">IF(ISNUMBER(B873),YEAR(B873),"")</f>
        <v/>
      </c>
      <c r="L873" s="13" t="str">
        <f aca="false">IF(ISNUMBER(B873),MONTH(B873),"")</f>
        <v/>
      </c>
      <c r="M873" s="13" t="str">
        <f aca="false">IF(AND(ISNUMBER(B873),ISNUMBER(I873)),B873-I873+1,"")</f>
        <v/>
      </c>
      <c r="N873" s="14" t="str">
        <f aca="false">IF(B873="","",IF(M873="","시작일 미입력",IF(M873&lt;1,"시작일 이전(확인)",IF(M873=1,"1일째",IF(M873=2,"2일째",IF(M873=3,"3일째",IF(M873&lt;=7,"일주일 이내",IF(M873&lt;=14,"이주일 이내","15일 이후"))))))))</f>
        <v/>
      </c>
      <c r="O873" s="0" t="str">
        <f aca="false">IF(AND(COUNTA($A873:$J873)&gt;0,OR(클레임조회!$C$4="",AND(ISNUMBER($B873),$B873&gt;=클레임조회!$C$4)),OR(클레임조회!$C$5="",AND(ISNUMBER($B873),$B873&lt;=클레임조회!$C$5)),OR(클레임조회!$C$6="",$C873=클레임조회!$C$6),OR(클레임조회!$C$7="",$D873=클레임조회!$C$7),OR(클레임조회!$C$8="",$E873=클레임조회!$C$8),OR(클레임조회!$C$9="",$F873=클레임조회!$C$9),OR(클레임조회!$C$10="",ISNUMBER(SEARCH(클레임조회!$C$10,$C873&amp;" "&amp;$F873&amp;" "&amp;$G873&amp;" "&amp;$H873)))),COUNT(O$1:O872)+1,"")</f>
        <v/>
      </c>
      <c r="P873" s="0" t="str">
        <f aca="false">IF(AND(TRIM(C873)&lt;&gt;"",COUNTIF(C$2:C873,C873)=1),MAX(P$1:P872)+1,"")</f>
        <v/>
      </c>
      <c r="Q873" s="0" t="str">
        <f aca="false">IF(AND(TRIM(F873)&lt;&gt;"",COUNTIF(F$2:F873,F873)=1),MAX(Q$1:Q872)+1,"")</f>
        <v/>
      </c>
    </row>
    <row r="874" customFormat="false" ht="15" hidden="false" customHeight="false" outlineLevel="0" collapsed="false">
      <c r="A874" s="9"/>
      <c r="B874" s="10"/>
      <c r="C874" s="11"/>
      <c r="D874" s="11"/>
      <c r="E874" s="11"/>
      <c r="F874" s="11"/>
      <c r="G874" s="12"/>
      <c r="H874" s="12"/>
      <c r="I874" s="10"/>
      <c r="J874" s="12"/>
      <c r="K874" s="13" t="str">
        <f aca="false">IF(ISNUMBER(B874),YEAR(B874),"")</f>
        <v/>
      </c>
      <c r="L874" s="13" t="str">
        <f aca="false">IF(ISNUMBER(B874),MONTH(B874),"")</f>
        <v/>
      </c>
      <c r="M874" s="13" t="str">
        <f aca="false">IF(AND(ISNUMBER(B874),ISNUMBER(I874)),B874-I874+1,"")</f>
        <v/>
      </c>
      <c r="N874" s="14" t="str">
        <f aca="false">IF(B874="","",IF(M874="","시작일 미입력",IF(M874&lt;1,"시작일 이전(확인)",IF(M874=1,"1일째",IF(M874=2,"2일째",IF(M874=3,"3일째",IF(M874&lt;=7,"일주일 이내",IF(M874&lt;=14,"이주일 이내","15일 이후"))))))))</f>
        <v/>
      </c>
      <c r="O874" s="0" t="str">
        <f aca="false">IF(AND(COUNTA($A874:$J874)&gt;0,OR(클레임조회!$C$4="",AND(ISNUMBER($B874),$B874&gt;=클레임조회!$C$4)),OR(클레임조회!$C$5="",AND(ISNUMBER($B874),$B874&lt;=클레임조회!$C$5)),OR(클레임조회!$C$6="",$C874=클레임조회!$C$6),OR(클레임조회!$C$7="",$D874=클레임조회!$C$7),OR(클레임조회!$C$8="",$E874=클레임조회!$C$8),OR(클레임조회!$C$9="",$F874=클레임조회!$C$9),OR(클레임조회!$C$10="",ISNUMBER(SEARCH(클레임조회!$C$10,$C874&amp;" "&amp;$F874&amp;" "&amp;$G874&amp;" "&amp;$H874)))),COUNT(O$1:O873)+1,"")</f>
        <v/>
      </c>
      <c r="P874" s="0" t="str">
        <f aca="false">IF(AND(TRIM(C874)&lt;&gt;"",COUNTIF(C$2:C874,C874)=1),MAX(P$1:P873)+1,"")</f>
        <v/>
      </c>
      <c r="Q874" s="0" t="str">
        <f aca="false">IF(AND(TRIM(F874)&lt;&gt;"",COUNTIF(F$2:F874,F874)=1),MAX(Q$1:Q873)+1,"")</f>
        <v/>
      </c>
    </row>
    <row r="875" customFormat="false" ht="15" hidden="false" customHeight="false" outlineLevel="0" collapsed="false">
      <c r="A875" s="9"/>
      <c r="B875" s="10"/>
      <c r="C875" s="11"/>
      <c r="D875" s="11"/>
      <c r="E875" s="11"/>
      <c r="F875" s="11"/>
      <c r="G875" s="12"/>
      <c r="H875" s="12"/>
      <c r="I875" s="10"/>
      <c r="J875" s="12"/>
      <c r="K875" s="13" t="str">
        <f aca="false">IF(ISNUMBER(B875),YEAR(B875),"")</f>
        <v/>
      </c>
      <c r="L875" s="13" t="str">
        <f aca="false">IF(ISNUMBER(B875),MONTH(B875),"")</f>
        <v/>
      </c>
      <c r="M875" s="13" t="str">
        <f aca="false">IF(AND(ISNUMBER(B875),ISNUMBER(I875)),B875-I875+1,"")</f>
        <v/>
      </c>
      <c r="N875" s="14" t="str">
        <f aca="false">IF(B875="","",IF(M875="","시작일 미입력",IF(M875&lt;1,"시작일 이전(확인)",IF(M875=1,"1일째",IF(M875=2,"2일째",IF(M875=3,"3일째",IF(M875&lt;=7,"일주일 이내",IF(M875&lt;=14,"이주일 이내","15일 이후"))))))))</f>
        <v/>
      </c>
      <c r="O875" s="0" t="str">
        <f aca="false">IF(AND(COUNTA($A875:$J875)&gt;0,OR(클레임조회!$C$4="",AND(ISNUMBER($B875),$B875&gt;=클레임조회!$C$4)),OR(클레임조회!$C$5="",AND(ISNUMBER($B875),$B875&lt;=클레임조회!$C$5)),OR(클레임조회!$C$6="",$C875=클레임조회!$C$6),OR(클레임조회!$C$7="",$D875=클레임조회!$C$7),OR(클레임조회!$C$8="",$E875=클레임조회!$C$8),OR(클레임조회!$C$9="",$F875=클레임조회!$C$9),OR(클레임조회!$C$10="",ISNUMBER(SEARCH(클레임조회!$C$10,$C875&amp;" "&amp;$F875&amp;" "&amp;$G875&amp;" "&amp;$H875)))),COUNT(O$1:O874)+1,"")</f>
        <v/>
      </c>
      <c r="P875" s="0" t="str">
        <f aca="false">IF(AND(TRIM(C875)&lt;&gt;"",COUNTIF(C$2:C875,C875)=1),MAX(P$1:P874)+1,"")</f>
        <v/>
      </c>
      <c r="Q875" s="0" t="str">
        <f aca="false">IF(AND(TRIM(F875)&lt;&gt;"",COUNTIF(F$2:F875,F875)=1),MAX(Q$1:Q874)+1,"")</f>
        <v/>
      </c>
    </row>
    <row r="876" customFormat="false" ht="15" hidden="false" customHeight="false" outlineLevel="0" collapsed="false">
      <c r="A876" s="9"/>
      <c r="B876" s="10"/>
      <c r="C876" s="11"/>
      <c r="D876" s="11"/>
      <c r="E876" s="11"/>
      <c r="F876" s="11"/>
      <c r="G876" s="12"/>
      <c r="H876" s="12"/>
      <c r="I876" s="10"/>
      <c r="J876" s="12"/>
      <c r="K876" s="13" t="str">
        <f aca="false">IF(ISNUMBER(B876),YEAR(B876),"")</f>
        <v/>
      </c>
      <c r="L876" s="13" t="str">
        <f aca="false">IF(ISNUMBER(B876),MONTH(B876),"")</f>
        <v/>
      </c>
      <c r="M876" s="13" t="str">
        <f aca="false">IF(AND(ISNUMBER(B876),ISNUMBER(I876)),B876-I876+1,"")</f>
        <v/>
      </c>
      <c r="N876" s="14" t="str">
        <f aca="false">IF(B876="","",IF(M876="","시작일 미입력",IF(M876&lt;1,"시작일 이전(확인)",IF(M876=1,"1일째",IF(M876=2,"2일째",IF(M876=3,"3일째",IF(M876&lt;=7,"일주일 이내",IF(M876&lt;=14,"이주일 이내","15일 이후"))))))))</f>
        <v/>
      </c>
      <c r="O876" s="0" t="str">
        <f aca="false">IF(AND(COUNTA($A876:$J876)&gt;0,OR(클레임조회!$C$4="",AND(ISNUMBER($B876),$B876&gt;=클레임조회!$C$4)),OR(클레임조회!$C$5="",AND(ISNUMBER($B876),$B876&lt;=클레임조회!$C$5)),OR(클레임조회!$C$6="",$C876=클레임조회!$C$6),OR(클레임조회!$C$7="",$D876=클레임조회!$C$7),OR(클레임조회!$C$8="",$E876=클레임조회!$C$8),OR(클레임조회!$C$9="",$F876=클레임조회!$C$9),OR(클레임조회!$C$10="",ISNUMBER(SEARCH(클레임조회!$C$10,$C876&amp;" "&amp;$F876&amp;" "&amp;$G876&amp;" "&amp;$H876)))),COUNT(O$1:O875)+1,"")</f>
        <v/>
      </c>
      <c r="P876" s="0" t="str">
        <f aca="false">IF(AND(TRIM(C876)&lt;&gt;"",COUNTIF(C$2:C876,C876)=1),MAX(P$1:P875)+1,"")</f>
        <v/>
      </c>
      <c r="Q876" s="0" t="str">
        <f aca="false">IF(AND(TRIM(F876)&lt;&gt;"",COUNTIF(F$2:F876,F876)=1),MAX(Q$1:Q875)+1,"")</f>
        <v/>
      </c>
    </row>
    <row r="877" customFormat="false" ht="15" hidden="false" customHeight="false" outlineLevel="0" collapsed="false">
      <c r="A877" s="9"/>
      <c r="B877" s="10"/>
      <c r="C877" s="11"/>
      <c r="D877" s="11"/>
      <c r="E877" s="11"/>
      <c r="F877" s="11"/>
      <c r="G877" s="12"/>
      <c r="H877" s="12"/>
      <c r="I877" s="10"/>
      <c r="J877" s="12"/>
      <c r="K877" s="13" t="str">
        <f aca="false">IF(ISNUMBER(B877),YEAR(B877),"")</f>
        <v/>
      </c>
      <c r="L877" s="13" t="str">
        <f aca="false">IF(ISNUMBER(B877),MONTH(B877),"")</f>
        <v/>
      </c>
      <c r="M877" s="13" t="str">
        <f aca="false">IF(AND(ISNUMBER(B877),ISNUMBER(I877)),B877-I877+1,"")</f>
        <v/>
      </c>
      <c r="N877" s="14" t="str">
        <f aca="false">IF(B877="","",IF(M877="","시작일 미입력",IF(M877&lt;1,"시작일 이전(확인)",IF(M877=1,"1일째",IF(M877=2,"2일째",IF(M877=3,"3일째",IF(M877&lt;=7,"일주일 이내",IF(M877&lt;=14,"이주일 이내","15일 이후"))))))))</f>
        <v/>
      </c>
      <c r="O877" s="0" t="str">
        <f aca="false">IF(AND(COUNTA($A877:$J877)&gt;0,OR(클레임조회!$C$4="",AND(ISNUMBER($B877),$B877&gt;=클레임조회!$C$4)),OR(클레임조회!$C$5="",AND(ISNUMBER($B877),$B877&lt;=클레임조회!$C$5)),OR(클레임조회!$C$6="",$C877=클레임조회!$C$6),OR(클레임조회!$C$7="",$D877=클레임조회!$C$7),OR(클레임조회!$C$8="",$E877=클레임조회!$C$8),OR(클레임조회!$C$9="",$F877=클레임조회!$C$9),OR(클레임조회!$C$10="",ISNUMBER(SEARCH(클레임조회!$C$10,$C877&amp;" "&amp;$F877&amp;" "&amp;$G877&amp;" "&amp;$H877)))),COUNT(O$1:O876)+1,"")</f>
        <v/>
      </c>
      <c r="P877" s="0" t="str">
        <f aca="false">IF(AND(TRIM(C877)&lt;&gt;"",COUNTIF(C$2:C877,C877)=1),MAX(P$1:P876)+1,"")</f>
        <v/>
      </c>
      <c r="Q877" s="0" t="str">
        <f aca="false">IF(AND(TRIM(F877)&lt;&gt;"",COUNTIF(F$2:F877,F877)=1),MAX(Q$1:Q876)+1,"")</f>
        <v/>
      </c>
    </row>
    <row r="878" customFormat="false" ht="15" hidden="false" customHeight="false" outlineLevel="0" collapsed="false">
      <c r="A878" s="9"/>
      <c r="B878" s="10"/>
      <c r="C878" s="11"/>
      <c r="D878" s="11"/>
      <c r="E878" s="11"/>
      <c r="F878" s="11"/>
      <c r="G878" s="12"/>
      <c r="H878" s="12"/>
      <c r="I878" s="10"/>
      <c r="J878" s="12"/>
      <c r="K878" s="13" t="str">
        <f aca="false">IF(ISNUMBER(B878),YEAR(B878),"")</f>
        <v/>
      </c>
      <c r="L878" s="13" t="str">
        <f aca="false">IF(ISNUMBER(B878),MONTH(B878),"")</f>
        <v/>
      </c>
      <c r="M878" s="13" t="str">
        <f aca="false">IF(AND(ISNUMBER(B878),ISNUMBER(I878)),B878-I878+1,"")</f>
        <v/>
      </c>
      <c r="N878" s="14" t="str">
        <f aca="false">IF(B878="","",IF(M878="","시작일 미입력",IF(M878&lt;1,"시작일 이전(확인)",IF(M878=1,"1일째",IF(M878=2,"2일째",IF(M878=3,"3일째",IF(M878&lt;=7,"일주일 이내",IF(M878&lt;=14,"이주일 이내","15일 이후"))))))))</f>
        <v/>
      </c>
      <c r="O878" s="0" t="str">
        <f aca="false">IF(AND(COUNTA($A878:$J878)&gt;0,OR(클레임조회!$C$4="",AND(ISNUMBER($B878),$B878&gt;=클레임조회!$C$4)),OR(클레임조회!$C$5="",AND(ISNUMBER($B878),$B878&lt;=클레임조회!$C$5)),OR(클레임조회!$C$6="",$C878=클레임조회!$C$6),OR(클레임조회!$C$7="",$D878=클레임조회!$C$7),OR(클레임조회!$C$8="",$E878=클레임조회!$C$8),OR(클레임조회!$C$9="",$F878=클레임조회!$C$9),OR(클레임조회!$C$10="",ISNUMBER(SEARCH(클레임조회!$C$10,$C878&amp;" "&amp;$F878&amp;" "&amp;$G878&amp;" "&amp;$H878)))),COUNT(O$1:O877)+1,"")</f>
        <v/>
      </c>
      <c r="P878" s="0" t="str">
        <f aca="false">IF(AND(TRIM(C878)&lt;&gt;"",COUNTIF(C$2:C878,C878)=1),MAX(P$1:P877)+1,"")</f>
        <v/>
      </c>
      <c r="Q878" s="0" t="str">
        <f aca="false">IF(AND(TRIM(F878)&lt;&gt;"",COUNTIF(F$2:F878,F878)=1),MAX(Q$1:Q877)+1,"")</f>
        <v/>
      </c>
    </row>
    <row r="879" customFormat="false" ht="15" hidden="false" customHeight="false" outlineLevel="0" collapsed="false">
      <c r="A879" s="9"/>
      <c r="B879" s="10"/>
      <c r="C879" s="11"/>
      <c r="D879" s="11"/>
      <c r="E879" s="11"/>
      <c r="F879" s="11"/>
      <c r="G879" s="12"/>
      <c r="H879" s="12"/>
      <c r="I879" s="10"/>
      <c r="J879" s="12"/>
      <c r="K879" s="13" t="str">
        <f aca="false">IF(ISNUMBER(B879),YEAR(B879),"")</f>
        <v/>
      </c>
      <c r="L879" s="13" t="str">
        <f aca="false">IF(ISNUMBER(B879),MONTH(B879),"")</f>
        <v/>
      </c>
      <c r="M879" s="13" t="str">
        <f aca="false">IF(AND(ISNUMBER(B879),ISNUMBER(I879)),B879-I879+1,"")</f>
        <v/>
      </c>
      <c r="N879" s="14" t="str">
        <f aca="false">IF(B879="","",IF(M879="","시작일 미입력",IF(M879&lt;1,"시작일 이전(확인)",IF(M879=1,"1일째",IF(M879=2,"2일째",IF(M879=3,"3일째",IF(M879&lt;=7,"일주일 이내",IF(M879&lt;=14,"이주일 이내","15일 이후"))))))))</f>
        <v/>
      </c>
      <c r="O879" s="0" t="str">
        <f aca="false">IF(AND(COUNTA($A879:$J879)&gt;0,OR(클레임조회!$C$4="",AND(ISNUMBER($B879),$B879&gt;=클레임조회!$C$4)),OR(클레임조회!$C$5="",AND(ISNUMBER($B879),$B879&lt;=클레임조회!$C$5)),OR(클레임조회!$C$6="",$C879=클레임조회!$C$6),OR(클레임조회!$C$7="",$D879=클레임조회!$C$7),OR(클레임조회!$C$8="",$E879=클레임조회!$C$8),OR(클레임조회!$C$9="",$F879=클레임조회!$C$9),OR(클레임조회!$C$10="",ISNUMBER(SEARCH(클레임조회!$C$10,$C879&amp;" "&amp;$F879&amp;" "&amp;$G879&amp;" "&amp;$H879)))),COUNT(O$1:O878)+1,"")</f>
        <v/>
      </c>
      <c r="P879" s="0" t="str">
        <f aca="false">IF(AND(TRIM(C879)&lt;&gt;"",COUNTIF(C$2:C879,C879)=1),MAX(P$1:P878)+1,"")</f>
        <v/>
      </c>
      <c r="Q879" s="0" t="str">
        <f aca="false">IF(AND(TRIM(F879)&lt;&gt;"",COUNTIF(F$2:F879,F879)=1),MAX(Q$1:Q878)+1,"")</f>
        <v/>
      </c>
    </row>
    <row r="880" customFormat="false" ht="15" hidden="false" customHeight="false" outlineLevel="0" collapsed="false">
      <c r="A880" s="9"/>
      <c r="B880" s="10"/>
      <c r="C880" s="11"/>
      <c r="D880" s="11"/>
      <c r="E880" s="11"/>
      <c r="F880" s="11"/>
      <c r="G880" s="12"/>
      <c r="H880" s="12"/>
      <c r="I880" s="10"/>
      <c r="J880" s="12"/>
      <c r="K880" s="13" t="str">
        <f aca="false">IF(ISNUMBER(B880),YEAR(B880),"")</f>
        <v/>
      </c>
      <c r="L880" s="13" t="str">
        <f aca="false">IF(ISNUMBER(B880),MONTH(B880),"")</f>
        <v/>
      </c>
      <c r="M880" s="13" t="str">
        <f aca="false">IF(AND(ISNUMBER(B880),ISNUMBER(I880)),B880-I880+1,"")</f>
        <v/>
      </c>
      <c r="N880" s="14" t="str">
        <f aca="false">IF(B880="","",IF(M880="","시작일 미입력",IF(M880&lt;1,"시작일 이전(확인)",IF(M880=1,"1일째",IF(M880=2,"2일째",IF(M880=3,"3일째",IF(M880&lt;=7,"일주일 이내",IF(M880&lt;=14,"이주일 이내","15일 이후"))))))))</f>
        <v/>
      </c>
      <c r="O880" s="0" t="str">
        <f aca="false">IF(AND(COUNTA($A880:$J880)&gt;0,OR(클레임조회!$C$4="",AND(ISNUMBER($B880),$B880&gt;=클레임조회!$C$4)),OR(클레임조회!$C$5="",AND(ISNUMBER($B880),$B880&lt;=클레임조회!$C$5)),OR(클레임조회!$C$6="",$C880=클레임조회!$C$6),OR(클레임조회!$C$7="",$D880=클레임조회!$C$7),OR(클레임조회!$C$8="",$E880=클레임조회!$C$8),OR(클레임조회!$C$9="",$F880=클레임조회!$C$9),OR(클레임조회!$C$10="",ISNUMBER(SEARCH(클레임조회!$C$10,$C880&amp;" "&amp;$F880&amp;" "&amp;$G880&amp;" "&amp;$H880)))),COUNT(O$1:O879)+1,"")</f>
        <v/>
      </c>
      <c r="P880" s="0" t="str">
        <f aca="false">IF(AND(TRIM(C880)&lt;&gt;"",COUNTIF(C$2:C880,C880)=1),MAX(P$1:P879)+1,"")</f>
        <v/>
      </c>
      <c r="Q880" s="0" t="str">
        <f aca="false">IF(AND(TRIM(F880)&lt;&gt;"",COUNTIF(F$2:F880,F880)=1),MAX(Q$1:Q879)+1,"")</f>
        <v/>
      </c>
    </row>
    <row r="881" customFormat="false" ht="15" hidden="false" customHeight="false" outlineLevel="0" collapsed="false">
      <c r="A881" s="9"/>
      <c r="B881" s="10"/>
      <c r="C881" s="11"/>
      <c r="D881" s="11"/>
      <c r="E881" s="11"/>
      <c r="F881" s="11"/>
      <c r="G881" s="12"/>
      <c r="H881" s="12"/>
      <c r="I881" s="10"/>
      <c r="J881" s="12"/>
      <c r="K881" s="13" t="str">
        <f aca="false">IF(ISNUMBER(B881),YEAR(B881),"")</f>
        <v/>
      </c>
      <c r="L881" s="13" t="str">
        <f aca="false">IF(ISNUMBER(B881),MONTH(B881),"")</f>
        <v/>
      </c>
      <c r="M881" s="13" t="str">
        <f aca="false">IF(AND(ISNUMBER(B881),ISNUMBER(I881)),B881-I881+1,"")</f>
        <v/>
      </c>
      <c r="N881" s="14" t="str">
        <f aca="false">IF(B881="","",IF(M881="","시작일 미입력",IF(M881&lt;1,"시작일 이전(확인)",IF(M881=1,"1일째",IF(M881=2,"2일째",IF(M881=3,"3일째",IF(M881&lt;=7,"일주일 이내",IF(M881&lt;=14,"이주일 이내","15일 이후"))))))))</f>
        <v/>
      </c>
      <c r="O881" s="0" t="str">
        <f aca="false">IF(AND(COUNTA($A881:$J881)&gt;0,OR(클레임조회!$C$4="",AND(ISNUMBER($B881),$B881&gt;=클레임조회!$C$4)),OR(클레임조회!$C$5="",AND(ISNUMBER($B881),$B881&lt;=클레임조회!$C$5)),OR(클레임조회!$C$6="",$C881=클레임조회!$C$6),OR(클레임조회!$C$7="",$D881=클레임조회!$C$7),OR(클레임조회!$C$8="",$E881=클레임조회!$C$8),OR(클레임조회!$C$9="",$F881=클레임조회!$C$9),OR(클레임조회!$C$10="",ISNUMBER(SEARCH(클레임조회!$C$10,$C881&amp;" "&amp;$F881&amp;" "&amp;$G881&amp;" "&amp;$H881)))),COUNT(O$1:O880)+1,"")</f>
        <v/>
      </c>
      <c r="P881" s="0" t="str">
        <f aca="false">IF(AND(TRIM(C881)&lt;&gt;"",COUNTIF(C$2:C881,C881)=1),MAX(P$1:P880)+1,"")</f>
        <v/>
      </c>
      <c r="Q881" s="0" t="str">
        <f aca="false">IF(AND(TRIM(F881)&lt;&gt;"",COUNTIF(F$2:F881,F881)=1),MAX(Q$1:Q880)+1,"")</f>
        <v/>
      </c>
    </row>
    <row r="882" customFormat="false" ht="15" hidden="false" customHeight="false" outlineLevel="0" collapsed="false">
      <c r="A882" s="9"/>
      <c r="B882" s="10"/>
      <c r="C882" s="11"/>
      <c r="D882" s="11"/>
      <c r="E882" s="11"/>
      <c r="F882" s="11"/>
      <c r="G882" s="12"/>
      <c r="H882" s="12"/>
      <c r="I882" s="10"/>
      <c r="J882" s="12"/>
      <c r="K882" s="13" t="str">
        <f aca="false">IF(ISNUMBER(B882),YEAR(B882),"")</f>
        <v/>
      </c>
      <c r="L882" s="13" t="str">
        <f aca="false">IF(ISNUMBER(B882),MONTH(B882),"")</f>
        <v/>
      </c>
      <c r="M882" s="13" t="str">
        <f aca="false">IF(AND(ISNUMBER(B882),ISNUMBER(I882)),B882-I882+1,"")</f>
        <v/>
      </c>
      <c r="N882" s="14" t="str">
        <f aca="false">IF(B882="","",IF(M882="","시작일 미입력",IF(M882&lt;1,"시작일 이전(확인)",IF(M882=1,"1일째",IF(M882=2,"2일째",IF(M882=3,"3일째",IF(M882&lt;=7,"일주일 이내",IF(M882&lt;=14,"이주일 이내","15일 이후"))))))))</f>
        <v/>
      </c>
      <c r="O882" s="0" t="str">
        <f aca="false">IF(AND(COUNTA($A882:$J882)&gt;0,OR(클레임조회!$C$4="",AND(ISNUMBER($B882),$B882&gt;=클레임조회!$C$4)),OR(클레임조회!$C$5="",AND(ISNUMBER($B882),$B882&lt;=클레임조회!$C$5)),OR(클레임조회!$C$6="",$C882=클레임조회!$C$6),OR(클레임조회!$C$7="",$D882=클레임조회!$C$7),OR(클레임조회!$C$8="",$E882=클레임조회!$C$8),OR(클레임조회!$C$9="",$F882=클레임조회!$C$9),OR(클레임조회!$C$10="",ISNUMBER(SEARCH(클레임조회!$C$10,$C882&amp;" "&amp;$F882&amp;" "&amp;$G882&amp;" "&amp;$H882)))),COUNT(O$1:O881)+1,"")</f>
        <v/>
      </c>
      <c r="P882" s="0" t="str">
        <f aca="false">IF(AND(TRIM(C882)&lt;&gt;"",COUNTIF(C$2:C882,C882)=1),MAX(P$1:P881)+1,"")</f>
        <v/>
      </c>
      <c r="Q882" s="0" t="str">
        <f aca="false">IF(AND(TRIM(F882)&lt;&gt;"",COUNTIF(F$2:F882,F882)=1),MAX(Q$1:Q881)+1,"")</f>
        <v/>
      </c>
    </row>
    <row r="883" customFormat="false" ht="15" hidden="false" customHeight="false" outlineLevel="0" collapsed="false">
      <c r="A883" s="9"/>
      <c r="B883" s="10"/>
      <c r="C883" s="11"/>
      <c r="D883" s="11"/>
      <c r="E883" s="11"/>
      <c r="F883" s="11"/>
      <c r="G883" s="12"/>
      <c r="H883" s="12"/>
      <c r="I883" s="10"/>
      <c r="J883" s="12"/>
      <c r="K883" s="13" t="str">
        <f aca="false">IF(ISNUMBER(B883),YEAR(B883),"")</f>
        <v/>
      </c>
      <c r="L883" s="13" t="str">
        <f aca="false">IF(ISNUMBER(B883),MONTH(B883),"")</f>
        <v/>
      </c>
      <c r="M883" s="13" t="str">
        <f aca="false">IF(AND(ISNUMBER(B883),ISNUMBER(I883)),B883-I883+1,"")</f>
        <v/>
      </c>
      <c r="N883" s="14" t="str">
        <f aca="false">IF(B883="","",IF(M883="","시작일 미입력",IF(M883&lt;1,"시작일 이전(확인)",IF(M883=1,"1일째",IF(M883=2,"2일째",IF(M883=3,"3일째",IF(M883&lt;=7,"일주일 이내",IF(M883&lt;=14,"이주일 이내","15일 이후"))))))))</f>
        <v/>
      </c>
      <c r="O883" s="0" t="str">
        <f aca="false">IF(AND(COUNTA($A883:$J883)&gt;0,OR(클레임조회!$C$4="",AND(ISNUMBER($B883),$B883&gt;=클레임조회!$C$4)),OR(클레임조회!$C$5="",AND(ISNUMBER($B883),$B883&lt;=클레임조회!$C$5)),OR(클레임조회!$C$6="",$C883=클레임조회!$C$6),OR(클레임조회!$C$7="",$D883=클레임조회!$C$7),OR(클레임조회!$C$8="",$E883=클레임조회!$C$8),OR(클레임조회!$C$9="",$F883=클레임조회!$C$9),OR(클레임조회!$C$10="",ISNUMBER(SEARCH(클레임조회!$C$10,$C883&amp;" "&amp;$F883&amp;" "&amp;$G883&amp;" "&amp;$H883)))),COUNT(O$1:O882)+1,"")</f>
        <v/>
      </c>
      <c r="P883" s="0" t="str">
        <f aca="false">IF(AND(TRIM(C883)&lt;&gt;"",COUNTIF(C$2:C883,C883)=1),MAX(P$1:P882)+1,"")</f>
        <v/>
      </c>
      <c r="Q883" s="0" t="str">
        <f aca="false">IF(AND(TRIM(F883)&lt;&gt;"",COUNTIF(F$2:F883,F883)=1),MAX(Q$1:Q882)+1,"")</f>
        <v/>
      </c>
    </row>
    <row r="884" customFormat="false" ht="15" hidden="false" customHeight="false" outlineLevel="0" collapsed="false">
      <c r="A884" s="9"/>
      <c r="B884" s="10"/>
      <c r="C884" s="11"/>
      <c r="D884" s="11"/>
      <c r="E884" s="11"/>
      <c r="F884" s="11"/>
      <c r="G884" s="12"/>
      <c r="H884" s="12"/>
      <c r="I884" s="10"/>
      <c r="J884" s="12"/>
      <c r="K884" s="13" t="str">
        <f aca="false">IF(ISNUMBER(B884),YEAR(B884),"")</f>
        <v/>
      </c>
      <c r="L884" s="13" t="str">
        <f aca="false">IF(ISNUMBER(B884),MONTH(B884),"")</f>
        <v/>
      </c>
      <c r="M884" s="13" t="str">
        <f aca="false">IF(AND(ISNUMBER(B884),ISNUMBER(I884)),B884-I884+1,"")</f>
        <v/>
      </c>
      <c r="N884" s="14" t="str">
        <f aca="false">IF(B884="","",IF(M884="","시작일 미입력",IF(M884&lt;1,"시작일 이전(확인)",IF(M884=1,"1일째",IF(M884=2,"2일째",IF(M884=3,"3일째",IF(M884&lt;=7,"일주일 이내",IF(M884&lt;=14,"이주일 이내","15일 이후"))))))))</f>
        <v/>
      </c>
      <c r="O884" s="0" t="str">
        <f aca="false">IF(AND(COUNTA($A884:$J884)&gt;0,OR(클레임조회!$C$4="",AND(ISNUMBER($B884),$B884&gt;=클레임조회!$C$4)),OR(클레임조회!$C$5="",AND(ISNUMBER($B884),$B884&lt;=클레임조회!$C$5)),OR(클레임조회!$C$6="",$C884=클레임조회!$C$6),OR(클레임조회!$C$7="",$D884=클레임조회!$C$7),OR(클레임조회!$C$8="",$E884=클레임조회!$C$8),OR(클레임조회!$C$9="",$F884=클레임조회!$C$9),OR(클레임조회!$C$10="",ISNUMBER(SEARCH(클레임조회!$C$10,$C884&amp;" "&amp;$F884&amp;" "&amp;$G884&amp;" "&amp;$H884)))),COUNT(O$1:O883)+1,"")</f>
        <v/>
      </c>
      <c r="P884" s="0" t="str">
        <f aca="false">IF(AND(TRIM(C884)&lt;&gt;"",COUNTIF(C$2:C884,C884)=1),MAX(P$1:P883)+1,"")</f>
        <v/>
      </c>
      <c r="Q884" s="0" t="str">
        <f aca="false">IF(AND(TRIM(F884)&lt;&gt;"",COUNTIF(F$2:F884,F884)=1),MAX(Q$1:Q883)+1,"")</f>
        <v/>
      </c>
    </row>
    <row r="885" customFormat="false" ht="15" hidden="false" customHeight="false" outlineLevel="0" collapsed="false">
      <c r="A885" s="9"/>
      <c r="B885" s="10"/>
      <c r="C885" s="11"/>
      <c r="D885" s="11"/>
      <c r="E885" s="11"/>
      <c r="F885" s="11"/>
      <c r="G885" s="12"/>
      <c r="H885" s="12"/>
      <c r="I885" s="10"/>
      <c r="J885" s="12"/>
      <c r="K885" s="13" t="str">
        <f aca="false">IF(ISNUMBER(B885),YEAR(B885),"")</f>
        <v/>
      </c>
      <c r="L885" s="13" t="str">
        <f aca="false">IF(ISNUMBER(B885),MONTH(B885),"")</f>
        <v/>
      </c>
      <c r="M885" s="13" t="str">
        <f aca="false">IF(AND(ISNUMBER(B885),ISNUMBER(I885)),B885-I885+1,"")</f>
        <v/>
      </c>
      <c r="N885" s="14" t="str">
        <f aca="false">IF(B885="","",IF(M885="","시작일 미입력",IF(M885&lt;1,"시작일 이전(확인)",IF(M885=1,"1일째",IF(M885=2,"2일째",IF(M885=3,"3일째",IF(M885&lt;=7,"일주일 이내",IF(M885&lt;=14,"이주일 이내","15일 이후"))))))))</f>
        <v/>
      </c>
      <c r="O885" s="0" t="str">
        <f aca="false">IF(AND(COUNTA($A885:$J885)&gt;0,OR(클레임조회!$C$4="",AND(ISNUMBER($B885),$B885&gt;=클레임조회!$C$4)),OR(클레임조회!$C$5="",AND(ISNUMBER($B885),$B885&lt;=클레임조회!$C$5)),OR(클레임조회!$C$6="",$C885=클레임조회!$C$6),OR(클레임조회!$C$7="",$D885=클레임조회!$C$7),OR(클레임조회!$C$8="",$E885=클레임조회!$C$8),OR(클레임조회!$C$9="",$F885=클레임조회!$C$9),OR(클레임조회!$C$10="",ISNUMBER(SEARCH(클레임조회!$C$10,$C885&amp;" "&amp;$F885&amp;" "&amp;$G885&amp;" "&amp;$H885)))),COUNT(O$1:O884)+1,"")</f>
        <v/>
      </c>
      <c r="P885" s="0" t="str">
        <f aca="false">IF(AND(TRIM(C885)&lt;&gt;"",COUNTIF(C$2:C885,C885)=1),MAX(P$1:P884)+1,"")</f>
        <v/>
      </c>
      <c r="Q885" s="0" t="str">
        <f aca="false">IF(AND(TRIM(F885)&lt;&gt;"",COUNTIF(F$2:F885,F885)=1),MAX(Q$1:Q884)+1,"")</f>
        <v/>
      </c>
    </row>
    <row r="886" customFormat="false" ht="15" hidden="false" customHeight="false" outlineLevel="0" collapsed="false">
      <c r="A886" s="9"/>
      <c r="B886" s="10"/>
      <c r="C886" s="11"/>
      <c r="D886" s="11"/>
      <c r="E886" s="11"/>
      <c r="F886" s="11"/>
      <c r="G886" s="12"/>
      <c r="H886" s="12"/>
      <c r="I886" s="10"/>
      <c r="J886" s="12"/>
      <c r="K886" s="13" t="str">
        <f aca="false">IF(ISNUMBER(B886),YEAR(B886),"")</f>
        <v/>
      </c>
      <c r="L886" s="13" t="str">
        <f aca="false">IF(ISNUMBER(B886),MONTH(B886),"")</f>
        <v/>
      </c>
      <c r="M886" s="13" t="str">
        <f aca="false">IF(AND(ISNUMBER(B886),ISNUMBER(I886)),B886-I886+1,"")</f>
        <v/>
      </c>
      <c r="N886" s="14" t="str">
        <f aca="false">IF(B886="","",IF(M886="","시작일 미입력",IF(M886&lt;1,"시작일 이전(확인)",IF(M886=1,"1일째",IF(M886=2,"2일째",IF(M886=3,"3일째",IF(M886&lt;=7,"일주일 이내",IF(M886&lt;=14,"이주일 이내","15일 이후"))))))))</f>
        <v/>
      </c>
      <c r="O886" s="0" t="str">
        <f aca="false">IF(AND(COUNTA($A886:$J886)&gt;0,OR(클레임조회!$C$4="",AND(ISNUMBER($B886),$B886&gt;=클레임조회!$C$4)),OR(클레임조회!$C$5="",AND(ISNUMBER($B886),$B886&lt;=클레임조회!$C$5)),OR(클레임조회!$C$6="",$C886=클레임조회!$C$6),OR(클레임조회!$C$7="",$D886=클레임조회!$C$7),OR(클레임조회!$C$8="",$E886=클레임조회!$C$8),OR(클레임조회!$C$9="",$F886=클레임조회!$C$9),OR(클레임조회!$C$10="",ISNUMBER(SEARCH(클레임조회!$C$10,$C886&amp;" "&amp;$F886&amp;" "&amp;$G886&amp;" "&amp;$H886)))),COUNT(O$1:O885)+1,"")</f>
        <v/>
      </c>
      <c r="P886" s="0" t="str">
        <f aca="false">IF(AND(TRIM(C886)&lt;&gt;"",COUNTIF(C$2:C886,C886)=1),MAX(P$1:P885)+1,"")</f>
        <v/>
      </c>
      <c r="Q886" s="0" t="str">
        <f aca="false">IF(AND(TRIM(F886)&lt;&gt;"",COUNTIF(F$2:F886,F886)=1),MAX(Q$1:Q885)+1,"")</f>
        <v/>
      </c>
    </row>
    <row r="887" customFormat="false" ht="15" hidden="false" customHeight="false" outlineLevel="0" collapsed="false">
      <c r="A887" s="9"/>
      <c r="B887" s="10"/>
      <c r="C887" s="11"/>
      <c r="D887" s="11"/>
      <c r="E887" s="11"/>
      <c r="F887" s="11"/>
      <c r="G887" s="12"/>
      <c r="H887" s="12"/>
      <c r="I887" s="10"/>
      <c r="J887" s="12"/>
      <c r="K887" s="13" t="str">
        <f aca="false">IF(ISNUMBER(B887),YEAR(B887),"")</f>
        <v/>
      </c>
      <c r="L887" s="13" t="str">
        <f aca="false">IF(ISNUMBER(B887),MONTH(B887),"")</f>
        <v/>
      </c>
      <c r="M887" s="13" t="str">
        <f aca="false">IF(AND(ISNUMBER(B887),ISNUMBER(I887)),B887-I887+1,"")</f>
        <v/>
      </c>
      <c r="N887" s="14" t="str">
        <f aca="false">IF(B887="","",IF(M887="","시작일 미입력",IF(M887&lt;1,"시작일 이전(확인)",IF(M887=1,"1일째",IF(M887=2,"2일째",IF(M887=3,"3일째",IF(M887&lt;=7,"일주일 이내",IF(M887&lt;=14,"이주일 이내","15일 이후"))))))))</f>
        <v/>
      </c>
      <c r="O887" s="0" t="str">
        <f aca="false">IF(AND(COUNTA($A887:$J887)&gt;0,OR(클레임조회!$C$4="",AND(ISNUMBER($B887),$B887&gt;=클레임조회!$C$4)),OR(클레임조회!$C$5="",AND(ISNUMBER($B887),$B887&lt;=클레임조회!$C$5)),OR(클레임조회!$C$6="",$C887=클레임조회!$C$6),OR(클레임조회!$C$7="",$D887=클레임조회!$C$7),OR(클레임조회!$C$8="",$E887=클레임조회!$C$8),OR(클레임조회!$C$9="",$F887=클레임조회!$C$9),OR(클레임조회!$C$10="",ISNUMBER(SEARCH(클레임조회!$C$10,$C887&amp;" "&amp;$F887&amp;" "&amp;$G887&amp;" "&amp;$H887)))),COUNT(O$1:O886)+1,"")</f>
        <v/>
      </c>
      <c r="P887" s="0" t="str">
        <f aca="false">IF(AND(TRIM(C887)&lt;&gt;"",COUNTIF(C$2:C887,C887)=1),MAX(P$1:P886)+1,"")</f>
        <v/>
      </c>
      <c r="Q887" s="0" t="str">
        <f aca="false">IF(AND(TRIM(F887)&lt;&gt;"",COUNTIF(F$2:F887,F887)=1),MAX(Q$1:Q886)+1,"")</f>
        <v/>
      </c>
    </row>
    <row r="888" customFormat="false" ht="15" hidden="false" customHeight="false" outlineLevel="0" collapsed="false">
      <c r="A888" s="9"/>
      <c r="B888" s="10"/>
      <c r="C888" s="11"/>
      <c r="D888" s="11"/>
      <c r="E888" s="11"/>
      <c r="F888" s="11"/>
      <c r="G888" s="12"/>
      <c r="H888" s="12"/>
      <c r="I888" s="10"/>
      <c r="J888" s="12"/>
      <c r="K888" s="13" t="str">
        <f aca="false">IF(ISNUMBER(B888),YEAR(B888),"")</f>
        <v/>
      </c>
      <c r="L888" s="13" t="str">
        <f aca="false">IF(ISNUMBER(B888),MONTH(B888),"")</f>
        <v/>
      </c>
      <c r="M888" s="13" t="str">
        <f aca="false">IF(AND(ISNUMBER(B888),ISNUMBER(I888)),B888-I888+1,"")</f>
        <v/>
      </c>
      <c r="N888" s="14" t="str">
        <f aca="false">IF(B888="","",IF(M888="","시작일 미입력",IF(M888&lt;1,"시작일 이전(확인)",IF(M888=1,"1일째",IF(M888=2,"2일째",IF(M888=3,"3일째",IF(M888&lt;=7,"일주일 이내",IF(M888&lt;=14,"이주일 이내","15일 이후"))))))))</f>
        <v/>
      </c>
      <c r="O888" s="0" t="str">
        <f aca="false">IF(AND(COUNTA($A888:$J888)&gt;0,OR(클레임조회!$C$4="",AND(ISNUMBER($B888),$B888&gt;=클레임조회!$C$4)),OR(클레임조회!$C$5="",AND(ISNUMBER($B888),$B888&lt;=클레임조회!$C$5)),OR(클레임조회!$C$6="",$C888=클레임조회!$C$6),OR(클레임조회!$C$7="",$D888=클레임조회!$C$7),OR(클레임조회!$C$8="",$E888=클레임조회!$C$8),OR(클레임조회!$C$9="",$F888=클레임조회!$C$9),OR(클레임조회!$C$10="",ISNUMBER(SEARCH(클레임조회!$C$10,$C888&amp;" "&amp;$F888&amp;" "&amp;$G888&amp;" "&amp;$H888)))),COUNT(O$1:O887)+1,"")</f>
        <v/>
      </c>
      <c r="P888" s="0" t="str">
        <f aca="false">IF(AND(TRIM(C888)&lt;&gt;"",COUNTIF(C$2:C888,C888)=1),MAX(P$1:P887)+1,"")</f>
        <v/>
      </c>
      <c r="Q888" s="0" t="str">
        <f aca="false">IF(AND(TRIM(F888)&lt;&gt;"",COUNTIF(F$2:F888,F888)=1),MAX(Q$1:Q887)+1,"")</f>
        <v/>
      </c>
    </row>
    <row r="889" customFormat="false" ht="15" hidden="false" customHeight="false" outlineLevel="0" collapsed="false">
      <c r="A889" s="9"/>
      <c r="B889" s="10"/>
      <c r="C889" s="11"/>
      <c r="D889" s="11"/>
      <c r="E889" s="11"/>
      <c r="F889" s="11"/>
      <c r="G889" s="12"/>
      <c r="H889" s="12"/>
      <c r="I889" s="10"/>
      <c r="J889" s="12"/>
      <c r="K889" s="13" t="str">
        <f aca="false">IF(ISNUMBER(B889),YEAR(B889),"")</f>
        <v/>
      </c>
      <c r="L889" s="13" t="str">
        <f aca="false">IF(ISNUMBER(B889),MONTH(B889),"")</f>
        <v/>
      </c>
      <c r="M889" s="13" t="str">
        <f aca="false">IF(AND(ISNUMBER(B889),ISNUMBER(I889)),B889-I889+1,"")</f>
        <v/>
      </c>
      <c r="N889" s="14" t="str">
        <f aca="false">IF(B889="","",IF(M889="","시작일 미입력",IF(M889&lt;1,"시작일 이전(확인)",IF(M889=1,"1일째",IF(M889=2,"2일째",IF(M889=3,"3일째",IF(M889&lt;=7,"일주일 이내",IF(M889&lt;=14,"이주일 이내","15일 이후"))))))))</f>
        <v/>
      </c>
      <c r="O889" s="0" t="str">
        <f aca="false">IF(AND(COUNTA($A889:$J889)&gt;0,OR(클레임조회!$C$4="",AND(ISNUMBER($B889),$B889&gt;=클레임조회!$C$4)),OR(클레임조회!$C$5="",AND(ISNUMBER($B889),$B889&lt;=클레임조회!$C$5)),OR(클레임조회!$C$6="",$C889=클레임조회!$C$6),OR(클레임조회!$C$7="",$D889=클레임조회!$C$7),OR(클레임조회!$C$8="",$E889=클레임조회!$C$8),OR(클레임조회!$C$9="",$F889=클레임조회!$C$9),OR(클레임조회!$C$10="",ISNUMBER(SEARCH(클레임조회!$C$10,$C889&amp;" "&amp;$F889&amp;" "&amp;$G889&amp;" "&amp;$H889)))),COUNT(O$1:O888)+1,"")</f>
        <v/>
      </c>
      <c r="P889" s="0" t="str">
        <f aca="false">IF(AND(TRIM(C889)&lt;&gt;"",COUNTIF(C$2:C889,C889)=1),MAX(P$1:P888)+1,"")</f>
        <v/>
      </c>
      <c r="Q889" s="0" t="str">
        <f aca="false">IF(AND(TRIM(F889)&lt;&gt;"",COUNTIF(F$2:F889,F889)=1),MAX(Q$1:Q888)+1,"")</f>
        <v/>
      </c>
    </row>
    <row r="890" customFormat="false" ht="15" hidden="false" customHeight="false" outlineLevel="0" collapsed="false">
      <c r="A890" s="9"/>
      <c r="B890" s="10"/>
      <c r="C890" s="11"/>
      <c r="D890" s="11"/>
      <c r="E890" s="11"/>
      <c r="F890" s="11"/>
      <c r="G890" s="12"/>
      <c r="H890" s="12"/>
      <c r="I890" s="10"/>
      <c r="J890" s="12"/>
      <c r="K890" s="13" t="str">
        <f aca="false">IF(ISNUMBER(B890),YEAR(B890),"")</f>
        <v/>
      </c>
      <c r="L890" s="13" t="str">
        <f aca="false">IF(ISNUMBER(B890),MONTH(B890),"")</f>
        <v/>
      </c>
      <c r="M890" s="13" t="str">
        <f aca="false">IF(AND(ISNUMBER(B890),ISNUMBER(I890)),B890-I890+1,"")</f>
        <v/>
      </c>
      <c r="N890" s="14" t="str">
        <f aca="false">IF(B890="","",IF(M890="","시작일 미입력",IF(M890&lt;1,"시작일 이전(확인)",IF(M890=1,"1일째",IF(M890=2,"2일째",IF(M890=3,"3일째",IF(M890&lt;=7,"일주일 이내",IF(M890&lt;=14,"이주일 이내","15일 이후"))))))))</f>
        <v/>
      </c>
      <c r="O890" s="0" t="str">
        <f aca="false">IF(AND(COUNTA($A890:$J890)&gt;0,OR(클레임조회!$C$4="",AND(ISNUMBER($B890),$B890&gt;=클레임조회!$C$4)),OR(클레임조회!$C$5="",AND(ISNUMBER($B890),$B890&lt;=클레임조회!$C$5)),OR(클레임조회!$C$6="",$C890=클레임조회!$C$6),OR(클레임조회!$C$7="",$D890=클레임조회!$C$7),OR(클레임조회!$C$8="",$E890=클레임조회!$C$8),OR(클레임조회!$C$9="",$F890=클레임조회!$C$9),OR(클레임조회!$C$10="",ISNUMBER(SEARCH(클레임조회!$C$10,$C890&amp;" "&amp;$F890&amp;" "&amp;$G890&amp;" "&amp;$H890)))),COUNT(O$1:O889)+1,"")</f>
        <v/>
      </c>
      <c r="P890" s="0" t="str">
        <f aca="false">IF(AND(TRIM(C890)&lt;&gt;"",COUNTIF(C$2:C890,C890)=1),MAX(P$1:P889)+1,"")</f>
        <v/>
      </c>
      <c r="Q890" s="0" t="str">
        <f aca="false">IF(AND(TRIM(F890)&lt;&gt;"",COUNTIF(F$2:F890,F890)=1),MAX(Q$1:Q889)+1,"")</f>
        <v/>
      </c>
    </row>
    <row r="891" customFormat="false" ht="15" hidden="false" customHeight="false" outlineLevel="0" collapsed="false">
      <c r="A891" s="9"/>
      <c r="B891" s="10"/>
      <c r="C891" s="11"/>
      <c r="D891" s="11"/>
      <c r="E891" s="11"/>
      <c r="F891" s="11"/>
      <c r="G891" s="12"/>
      <c r="H891" s="12"/>
      <c r="I891" s="10"/>
      <c r="J891" s="12"/>
      <c r="K891" s="13" t="str">
        <f aca="false">IF(ISNUMBER(B891),YEAR(B891),"")</f>
        <v/>
      </c>
      <c r="L891" s="13" t="str">
        <f aca="false">IF(ISNUMBER(B891),MONTH(B891),"")</f>
        <v/>
      </c>
      <c r="M891" s="13" t="str">
        <f aca="false">IF(AND(ISNUMBER(B891),ISNUMBER(I891)),B891-I891+1,"")</f>
        <v/>
      </c>
      <c r="N891" s="14" t="str">
        <f aca="false">IF(B891="","",IF(M891="","시작일 미입력",IF(M891&lt;1,"시작일 이전(확인)",IF(M891=1,"1일째",IF(M891=2,"2일째",IF(M891=3,"3일째",IF(M891&lt;=7,"일주일 이내",IF(M891&lt;=14,"이주일 이내","15일 이후"))))))))</f>
        <v/>
      </c>
      <c r="O891" s="0" t="str">
        <f aca="false">IF(AND(COUNTA($A891:$J891)&gt;0,OR(클레임조회!$C$4="",AND(ISNUMBER($B891),$B891&gt;=클레임조회!$C$4)),OR(클레임조회!$C$5="",AND(ISNUMBER($B891),$B891&lt;=클레임조회!$C$5)),OR(클레임조회!$C$6="",$C891=클레임조회!$C$6),OR(클레임조회!$C$7="",$D891=클레임조회!$C$7),OR(클레임조회!$C$8="",$E891=클레임조회!$C$8),OR(클레임조회!$C$9="",$F891=클레임조회!$C$9),OR(클레임조회!$C$10="",ISNUMBER(SEARCH(클레임조회!$C$10,$C891&amp;" "&amp;$F891&amp;" "&amp;$G891&amp;" "&amp;$H891)))),COUNT(O$1:O890)+1,"")</f>
        <v/>
      </c>
      <c r="P891" s="0" t="str">
        <f aca="false">IF(AND(TRIM(C891)&lt;&gt;"",COUNTIF(C$2:C891,C891)=1),MAX(P$1:P890)+1,"")</f>
        <v/>
      </c>
      <c r="Q891" s="0" t="str">
        <f aca="false">IF(AND(TRIM(F891)&lt;&gt;"",COUNTIF(F$2:F891,F891)=1),MAX(Q$1:Q890)+1,"")</f>
        <v/>
      </c>
    </row>
    <row r="892" customFormat="false" ht="15" hidden="false" customHeight="false" outlineLevel="0" collapsed="false">
      <c r="A892" s="9"/>
      <c r="B892" s="10"/>
      <c r="C892" s="11"/>
      <c r="D892" s="11"/>
      <c r="E892" s="11"/>
      <c r="F892" s="11"/>
      <c r="G892" s="12"/>
      <c r="H892" s="12"/>
      <c r="I892" s="10"/>
      <c r="J892" s="12"/>
      <c r="K892" s="13" t="str">
        <f aca="false">IF(ISNUMBER(B892),YEAR(B892),"")</f>
        <v/>
      </c>
      <c r="L892" s="13" t="str">
        <f aca="false">IF(ISNUMBER(B892),MONTH(B892),"")</f>
        <v/>
      </c>
      <c r="M892" s="13" t="str">
        <f aca="false">IF(AND(ISNUMBER(B892),ISNUMBER(I892)),B892-I892+1,"")</f>
        <v/>
      </c>
      <c r="N892" s="14" t="str">
        <f aca="false">IF(B892="","",IF(M892="","시작일 미입력",IF(M892&lt;1,"시작일 이전(확인)",IF(M892=1,"1일째",IF(M892=2,"2일째",IF(M892=3,"3일째",IF(M892&lt;=7,"일주일 이내",IF(M892&lt;=14,"이주일 이내","15일 이후"))))))))</f>
        <v/>
      </c>
      <c r="O892" s="0" t="str">
        <f aca="false">IF(AND(COUNTA($A892:$J892)&gt;0,OR(클레임조회!$C$4="",AND(ISNUMBER($B892),$B892&gt;=클레임조회!$C$4)),OR(클레임조회!$C$5="",AND(ISNUMBER($B892),$B892&lt;=클레임조회!$C$5)),OR(클레임조회!$C$6="",$C892=클레임조회!$C$6),OR(클레임조회!$C$7="",$D892=클레임조회!$C$7),OR(클레임조회!$C$8="",$E892=클레임조회!$C$8),OR(클레임조회!$C$9="",$F892=클레임조회!$C$9),OR(클레임조회!$C$10="",ISNUMBER(SEARCH(클레임조회!$C$10,$C892&amp;" "&amp;$F892&amp;" "&amp;$G892&amp;" "&amp;$H892)))),COUNT(O$1:O891)+1,"")</f>
        <v/>
      </c>
      <c r="P892" s="0" t="str">
        <f aca="false">IF(AND(TRIM(C892)&lt;&gt;"",COUNTIF(C$2:C892,C892)=1),MAX(P$1:P891)+1,"")</f>
        <v/>
      </c>
      <c r="Q892" s="0" t="str">
        <f aca="false">IF(AND(TRIM(F892)&lt;&gt;"",COUNTIF(F$2:F892,F892)=1),MAX(Q$1:Q891)+1,"")</f>
        <v/>
      </c>
    </row>
    <row r="893" customFormat="false" ht="15" hidden="false" customHeight="false" outlineLevel="0" collapsed="false">
      <c r="A893" s="9"/>
      <c r="B893" s="10"/>
      <c r="C893" s="11"/>
      <c r="D893" s="11"/>
      <c r="E893" s="11"/>
      <c r="F893" s="11"/>
      <c r="G893" s="12"/>
      <c r="H893" s="12"/>
      <c r="I893" s="10"/>
      <c r="J893" s="12"/>
      <c r="K893" s="13" t="str">
        <f aca="false">IF(ISNUMBER(B893),YEAR(B893),"")</f>
        <v/>
      </c>
      <c r="L893" s="13" t="str">
        <f aca="false">IF(ISNUMBER(B893),MONTH(B893),"")</f>
        <v/>
      </c>
      <c r="M893" s="13" t="str">
        <f aca="false">IF(AND(ISNUMBER(B893),ISNUMBER(I893)),B893-I893+1,"")</f>
        <v/>
      </c>
      <c r="N893" s="14" t="str">
        <f aca="false">IF(B893="","",IF(M893="","시작일 미입력",IF(M893&lt;1,"시작일 이전(확인)",IF(M893=1,"1일째",IF(M893=2,"2일째",IF(M893=3,"3일째",IF(M893&lt;=7,"일주일 이내",IF(M893&lt;=14,"이주일 이내","15일 이후"))))))))</f>
        <v/>
      </c>
      <c r="O893" s="0" t="str">
        <f aca="false">IF(AND(COUNTA($A893:$J893)&gt;0,OR(클레임조회!$C$4="",AND(ISNUMBER($B893),$B893&gt;=클레임조회!$C$4)),OR(클레임조회!$C$5="",AND(ISNUMBER($B893),$B893&lt;=클레임조회!$C$5)),OR(클레임조회!$C$6="",$C893=클레임조회!$C$6),OR(클레임조회!$C$7="",$D893=클레임조회!$C$7),OR(클레임조회!$C$8="",$E893=클레임조회!$C$8),OR(클레임조회!$C$9="",$F893=클레임조회!$C$9),OR(클레임조회!$C$10="",ISNUMBER(SEARCH(클레임조회!$C$10,$C893&amp;" "&amp;$F893&amp;" "&amp;$G893&amp;" "&amp;$H893)))),COUNT(O$1:O892)+1,"")</f>
        <v/>
      </c>
      <c r="P893" s="0" t="str">
        <f aca="false">IF(AND(TRIM(C893)&lt;&gt;"",COUNTIF(C$2:C893,C893)=1),MAX(P$1:P892)+1,"")</f>
        <v/>
      </c>
      <c r="Q893" s="0" t="str">
        <f aca="false">IF(AND(TRIM(F893)&lt;&gt;"",COUNTIF(F$2:F893,F893)=1),MAX(Q$1:Q892)+1,"")</f>
        <v/>
      </c>
    </row>
    <row r="894" customFormat="false" ht="15" hidden="false" customHeight="false" outlineLevel="0" collapsed="false">
      <c r="A894" s="9"/>
      <c r="B894" s="10"/>
      <c r="C894" s="11"/>
      <c r="D894" s="11"/>
      <c r="E894" s="11"/>
      <c r="F894" s="11"/>
      <c r="G894" s="12"/>
      <c r="H894" s="12"/>
      <c r="I894" s="10"/>
      <c r="J894" s="12"/>
      <c r="K894" s="13" t="str">
        <f aca="false">IF(ISNUMBER(B894),YEAR(B894),"")</f>
        <v/>
      </c>
      <c r="L894" s="13" t="str">
        <f aca="false">IF(ISNUMBER(B894),MONTH(B894),"")</f>
        <v/>
      </c>
      <c r="M894" s="13" t="str">
        <f aca="false">IF(AND(ISNUMBER(B894),ISNUMBER(I894)),B894-I894+1,"")</f>
        <v/>
      </c>
      <c r="N894" s="14" t="str">
        <f aca="false">IF(B894="","",IF(M894="","시작일 미입력",IF(M894&lt;1,"시작일 이전(확인)",IF(M894=1,"1일째",IF(M894=2,"2일째",IF(M894=3,"3일째",IF(M894&lt;=7,"일주일 이내",IF(M894&lt;=14,"이주일 이내","15일 이후"))))))))</f>
        <v/>
      </c>
      <c r="O894" s="0" t="str">
        <f aca="false">IF(AND(COUNTA($A894:$J894)&gt;0,OR(클레임조회!$C$4="",AND(ISNUMBER($B894),$B894&gt;=클레임조회!$C$4)),OR(클레임조회!$C$5="",AND(ISNUMBER($B894),$B894&lt;=클레임조회!$C$5)),OR(클레임조회!$C$6="",$C894=클레임조회!$C$6),OR(클레임조회!$C$7="",$D894=클레임조회!$C$7),OR(클레임조회!$C$8="",$E894=클레임조회!$C$8),OR(클레임조회!$C$9="",$F894=클레임조회!$C$9),OR(클레임조회!$C$10="",ISNUMBER(SEARCH(클레임조회!$C$10,$C894&amp;" "&amp;$F894&amp;" "&amp;$G894&amp;" "&amp;$H894)))),COUNT(O$1:O893)+1,"")</f>
        <v/>
      </c>
      <c r="P894" s="0" t="str">
        <f aca="false">IF(AND(TRIM(C894)&lt;&gt;"",COUNTIF(C$2:C894,C894)=1),MAX(P$1:P893)+1,"")</f>
        <v/>
      </c>
      <c r="Q894" s="0" t="str">
        <f aca="false">IF(AND(TRIM(F894)&lt;&gt;"",COUNTIF(F$2:F894,F894)=1),MAX(Q$1:Q893)+1,"")</f>
        <v/>
      </c>
    </row>
    <row r="895" customFormat="false" ht="15" hidden="false" customHeight="false" outlineLevel="0" collapsed="false">
      <c r="A895" s="9"/>
      <c r="B895" s="10"/>
      <c r="C895" s="11"/>
      <c r="D895" s="11"/>
      <c r="E895" s="11"/>
      <c r="F895" s="11"/>
      <c r="G895" s="12"/>
      <c r="H895" s="12"/>
      <c r="I895" s="10"/>
      <c r="J895" s="12"/>
      <c r="K895" s="13" t="str">
        <f aca="false">IF(ISNUMBER(B895),YEAR(B895),"")</f>
        <v/>
      </c>
      <c r="L895" s="13" t="str">
        <f aca="false">IF(ISNUMBER(B895),MONTH(B895),"")</f>
        <v/>
      </c>
      <c r="M895" s="13" t="str">
        <f aca="false">IF(AND(ISNUMBER(B895),ISNUMBER(I895)),B895-I895+1,"")</f>
        <v/>
      </c>
      <c r="N895" s="14" t="str">
        <f aca="false">IF(B895="","",IF(M895="","시작일 미입력",IF(M895&lt;1,"시작일 이전(확인)",IF(M895=1,"1일째",IF(M895=2,"2일째",IF(M895=3,"3일째",IF(M895&lt;=7,"일주일 이내",IF(M895&lt;=14,"이주일 이내","15일 이후"))))))))</f>
        <v/>
      </c>
      <c r="O895" s="0" t="str">
        <f aca="false">IF(AND(COUNTA($A895:$J895)&gt;0,OR(클레임조회!$C$4="",AND(ISNUMBER($B895),$B895&gt;=클레임조회!$C$4)),OR(클레임조회!$C$5="",AND(ISNUMBER($B895),$B895&lt;=클레임조회!$C$5)),OR(클레임조회!$C$6="",$C895=클레임조회!$C$6),OR(클레임조회!$C$7="",$D895=클레임조회!$C$7),OR(클레임조회!$C$8="",$E895=클레임조회!$C$8),OR(클레임조회!$C$9="",$F895=클레임조회!$C$9),OR(클레임조회!$C$10="",ISNUMBER(SEARCH(클레임조회!$C$10,$C895&amp;" "&amp;$F895&amp;" "&amp;$G895&amp;" "&amp;$H895)))),COUNT(O$1:O894)+1,"")</f>
        <v/>
      </c>
      <c r="P895" s="0" t="str">
        <f aca="false">IF(AND(TRIM(C895)&lt;&gt;"",COUNTIF(C$2:C895,C895)=1),MAX(P$1:P894)+1,"")</f>
        <v/>
      </c>
      <c r="Q895" s="0" t="str">
        <f aca="false">IF(AND(TRIM(F895)&lt;&gt;"",COUNTIF(F$2:F895,F895)=1),MAX(Q$1:Q894)+1,"")</f>
        <v/>
      </c>
    </row>
    <row r="896" customFormat="false" ht="15" hidden="false" customHeight="false" outlineLevel="0" collapsed="false">
      <c r="A896" s="9"/>
      <c r="B896" s="10"/>
      <c r="C896" s="11"/>
      <c r="D896" s="11"/>
      <c r="E896" s="11"/>
      <c r="F896" s="11"/>
      <c r="G896" s="12"/>
      <c r="H896" s="12"/>
      <c r="I896" s="10"/>
      <c r="J896" s="12"/>
      <c r="K896" s="13" t="str">
        <f aca="false">IF(ISNUMBER(B896),YEAR(B896),"")</f>
        <v/>
      </c>
      <c r="L896" s="13" t="str">
        <f aca="false">IF(ISNUMBER(B896),MONTH(B896),"")</f>
        <v/>
      </c>
      <c r="M896" s="13" t="str">
        <f aca="false">IF(AND(ISNUMBER(B896),ISNUMBER(I896)),B896-I896+1,"")</f>
        <v/>
      </c>
      <c r="N896" s="14" t="str">
        <f aca="false">IF(B896="","",IF(M896="","시작일 미입력",IF(M896&lt;1,"시작일 이전(확인)",IF(M896=1,"1일째",IF(M896=2,"2일째",IF(M896=3,"3일째",IF(M896&lt;=7,"일주일 이내",IF(M896&lt;=14,"이주일 이내","15일 이후"))))))))</f>
        <v/>
      </c>
      <c r="O896" s="0" t="str">
        <f aca="false">IF(AND(COUNTA($A896:$J896)&gt;0,OR(클레임조회!$C$4="",AND(ISNUMBER($B896),$B896&gt;=클레임조회!$C$4)),OR(클레임조회!$C$5="",AND(ISNUMBER($B896),$B896&lt;=클레임조회!$C$5)),OR(클레임조회!$C$6="",$C896=클레임조회!$C$6),OR(클레임조회!$C$7="",$D896=클레임조회!$C$7),OR(클레임조회!$C$8="",$E896=클레임조회!$C$8),OR(클레임조회!$C$9="",$F896=클레임조회!$C$9),OR(클레임조회!$C$10="",ISNUMBER(SEARCH(클레임조회!$C$10,$C896&amp;" "&amp;$F896&amp;" "&amp;$G896&amp;" "&amp;$H896)))),COUNT(O$1:O895)+1,"")</f>
        <v/>
      </c>
      <c r="P896" s="0" t="str">
        <f aca="false">IF(AND(TRIM(C896)&lt;&gt;"",COUNTIF(C$2:C896,C896)=1),MAX(P$1:P895)+1,"")</f>
        <v/>
      </c>
      <c r="Q896" s="0" t="str">
        <f aca="false">IF(AND(TRIM(F896)&lt;&gt;"",COUNTIF(F$2:F896,F896)=1),MAX(Q$1:Q895)+1,"")</f>
        <v/>
      </c>
    </row>
    <row r="897" customFormat="false" ht="15" hidden="false" customHeight="false" outlineLevel="0" collapsed="false">
      <c r="A897" s="9"/>
      <c r="B897" s="10"/>
      <c r="C897" s="11"/>
      <c r="D897" s="11"/>
      <c r="E897" s="11"/>
      <c r="F897" s="11"/>
      <c r="G897" s="12"/>
      <c r="H897" s="12"/>
      <c r="I897" s="10"/>
      <c r="J897" s="12"/>
      <c r="K897" s="13" t="str">
        <f aca="false">IF(ISNUMBER(B897),YEAR(B897),"")</f>
        <v/>
      </c>
      <c r="L897" s="13" t="str">
        <f aca="false">IF(ISNUMBER(B897),MONTH(B897),"")</f>
        <v/>
      </c>
      <c r="M897" s="13" t="str">
        <f aca="false">IF(AND(ISNUMBER(B897),ISNUMBER(I897)),B897-I897+1,"")</f>
        <v/>
      </c>
      <c r="N897" s="14" t="str">
        <f aca="false">IF(B897="","",IF(M897="","시작일 미입력",IF(M897&lt;1,"시작일 이전(확인)",IF(M897=1,"1일째",IF(M897=2,"2일째",IF(M897=3,"3일째",IF(M897&lt;=7,"일주일 이내",IF(M897&lt;=14,"이주일 이내","15일 이후"))))))))</f>
        <v/>
      </c>
      <c r="O897" s="0" t="str">
        <f aca="false">IF(AND(COUNTA($A897:$J897)&gt;0,OR(클레임조회!$C$4="",AND(ISNUMBER($B897),$B897&gt;=클레임조회!$C$4)),OR(클레임조회!$C$5="",AND(ISNUMBER($B897),$B897&lt;=클레임조회!$C$5)),OR(클레임조회!$C$6="",$C897=클레임조회!$C$6),OR(클레임조회!$C$7="",$D897=클레임조회!$C$7),OR(클레임조회!$C$8="",$E897=클레임조회!$C$8),OR(클레임조회!$C$9="",$F897=클레임조회!$C$9),OR(클레임조회!$C$10="",ISNUMBER(SEARCH(클레임조회!$C$10,$C897&amp;" "&amp;$F897&amp;" "&amp;$G897&amp;" "&amp;$H897)))),COUNT(O$1:O896)+1,"")</f>
        <v/>
      </c>
      <c r="P897" s="0" t="str">
        <f aca="false">IF(AND(TRIM(C897)&lt;&gt;"",COUNTIF(C$2:C897,C897)=1),MAX(P$1:P896)+1,"")</f>
        <v/>
      </c>
      <c r="Q897" s="0" t="str">
        <f aca="false">IF(AND(TRIM(F897)&lt;&gt;"",COUNTIF(F$2:F897,F897)=1),MAX(Q$1:Q896)+1,"")</f>
        <v/>
      </c>
    </row>
    <row r="898" customFormat="false" ht="15" hidden="false" customHeight="false" outlineLevel="0" collapsed="false">
      <c r="A898" s="9"/>
      <c r="B898" s="10"/>
      <c r="C898" s="11"/>
      <c r="D898" s="11"/>
      <c r="E898" s="11"/>
      <c r="F898" s="11"/>
      <c r="G898" s="12"/>
      <c r="H898" s="12"/>
      <c r="I898" s="10"/>
      <c r="J898" s="12"/>
      <c r="K898" s="13" t="str">
        <f aca="false">IF(ISNUMBER(B898),YEAR(B898),"")</f>
        <v/>
      </c>
      <c r="L898" s="13" t="str">
        <f aca="false">IF(ISNUMBER(B898),MONTH(B898),"")</f>
        <v/>
      </c>
      <c r="M898" s="13" t="str">
        <f aca="false">IF(AND(ISNUMBER(B898),ISNUMBER(I898)),B898-I898+1,"")</f>
        <v/>
      </c>
      <c r="N898" s="14" t="str">
        <f aca="false">IF(B898="","",IF(M898="","시작일 미입력",IF(M898&lt;1,"시작일 이전(확인)",IF(M898=1,"1일째",IF(M898=2,"2일째",IF(M898=3,"3일째",IF(M898&lt;=7,"일주일 이내",IF(M898&lt;=14,"이주일 이내","15일 이후"))))))))</f>
        <v/>
      </c>
      <c r="O898" s="0" t="str">
        <f aca="false">IF(AND(COUNTA($A898:$J898)&gt;0,OR(클레임조회!$C$4="",AND(ISNUMBER($B898),$B898&gt;=클레임조회!$C$4)),OR(클레임조회!$C$5="",AND(ISNUMBER($B898),$B898&lt;=클레임조회!$C$5)),OR(클레임조회!$C$6="",$C898=클레임조회!$C$6),OR(클레임조회!$C$7="",$D898=클레임조회!$C$7),OR(클레임조회!$C$8="",$E898=클레임조회!$C$8),OR(클레임조회!$C$9="",$F898=클레임조회!$C$9),OR(클레임조회!$C$10="",ISNUMBER(SEARCH(클레임조회!$C$10,$C898&amp;" "&amp;$F898&amp;" "&amp;$G898&amp;" "&amp;$H898)))),COUNT(O$1:O897)+1,"")</f>
        <v/>
      </c>
      <c r="P898" s="0" t="str">
        <f aca="false">IF(AND(TRIM(C898)&lt;&gt;"",COUNTIF(C$2:C898,C898)=1),MAX(P$1:P897)+1,"")</f>
        <v/>
      </c>
      <c r="Q898" s="0" t="str">
        <f aca="false">IF(AND(TRIM(F898)&lt;&gt;"",COUNTIF(F$2:F898,F898)=1),MAX(Q$1:Q897)+1,"")</f>
        <v/>
      </c>
    </row>
    <row r="899" customFormat="false" ht="15" hidden="false" customHeight="false" outlineLevel="0" collapsed="false">
      <c r="A899" s="9"/>
      <c r="B899" s="10"/>
      <c r="C899" s="11"/>
      <c r="D899" s="11"/>
      <c r="E899" s="11"/>
      <c r="F899" s="11"/>
      <c r="G899" s="12"/>
      <c r="H899" s="12"/>
      <c r="I899" s="10"/>
      <c r="J899" s="12"/>
      <c r="K899" s="13" t="str">
        <f aca="false">IF(ISNUMBER(B899),YEAR(B899),"")</f>
        <v/>
      </c>
      <c r="L899" s="13" t="str">
        <f aca="false">IF(ISNUMBER(B899),MONTH(B899),"")</f>
        <v/>
      </c>
      <c r="M899" s="13" t="str">
        <f aca="false">IF(AND(ISNUMBER(B899),ISNUMBER(I899)),B899-I899+1,"")</f>
        <v/>
      </c>
      <c r="N899" s="14" t="str">
        <f aca="false">IF(B899="","",IF(M899="","시작일 미입력",IF(M899&lt;1,"시작일 이전(확인)",IF(M899=1,"1일째",IF(M899=2,"2일째",IF(M899=3,"3일째",IF(M899&lt;=7,"일주일 이내",IF(M899&lt;=14,"이주일 이내","15일 이후"))))))))</f>
        <v/>
      </c>
      <c r="O899" s="0" t="str">
        <f aca="false">IF(AND(COUNTA($A899:$J899)&gt;0,OR(클레임조회!$C$4="",AND(ISNUMBER($B899),$B899&gt;=클레임조회!$C$4)),OR(클레임조회!$C$5="",AND(ISNUMBER($B899),$B899&lt;=클레임조회!$C$5)),OR(클레임조회!$C$6="",$C899=클레임조회!$C$6),OR(클레임조회!$C$7="",$D899=클레임조회!$C$7),OR(클레임조회!$C$8="",$E899=클레임조회!$C$8),OR(클레임조회!$C$9="",$F899=클레임조회!$C$9),OR(클레임조회!$C$10="",ISNUMBER(SEARCH(클레임조회!$C$10,$C899&amp;" "&amp;$F899&amp;" "&amp;$G899&amp;" "&amp;$H899)))),COUNT(O$1:O898)+1,"")</f>
        <v/>
      </c>
      <c r="P899" s="0" t="str">
        <f aca="false">IF(AND(TRIM(C899)&lt;&gt;"",COUNTIF(C$2:C899,C899)=1),MAX(P$1:P898)+1,"")</f>
        <v/>
      </c>
      <c r="Q899" s="0" t="str">
        <f aca="false">IF(AND(TRIM(F899)&lt;&gt;"",COUNTIF(F$2:F899,F899)=1),MAX(Q$1:Q898)+1,"")</f>
        <v/>
      </c>
    </row>
    <row r="900" customFormat="false" ht="15" hidden="false" customHeight="false" outlineLevel="0" collapsed="false">
      <c r="A900" s="9"/>
      <c r="B900" s="10"/>
      <c r="C900" s="11"/>
      <c r="D900" s="11"/>
      <c r="E900" s="11"/>
      <c r="F900" s="11"/>
      <c r="G900" s="12"/>
      <c r="H900" s="12"/>
      <c r="I900" s="10"/>
      <c r="J900" s="12"/>
      <c r="K900" s="13" t="str">
        <f aca="false">IF(ISNUMBER(B900),YEAR(B900),"")</f>
        <v/>
      </c>
      <c r="L900" s="13" t="str">
        <f aca="false">IF(ISNUMBER(B900),MONTH(B900),"")</f>
        <v/>
      </c>
      <c r="M900" s="13" t="str">
        <f aca="false">IF(AND(ISNUMBER(B900),ISNUMBER(I900)),B900-I900+1,"")</f>
        <v/>
      </c>
      <c r="N900" s="14" t="str">
        <f aca="false">IF(B900="","",IF(M900="","시작일 미입력",IF(M900&lt;1,"시작일 이전(확인)",IF(M900=1,"1일째",IF(M900=2,"2일째",IF(M900=3,"3일째",IF(M900&lt;=7,"일주일 이내",IF(M900&lt;=14,"이주일 이내","15일 이후"))))))))</f>
        <v/>
      </c>
      <c r="O900" s="0" t="str">
        <f aca="false">IF(AND(COUNTA($A900:$J900)&gt;0,OR(클레임조회!$C$4="",AND(ISNUMBER($B900),$B900&gt;=클레임조회!$C$4)),OR(클레임조회!$C$5="",AND(ISNUMBER($B900),$B900&lt;=클레임조회!$C$5)),OR(클레임조회!$C$6="",$C900=클레임조회!$C$6),OR(클레임조회!$C$7="",$D900=클레임조회!$C$7),OR(클레임조회!$C$8="",$E900=클레임조회!$C$8),OR(클레임조회!$C$9="",$F900=클레임조회!$C$9),OR(클레임조회!$C$10="",ISNUMBER(SEARCH(클레임조회!$C$10,$C900&amp;" "&amp;$F900&amp;" "&amp;$G900&amp;" "&amp;$H900)))),COUNT(O$1:O899)+1,"")</f>
        <v/>
      </c>
      <c r="P900" s="0" t="str">
        <f aca="false">IF(AND(TRIM(C900)&lt;&gt;"",COUNTIF(C$2:C900,C900)=1),MAX(P$1:P899)+1,"")</f>
        <v/>
      </c>
      <c r="Q900" s="0" t="str">
        <f aca="false">IF(AND(TRIM(F900)&lt;&gt;"",COUNTIF(F$2:F900,F900)=1),MAX(Q$1:Q899)+1,"")</f>
        <v/>
      </c>
    </row>
    <row r="901" customFormat="false" ht="15" hidden="false" customHeight="false" outlineLevel="0" collapsed="false">
      <c r="A901" s="9"/>
      <c r="B901" s="10"/>
      <c r="C901" s="11"/>
      <c r="D901" s="11"/>
      <c r="E901" s="11"/>
      <c r="F901" s="11"/>
      <c r="G901" s="12"/>
      <c r="H901" s="12"/>
      <c r="I901" s="10"/>
      <c r="J901" s="12"/>
      <c r="K901" s="13" t="str">
        <f aca="false">IF(ISNUMBER(B901),YEAR(B901),"")</f>
        <v/>
      </c>
      <c r="L901" s="13" t="str">
        <f aca="false">IF(ISNUMBER(B901),MONTH(B901),"")</f>
        <v/>
      </c>
      <c r="M901" s="13" t="str">
        <f aca="false">IF(AND(ISNUMBER(B901),ISNUMBER(I901)),B901-I901+1,"")</f>
        <v/>
      </c>
      <c r="N901" s="14" t="str">
        <f aca="false">IF(B901="","",IF(M901="","시작일 미입력",IF(M901&lt;1,"시작일 이전(확인)",IF(M901=1,"1일째",IF(M901=2,"2일째",IF(M901=3,"3일째",IF(M901&lt;=7,"일주일 이내",IF(M901&lt;=14,"이주일 이내","15일 이후"))))))))</f>
        <v/>
      </c>
      <c r="O901" s="0" t="str">
        <f aca="false">IF(AND(COUNTA($A901:$J901)&gt;0,OR(클레임조회!$C$4="",AND(ISNUMBER($B901),$B901&gt;=클레임조회!$C$4)),OR(클레임조회!$C$5="",AND(ISNUMBER($B901),$B901&lt;=클레임조회!$C$5)),OR(클레임조회!$C$6="",$C901=클레임조회!$C$6),OR(클레임조회!$C$7="",$D901=클레임조회!$C$7),OR(클레임조회!$C$8="",$E901=클레임조회!$C$8),OR(클레임조회!$C$9="",$F901=클레임조회!$C$9),OR(클레임조회!$C$10="",ISNUMBER(SEARCH(클레임조회!$C$10,$C901&amp;" "&amp;$F901&amp;" "&amp;$G901&amp;" "&amp;$H901)))),COUNT(O$1:O900)+1,"")</f>
        <v/>
      </c>
      <c r="P901" s="0" t="str">
        <f aca="false">IF(AND(TRIM(C901)&lt;&gt;"",COUNTIF(C$2:C901,C901)=1),MAX(P$1:P900)+1,"")</f>
        <v/>
      </c>
      <c r="Q901" s="0" t="str">
        <f aca="false">IF(AND(TRIM(F901)&lt;&gt;"",COUNTIF(F$2:F901,F901)=1),MAX(Q$1:Q900)+1,"")</f>
        <v/>
      </c>
    </row>
    <row r="902" customFormat="false" ht="15" hidden="false" customHeight="false" outlineLevel="0" collapsed="false">
      <c r="A902" s="9"/>
      <c r="B902" s="10"/>
      <c r="C902" s="11"/>
      <c r="D902" s="11"/>
      <c r="E902" s="11"/>
      <c r="F902" s="11"/>
      <c r="G902" s="12"/>
      <c r="H902" s="12"/>
      <c r="I902" s="10"/>
      <c r="J902" s="12"/>
      <c r="K902" s="13" t="str">
        <f aca="false">IF(ISNUMBER(B902),YEAR(B902),"")</f>
        <v/>
      </c>
      <c r="L902" s="13" t="str">
        <f aca="false">IF(ISNUMBER(B902),MONTH(B902),"")</f>
        <v/>
      </c>
      <c r="M902" s="13" t="str">
        <f aca="false">IF(AND(ISNUMBER(B902),ISNUMBER(I902)),B902-I902+1,"")</f>
        <v/>
      </c>
      <c r="N902" s="14" t="str">
        <f aca="false">IF(B902="","",IF(M902="","시작일 미입력",IF(M902&lt;1,"시작일 이전(확인)",IF(M902=1,"1일째",IF(M902=2,"2일째",IF(M902=3,"3일째",IF(M902&lt;=7,"일주일 이내",IF(M902&lt;=14,"이주일 이내","15일 이후"))))))))</f>
        <v/>
      </c>
      <c r="O902" s="0" t="str">
        <f aca="false">IF(AND(COUNTA($A902:$J902)&gt;0,OR(클레임조회!$C$4="",AND(ISNUMBER($B902),$B902&gt;=클레임조회!$C$4)),OR(클레임조회!$C$5="",AND(ISNUMBER($B902),$B902&lt;=클레임조회!$C$5)),OR(클레임조회!$C$6="",$C902=클레임조회!$C$6),OR(클레임조회!$C$7="",$D902=클레임조회!$C$7),OR(클레임조회!$C$8="",$E902=클레임조회!$C$8),OR(클레임조회!$C$9="",$F902=클레임조회!$C$9),OR(클레임조회!$C$10="",ISNUMBER(SEARCH(클레임조회!$C$10,$C902&amp;" "&amp;$F902&amp;" "&amp;$G902&amp;" "&amp;$H902)))),COUNT(O$1:O901)+1,"")</f>
        <v/>
      </c>
      <c r="P902" s="0" t="str">
        <f aca="false">IF(AND(TRIM(C902)&lt;&gt;"",COUNTIF(C$2:C902,C902)=1),MAX(P$1:P901)+1,"")</f>
        <v/>
      </c>
      <c r="Q902" s="0" t="str">
        <f aca="false">IF(AND(TRIM(F902)&lt;&gt;"",COUNTIF(F$2:F902,F902)=1),MAX(Q$1:Q901)+1,"")</f>
        <v/>
      </c>
    </row>
    <row r="903" customFormat="false" ht="15" hidden="false" customHeight="false" outlineLevel="0" collapsed="false">
      <c r="A903" s="9"/>
      <c r="B903" s="10"/>
      <c r="C903" s="11"/>
      <c r="D903" s="11"/>
      <c r="E903" s="11"/>
      <c r="F903" s="11"/>
      <c r="G903" s="12"/>
      <c r="H903" s="12"/>
      <c r="I903" s="10"/>
      <c r="J903" s="12"/>
      <c r="K903" s="13" t="str">
        <f aca="false">IF(ISNUMBER(B903),YEAR(B903),"")</f>
        <v/>
      </c>
      <c r="L903" s="13" t="str">
        <f aca="false">IF(ISNUMBER(B903),MONTH(B903),"")</f>
        <v/>
      </c>
      <c r="M903" s="13" t="str">
        <f aca="false">IF(AND(ISNUMBER(B903),ISNUMBER(I903)),B903-I903+1,"")</f>
        <v/>
      </c>
      <c r="N903" s="14" t="str">
        <f aca="false">IF(B903="","",IF(M903="","시작일 미입력",IF(M903&lt;1,"시작일 이전(확인)",IF(M903=1,"1일째",IF(M903=2,"2일째",IF(M903=3,"3일째",IF(M903&lt;=7,"일주일 이내",IF(M903&lt;=14,"이주일 이내","15일 이후"))))))))</f>
        <v/>
      </c>
      <c r="O903" s="0" t="str">
        <f aca="false">IF(AND(COUNTA($A903:$J903)&gt;0,OR(클레임조회!$C$4="",AND(ISNUMBER($B903),$B903&gt;=클레임조회!$C$4)),OR(클레임조회!$C$5="",AND(ISNUMBER($B903),$B903&lt;=클레임조회!$C$5)),OR(클레임조회!$C$6="",$C903=클레임조회!$C$6),OR(클레임조회!$C$7="",$D903=클레임조회!$C$7),OR(클레임조회!$C$8="",$E903=클레임조회!$C$8),OR(클레임조회!$C$9="",$F903=클레임조회!$C$9),OR(클레임조회!$C$10="",ISNUMBER(SEARCH(클레임조회!$C$10,$C903&amp;" "&amp;$F903&amp;" "&amp;$G903&amp;" "&amp;$H903)))),COUNT(O$1:O902)+1,"")</f>
        <v/>
      </c>
      <c r="P903" s="0" t="str">
        <f aca="false">IF(AND(TRIM(C903)&lt;&gt;"",COUNTIF(C$2:C903,C903)=1),MAX(P$1:P902)+1,"")</f>
        <v/>
      </c>
      <c r="Q903" s="0" t="str">
        <f aca="false">IF(AND(TRIM(F903)&lt;&gt;"",COUNTIF(F$2:F903,F903)=1),MAX(Q$1:Q902)+1,"")</f>
        <v/>
      </c>
    </row>
    <row r="904" customFormat="false" ht="15" hidden="false" customHeight="false" outlineLevel="0" collapsed="false">
      <c r="A904" s="9"/>
      <c r="B904" s="10"/>
      <c r="C904" s="11"/>
      <c r="D904" s="11"/>
      <c r="E904" s="11"/>
      <c r="F904" s="11"/>
      <c r="G904" s="12"/>
      <c r="H904" s="12"/>
      <c r="I904" s="10"/>
      <c r="J904" s="12"/>
      <c r="K904" s="13" t="str">
        <f aca="false">IF(ISNUMBER(B904),YEAR(B904),"")</f>
        <v/>
      </c>
      <c r="L904" s="13" t="str">
        <f aca="false">IF(ISNUMBER(B904),MONTH(B904),"")</f>
        <v/>
      </c>
      <c r="M904" s="13" t="str">
        <f aca="false">IF(AND(ISNUMBER(B904),ISNUMBER(I904)),B904-I904+1,"")</f>
        <v/>
      </c>
      <c r="N904" s="14" t="str">
        <f aca="false">IF(B904="","",IF(M904="","시작일 미입력",IF(M904&lt;1,"시작일 이전(확인)",IF(M904=1,"1일째",IF(M904=2,"2일째",IF(M904=3,"3일째",IF(M904&lt;=7,"일주일 이내",IF(M904&lt;=14,"이주일 이내","15일 이후"))))))))</f>
        <v/>
      </c>
      <c r="O904" s="0" t="str">
        <f aca="false">IF(AND(COUNTA($A904:$J904)&gt;0,OR(클레임조회!$C$4="",AND(ISNUMBER($B904),$B904&gt;=클레임조회!$C$4)),OR(클레임조회!$C$5="",AND(ISNUMBER($B904),$B904&lt;=클레임조회!$C$5)),OR(클레임조회!$C$6="",$C904=클레임조회!$C$6),OR(클레임조회!$C$7="",$D904=클레임조회!$C$7),OR(클레임조회!$C$8="",$E904=클레임조회!$C$8),OR(클레임조회!$C$9="",$F904=클레임조회!$C$9),OR(클레임조회!$C$10="",ISNUMBER(SEARCH(클레임조회!$C$10,$C904&amp;" "&amp;$F904&amp;" "&amp;$G904&amp;" "&amp;$H904)))),COUNT(O$1:O903)+1,"")</f>
        <v/>
      </c>
      <c r="P904" s="0" t="str">
        <f aca="false">IF(AND(TRIM(C904)&lt;&gt;"",COUNTIF(C$2:C904,C904)=1),MAX(P$1:P903)+1,"")</f>
        <v/>
      </c>
      <c r="Q904" s="0" t="str">
        <f aca="false">IF(AND(TRIM(F904)&lt;&gt;"",COUNTIF(F$2:F904,F904)=1),MAX(Q$1:Q903)+1,"")</f>
        <v/>
      </c>
    </row>
    <row r="905" customFormat="false" ht="15" hidden="false" customHeight="false" outlineLevel="0" collapsed="false">
      <c r="A905" s="9"/>
      <c r="B905" s="10"/>
      <c r="C905" s="11"/>
      <c r="D905" s="11"/>
      <c r="E905" s="11"/>
      <c r="F905" s="11"/>
      <c r="G905" s="12"/>
      <c r="H905" s="12"/>
      <c r="I905" s="10"/>
      <c r="J905" s="12"/>
      <c r="K905" s="13" t="str">
        <f aca="false">IF(ISNUMBER(B905),YEAR(B905),"")</f>
        <v/>
      </c>
      <c r="L905" s="13" t="str">
        <f aca="false">IF(ISNUMBER(B905),MONTH(B905),"")</f>
        <v/>
      </c>
      <c r="M905" s="13" t="str">
        <f aca="false">IF(AND(ISNUMBER(B905),ISNUMBER(I905)),B905-I905+1,"")</f>
        <v/>
      </c>
      <c r="N905" s="14" t="str">
        <f aca="false">IF(B905="","",IF(M905="","시작일 미입력",IF(M905&lt;1,"시작일 이전(확인)",IF(M905=1,"1일째",IF(M905=2,"2일째",IF(M905=3,"3일째",IF(M905&lt;=7,"일주일 이내",IF(M905&lt;=14,"이주일 이내","15일 이후"))))))))</f>
        <v/>
      </c>
      <c r="O905" s="0" t="str">
        <f aca="false">IF(AND(COUNTA($A905:$J905)&gt;0,OR(클레임조회!$C$4="",AND(ISNUMBER($B905),$B905&gt;=클레임조회!$C$4)),OR(클레임조회!$C$5="",AND(ISNUMBER($B905),$B905&lt;=클레임조회!$C$5)),OR(클레임조회!$C$6="",$C905=클레임조회!$C$6),OR(클레임조회!$C$7="",$D905=클레임조회!$C$7),OR(클레임조회!$C$8="",$E905=클레임조회!$C$8),OR(클레임조회!$C$9="",$F905=클레임조회!$C$9),OR(클레임조회!$C$10="",ISNUMBER(SEARCH(클레임조회!$C$10,$C905&amp;" "&amp;$F905&amp;" "&amp;$G905&amp;" "&amp;$H905)))),COUNT(O$1:O904)+1,"")</f>
        <v/>
      </c>
      <c r="P905" s="0" t="str">
        <f aca="false">IF(AND(TRIM(C905)&lt;&gt;"",COUNTIF(C$2:C905,C905)=1),MAX(P$1:P904)+1,"")</f>
        <v/>
      </c>
      <c r="Q905" s="0" t="str">
        <f aca="false">IF(AND(TRIM(F905)&lt;&gt;"",COUNTIF(F$2:F905,F905)=1),MAX(Q$1:Q904)+1,"")</f>
        <v/>
      </c>
    </row>
    <row r="906" customFormat="false" ht="15" hidden="false" customHeight="false" outlineLevel="0" collapsed="false">
      <c r="A906" s="9"/>
      <c r="B906" s="10"/>
      <c r="C906" s="11"/>
      <c r="D906" s="11"/>
      <c r="E906" s="11"/>
      <c r="F906" s="11"/>
      <c r="G906" s="12"/>
      <c r="H906" s="12"/>
      <c r="I906" s="10"/>
      <c r="J906" s="12"/>
      <c r="K906" s="13" t="str">
        <f aca="false">IF(ISNUMBER(B906),YEAR(B906),"")</f>
        <v/>
      </c>
      <c r="L906" s="13" t="str">
        <f aca="false">IF(ISNUMBER(B906),MONTH(B906),"")</f>
        <v/>
      </c>
      <c r="M906" s="13" t="str">
        <f aca="false">IF(AND(ISNUMBER(B906),ISNUMBER(I906)),B906-I906+1,"")</f>
        <v/>
      </c>
      <c r="N906" s="14" t="str">
        <f aca="false">IF(B906="","",IF(M906="","시작일 미입력",IF(M906&lt;1,"시작일 이전(확인)",IF(M906=1,"1일째",IF(M906=2,"2일째",IF(M906=3,"3일째",IF(M906&lt;=7,"일주일 이내",IF(M906&lt;=14,"이주일 이내","15일 이후"))))))))</f>
        <v/>
      </c>
      <c r="O906" s="0" t="str">
        <f aca="false">IF(AND(COUNTA($A906:$J906)&gt;0,OR(클레임조회!$C$4="",AND(ISNUMBER($B906),$B906&gt;=클레임조회!$C$4)),OR(클레임조회!$C$5="",AND(ISNUMBER($B906),$B906&lt;=클레임조회!$C$5)),OR(클레임조회!$C$6="",$C906=클레임조회!$C$6),OR(클레임조회!$C$7="",$D906=클레임조회!$C$7),OR(클레임조회!$C$8="",$E906=클레임조회!$C$8),OR(클레임조회!$C$9="",$F906=클레임조회!$C$9),OR(클레임조회!$C$10="",ISNUMBER(SEARCH(클레임조회!$C$10,$C906&amp;" "&amp;$F906&amp;" "&amp;$G906&amp;" "&amp;$H906)))),COUNT(O$1:O905)+1,"")</f>
        <v/>
      </c>
      <c r="P906" s="0" t="str">
        <f aca="false">IF(AND(TRIM(C906)&lt;&gt;"",COUNTIF(C$2:C906,C906)=1),MAX(P$1:P905)+1,"")</f>
        <v/>
      </c>
      <c r="Q906" s="0" t="str">
        <f aca="false">IF(AND(TRIM(F906)&lt;&gt;"",COUNTIF(F$2:F906,F906)=1),MAX(Q$1:Q905)+1,"")</f>
        <v/>
      </c>
    </row>
    <row r="907" customFormat="false" ht="15" hidden="false" customHeight="false" outlineLevel="0" collapsed="false">
      <c r="A907" s="9"/>
      <c r="B907" s="10"/>
      <c r="C907" s="11"/>
      <c r="D907" s="11"/>
      <c r="E907" s="11"/>
      <c r="F907" s="11"/>
      <c r="G907" s="12"/>
      <c r="H907" s="12"/>
      <c r="I907" s="10"/>
      <c r="J907" s="12"/>
      <c r="K907" s="13" t="str">
        <f aca="false">IF(ISNUMBER(B907),YEAR(B907),"")</f>
        <v/>
      </c>
      <c r="L907" s="13" t="str">
        <f aca="false">IF(ISNUMBER(B907),MONTH(B907),"")</f>
        <v/>
      </c>
      <c r="M907" s="13" t="str">
        <f aca="false">IF(AND(ISNUMBER(B907),ISNUMBER(I907)),B907-I907+1,"")</f>
        <v/>
      </c>
      <c r="N907" s="14" t="str">
        <f aca="false">IF(B907="","",IF(M907="","시작일 미입력",IF(M907&lt;1,"시작일 이전(확인)",IF(M907=1,"1일째",IF(M907=2,"2일째",IF(M907=3,"3일째",IF(M907&lt;=7,"일주일 이내",IF(M907&lt;=14,"이주일 이내","15일 이후"))))))))</f>
        <v/>
      </c>
      <c r="O907" s="0" t="str">
        <f aca="false">IF(AND(COUNTA($A907:$J907)&gt;0,OR(클레임조회!$C$4="",AND(ISNUMBER($B907),$B907&gt;=클레임조회!$C$4)),OR(클레임조회!$C$5="",AND(ISNUMBER($B907),$B907&lt;=클레임조회!$C$5)),OR(클레임조회!$C$6="",$C907=클레임조회!$C$6),OR(클레임조회!$C$7="",$D907=클레임조회!$C$7),OR(클레임조회!$C$8="",$E907=클레임조회!$C$8),OR(클레임조회!$C$9="",$F907=클레임조회!$C$9),OR(클레임조회!$C$10="",ISNUMBER(SEARCH(클레임조회!$C$10,$C907&amp;" "&amp;$F907&amp;" "&amp;$G907&amp;" "&amp;$H907)))),COUNT(O$1:O906)+1,"")</f>
        <v/>
      </c>
      <c r="P907" s="0" t="str">
        <f aca="false">IF(AND(TRIM(C907)&lt;&gt;"",COUNTIF(C$2:C907,C907)=1),MAX(P$1:P906)+1,"")</f>
        <v/>
      </c>
      <c r="Q907" s="0" t="str">
        <f aca="false">IF(AND(TRIM(F907)&lt;&gt;"",COUNTIF(F$2:F907,F907)=1),MAX(Q$1:Q906)+1,"")</f>
        <v/>
      </c>
    </row>
    <row r="908" customFormat="false" ht="15" hidden="false" customHeight="false" outlineLevel="0" collapsed="false">
      <c r="A908" s="9"/>
      <c r="B908" s="10"/>
      <c r="C908" s="11"/>
      <c r="D908" s="11"/>
      <c r="E908" s="11"/>
      <c r="F908" s="11"/>
      <c r="G908" s="12"/>
      <c r="H908" s="12"/>
      <c r="I908" s="10"/>
      <c r="J908" s="12"/>
      <c r="K908" s="13" t="str">
        <f aca="false">IF(ISNUMBER(B908),YEAR(B908),"")</f>
        <v/>
      </c>
      <c r="L908" s="13" t="str">
        <f aca="false">IF(ISNUMBER(B908),MONTH(B908),"")</f>
        <v/>
      </c>
      <c r="M908" s="13" t="str">
        <f aca="false">IF(AND(ISNUMBER(B908),ISNUMBER(I908)),B908-I908+1,"")</f>
        <v/>
      </c>
      <c r="N908" s="14" t="str">
        <f aca="false">IF(B908="","",IF(M908="","시작일 미입력",IF(M908&lt;1,"시작일 이전(확인)",IF(M908=1,"1일째",IF(M908=2,"2일째",IF(M908=3,"3일째",IF(M908&lt;=7,"일주일 이내",IF(M908&lt;=14,"이주일 이내","15일 이후"))))))))</f>
        <v/>
      </c>
      <c r="O908" s="0" t="str">
        <f aca="false">IF(AND(COUNTA($A908:$J908)&gt;0,OR(클레임조회!$C$4="",AND(ISNUMBER($B908),$B908&gt;=클레임조회!$C$4)),OR(클레임조회!$C$5="",AND(ISNUMBER($B908),$B908&lt;=클레임조회!$C$5)),OR(클레임조회!$C$6="",$C908=클레임조회!$C$6),OR(클레임조회!$C$7="",$D908=클레임조회!$C$7),OR(클레임조회!$C$8="",$E908=클레임조회!$C$8),OR(클레임조회!$C$9="",$F908=클레임조회!$C$9),OR(클레임조회!$C$10="",ISNUMBER(SEARCH(클레임조회!$C$10,$C908&amp;" "&amp;$F908&amp;" "&amp;$G908&amp;" "&amp;$H908)))),COUNT(O$1:O907)+1,"")</f>
        <v/>
      </c>
      <c r="P908" s="0" t="str">
        <f aca="false">IF(AND(TRIM(C908)&lt;&gt;"",COUNTIF(C$2:C908,C908)=1),MAX(P$1:P907)+1,"")</f>
        <v/>
      </c>
      <c r="Q908" s="0" t="str">
        <f aca="false">IF(AND(TRIM(F908)&lt;&gt;"",COUNTIF(F$2:F908,F908)=1),MAX(Q$1:Q907)+1,"")</f>
        <v/>
      </c>
    </row>
    <row r="909" customFormat="false" ht="15" hidden="false" customHeight="false" outlineLevel="0" collapsed="false">
      <c r="A909" s="9"/>
      <c r="B909" s="10"/>
      <c r="C909" s="11"/>
      <c r="D909" s="11"/>
      <c r="E909" s="11"/>
      <c r="F909" s="11"/>
      <c r="G909" s="12"/>
      <c r="H909" s="12"/>
      <c r="I909" s="10"/>
      <c r="J909" s="12"/>
      <c r="K909" s="13" t="str">
        <f aca="false">IF(ISNUMBER(B909),YEAR(B909),"")</f>
        <v/>
      </c>
      <c r="L909" s="13" t="str">
        <f aca="false">IF(ISNUMBER(B909),MONTH(B909),"")</f>
        <v/>
      </c>
      <c r="M909" s="13" t="str">
        <f aca="false">IF(AND(ISNUMBER(B909),ISNUMBER(I909)),B909-I909+1,"")</f>
        <v/>
      </c>
      <c r="N909" s="14" t="str">
        <f aca="false">IF(B909="","",IF(M909="","시작일 미입력",IF(M909&lt;1,"시작일 이전(확인)",IF(M909=1,"1일째",IF(M909=2,"2일째",IF(M909=3,"3일째",IF(M909&lt;=7,"일주일 이내",IF(M909&lt;=14,"이주일 이내","15일 이후"))))))))</f>
        <v/>
      </c>
      <c r="O909" s="0" t="str">
        <f aca="false">IF(AND(COUNTA($A909:$J909)&gt;0,OR(클레임조회!$C$4="",AND(ISNUMBER($B909),$B909&gt;=클레임조회!$C$4)),OR(클레임조회!$C$5="",AND(ISNUMBER($B909),$B909&lt;=클레임조회!$C$5)),OR(클레임조회!$C$6="",$C909=클레임조회!$C$6),OR(클레임조회!$C$7="",$D909=클레임조회!$C$7),OR(클레임조회!$C$8="",$E909=클레임조회!$C$8),OR(클레임조회!$C$9="",$F909=클레임조회!$C$9),OR(클레임조회!$C$10="",ISNUMBER(SEARCH(클레임조회!$C$10,$C909&amp;" "&amp;$F909&amp;" "&amp;$G909&amp;" "&amp;$H909)))),COUNT(O$1:O908)+1,"")</f>
        <v/>
      </c>
      <c r="P909" s="0" t="str">
        <f aca="false">IF(AND(TRIM(C909)&lt;&gt;"",COUNTIF(C$2:C909,C909)=1),MAX(P$1:P908)+1,"")</f>
        <v/>
      </c>
      <c r="Q909" s="0" t="str">
        <f aca="false">IF(AND(TRIM(F909)&lt;&gt;"",COUNTIF(F$2:F909,F909)=1),MAX(Q$1:Q908)+1,"")</f>
        <v/>
      </c>
    </row>
    <row r="910" customFormat="false" ht="15" hidden="false" customHeight="false" outlineLevel="0" collapsed="false">
      <c r="A910" s="9"/>
      <c r="B910" s="10"/>
      <c r="C910" s="11"/>
      <c r="D910" s="11"/>
      <c r="E910" s="11"/>
      <c r="F910" s="11"/>
      <c r="G910" s="12"/>
      <c r="H910" s="12"/>
      <c r="I910" s="10"/>
      <c r="J910" s="12"/>
      <c r="K910" s="13" t="str">
        <f aca="false">IF(ISNUMBER(B910),YEAR(B910),"")</f>
        <v/>
      </c>
      <c r="L910" s="13" t="str">
        <f aca="false">IF(ISNUMBER(B910),MONTH(B910),"")</f>
        <v/>
      </c>
      <c r="M910" s="13" t="str">
        <f aca="false">IF(AND(ISNUMBER(B910),ISNUMBER(I910)),B910-I910+1,"")</f>
        <v/>
      </c>
      <c r="N910" s="14" t="str">
        <f aca="false">IF(B910="","",IF(M910="","시작일 미입력",IF(M910&lt;1,"시작일 이전(확인)",IF(M910=1,"1일째",IF(M910=2,"2일째",IF(M910=3,"3일째",IF(M910&lt;=7,"일주일 이내",IF(M910&lt;=14,"이주일 이내","15일 이후"))))))))</f>
        <v/>
      </c>
      <c r="O910" s="0" t="str">
        <f aca="false">IF(AND(COUNTA($A910:$J910)&gt;0,OR(클레임조회!$C$4="",AND(ISNUMBER($B910),$B910&gt;=클레임조회!$C$4)),OR(클레임조회!$C$5="",AND(ISNUMBER($B910),$B910&lt;=클레임조회!$C$5)),OR(클레임조회!$C$6="",$C910=클레임조회!$C$6),OR(클레임조회!$C$7="",$D910=클레임조회!$C$7),OR(클레임조회!$C$8="",$E910=클레임조회!$C$8),OR(클레임조회!$C$9="",$F910=클레임조회!$C$9),OR(클레임조회!$C$10="",ISNUMBER(SEARCH(클레임조회!$C$10,$C910&amp;" "&amp;$F910&amp;" "&amp;$G910&amp;" "&amp;$H910)))),COUNT(O$1:O909)+1,"")</f>
        <v/>
      </c>
      <c r="P910" s="0" t="str">
        <f aca="false">IF(AND(TRIM(C910)&lt;&gt;"",COUNTIF(C$2:C910,C910)=1),MAX(P$1:P909)+1,"")</f>
        <v/>
      </c>
      <c r="Q910" s="0" t="str">
        <f aca="false">IF(AND(TRIM(F910)&lt;&gt;"",COUNTIF(F$2:F910,F910)=1),MAX(Q$1:Q909)+1,"")</f>
        <v/>
      </c>
    </row>
    <row r="911" customFormat="false" ht="15" hidden="false" customHeight="false" outlineLevel="0" collapsed="false">
      <c r="A911" s="9"/>
      <c r="B911" s="10"/>
      <c r="C911" s="11"/>
      <c r="D911" s="11"/>
      <c r="E911" s="11"/>
      <c r="F911" s="11"/>
      <c r="G911" s="12"/>
      <c r="H911" s="12"/>
      <c r="I911" s="10"/>
      <c r="J911" s="12"/>
      <c r="K911" s="13" t="str">
        <f aca="false">IF(ISNUMBER(B911),YEAR(B911),"")</f>
        <v/>
      </c>
      <c r="L911" s="13" t="str">
        <f aca="false">IF(ISNUMBER(B911),MONTH(B911),"")</f>
        <v/>
      </c>
      <c r="M911" s="13" t="str">
        <f aca="false">IF(AND(ISNUMBER(B911),ISNUMBER(I911)),B911-I911+1,"")</f>
        <v/>
      </c>
      <c r="N911" s="14" t="str">
        <f aca="false">IF(B911="","",IF(M911="","시작일 미입력",IF(M911&lt;1,"시작일 이전(확인)",IF(M911=1,"1일째",IF(M911=2,"2일째",IF(M911=3,"3일째",IF(M911&lt;=7,"일주일 이내",IF(M911&lt;=14,"이주일 이내","15일 이후"))))))))</f>
        <v/>
      </c>
      <c r="O911" s="0" t="str">
        <f aca="false">IF(AND(COUNTA($A911:$J911)&gt;0,OR(클레임조회!$C$4="",AND(ISNUMBER($B911),$B911&gt;=클레임조회!$C$4)),OR(클레임조회!$C$5="",AND(ISNUMBER($B911),$B911&lt;=클레임조회!$C$5)),OR(클레임조회!$C$6="",$C911=클레임조회!$C$6),OR(클레임조회!$C$7="",$D911=클레임조회!$C$7),OR(클레임조회!$C$8="",$E911=클레임조회!$C$8),OR(클레임조회!$C$9="",$F911=클레임조회!$C$9),OR(클레임조회!$C$10="",ISNUMBER(SEARCH(클레임조회!$C$10,$C911&amp;" "&amp;$F911&amp;" "&amp;$G911&amp;" "&amp;$H911)))),COUNT(O$1:O910)+1,"")</f>
        <v/>
      </c>
      <c r="P911" s="0" t="str">
        <f aca="false">IF(AND(TRIM(C911)&lt;&gt;"",COUNTIF(C$2:C911,C911)=1),MAX(P$1:P910)+1,"")</f>
        <v/>
      </c>
      <c r="Q911" s="0" t="str">
        <f aca="false">IF(AND(TRIM(F911)&lt;&gt;"",COUNTIF(F$2:F911,F911)=1),MAX(Q$1:Q910)+1,"")</f>
        <v/>
      </c>
    </row>
    <row r="912" customFormat="false" ht="15" hidden="false" customHeight="false" outlineLevel="0" collapsed="false">
      <c r="A912" s="9"/>
      <c r="B912" s="10"/>
      <c r="C912" s="11"/>
      <c r="D912" s="11"/>
      <c r="E912" s="11"/>
      <c r="F912" s="11"/>
      <c r="G912" s="12"/>
      <c r="H912" s="12"/>
      <c r="I912" s="10"/>
      <c r="J912" s="12"/>
      <c r="K912" s="13" t="str">
        <f aca="false">IF(ISNUMBER(B912),YEAR(B912),"")</f>
        <v/>
      </c>
      <c r="L912" s="13" t="str">
        <f aca="false">IF(ISNUMBER(B912),MONTH(B912),"")</f>
        <v/>
      </c>
      <c r="M912" s="13" t="str">
        <f aca="false">IF(AND(ISNUMBER(B912),ISNUMBER(I912)),B912-I912+1,"")</f>
        <v/>
      </c>
      <c r="N912" s="14" t="str">
        <f aca="false">IF(B912="","",IF(M912="","시작일 미입력",IF(M912&lt;1,"시작일 이전(확인)",IF(M912=1,"1일째",IF(M912=2,"2일째",IF(M912=3,"3일째",IF(M912&lt;=7,"일주일 이내",IF(M912&lt;=14,"이주일 이내","15일 이후"))))))))</f>
        <v/>
      </c>
      <c r="O912" s="0" t="str">
        <f aca="false">IF(AND(COUNTA($A912:$J912)&gt;0,OR(클레임조회!$C$4="",AND(ISNUMBER($B912),$B912&gt;=클레임조회!$C$4)),OR(클레임조회!$C$5="",AND(ISNUMBER($B912),$B912&lt;=클레임조회!$C$5)),OR(클레임조회!$C$6="",$C912=클레임조회!$C$6),OR(클레임조회!$C$7="",$D912=클레임조회!$C$7),OR(클레임조회!$C$8="",$E912=클레임조회!$C$8),OR(클레임조회!$C$9="",$F912=클레임조회!$C$9),OR(클레임조회!$C$10="",ISNUMBER(SEARCH(클레임조회!$C$10,$C912&amp;" "&amp;$F912&amp;" "&amp;$G912&amp;" "&amp;$H912)))),COUNT(O$1:O911)+1,"")</f>
        <v/>
      </c>
      <c r="P912" s="0" t="str">
        <f aca="false">IF(AND(TRIM(C912)&lt;&gt;"",COUNTIF(C$2:C912,C912)=1),MAX(P$1:P911)+1,"")</f>
        <v/>
      </c>
      <c r="Q912" s="0" t="str">
        <f aca="false">IF(AND(TRIM(F912)&lt;&gt;"",COUNTIF(F$2:F912,F912)=1),MAX(Q$1:Q911)+1,"")</f>
        <v/>
      </c>
    </row>
    <row r="913" customFormat="false" ht="15" hidden="false" customHeight="false" outlineLevel="0" collapsed="false">
      <c r="A913" s="9"/>
      <c r="B913" s="10"/>
      <c r="C913" s="11"/>
      <c r="D913" s="11"/>
      <c r="E913" s="11"/>
      <c r="F913" s="11"/>
      <c r="G913" s="12"/>
      <c r="H913" s="12"/>
      <c r="I913" s="10"/>
      <c r="J913" s="12"/>
      <c r="K913" s="13" t="str">
        <f aca="false">IF(ISNUMBER(B913),YEAR(B913),"")</f>
        <v/>
      </c>
      <c r="L913" s="13" t="str">
        <f aca="false">IF(ISNUMBER(B913),MONTH(B913),"")</f>
        <v/>
      </c>
      <c r="M913" s="13" t="str">
        <f aca="false">IF(AND(ISNUMBER(B913),ISNUMBER(I913)),B913-I913+1,"")</f>
        <v/>
      </c>
      <c r="N913" s="14" t="str">
        <f aca="false">IF(B913="","",IF(M913="","시작일 미입력",IF(M913&lt;1,"시작일 이전(확인)",IF(M913=1,"1일째",IF(M913=2,"2일째",IF(M913=3,"3일째",IF(M913&lt;=7,"일주일 이내",IF(M913&lt;=14,"이주일 이내","15일 이후"))))))))</f>
        <v/>
      </c>
      <c r="O913" s="0" t="str">
        <f aca="false">IF(AND(COUNTA($A913:$J913)&gt;0,OR(클레임조회!$C$4="",AND(ISNUMBER($B913),$B913&gt;=클레임조회!$C$4)),OR(클레임조회!$C$5="",AND(ISNUMBER($B913),$B913&lt;=클레임조회!$C$5)),OR(클레임조회!$C$6="",$C913=클레임조회!$C$6),OR(클레임조회!$C$7="",$D913=클레임조회!$C$7),OR(클레임조회!$C$8="",$E913=클레임조회!$C$8),OR(클레임조회!$C$9="",$F913=클레임조회!$C$9),OR(클레임조회!$C$10="",ISNUMBER(SEARCH(클레임조회!$C$10,$C913&amp;" "&amp;$F913&amp;" "&amp;$G913&amp;" "&amp;$H913)))),COUNT(O$1:O912)+1,"")</f>
        <v/>
      </c>
      <c r="P913" s="0" t="str">
        <f aca="false">IF(AND(TRIM(C913)&lt;&gt;"",COUNTIF(C$2:C913,C913)=1),MAX(P$1:P912)+1,"")</f>
        <v/>
      </c>
      <c r="Q913" s="0" t="str">
        <f aca="false">IF(AND(TRIM(F913)&lt;&gt;"",COUNTIF(F$2:F913,F913)=1),MAX(Q$1:Q912)+1,"")</f>
        <v/>
      </c>
    </row>
    <row r="914" customFormat="false" ht="15" hidden="false" customHeight="false" outlineLevel="0" collapsed="false">
      <c r="A914" s="9"/>
      <c r="B914" s="10"/>
      <c r="C914" s="11"/>
      <c r="D914" s="11"/>
      <c r="E914" s="11"/>
      <c r="F914" s="11"/>
      <c r="G914" s="12"/>
      <c r="H914" s="12"/>
      <c r="I914" s="10"/>
      <c r="J914" s="12"/>
      <c r="K914" s="13" t="str">
        <f aca="false">IF(ISNUMBER(B914),YEAR(B914),"")</f>
        <v/>
      </c>
      <c r="L914" s="13" t="str">
        <f aca="false">IF(ISNUMBER(B914),MONTH(B914),"")</f>
        <v/>
      </c>
      <c r="M914" s="13" t="str">
        <f aca="false">IF(AND(ISNUMBER(B914),ISNUMBER(I914)),B914-I914+1,"")</f>
        <v/>
      </c>
      <c r="N914" s="14" t="str">
        <f aca="false">IF(B914="","",IF(M914="","시작일 미입력",IF(M914&lt;1,"시작일 이전(확인)",IF(M914=1,"1일째",IF(M914=2,"2일째",IF(M914=3,"3일째",IF(M914&lt;=7,"일주일 이내",IF(M914&lt;=14,"이주일 이내","15일 이후"))))))))</f>
        <v/>
      </c>
      <c r="O914" s="0" t="str">
        <f aca="false">IF(AND(COUNTA($A914:$J914)&gt;0,OR(클레임조회!$C$4="",AND(ISNUMBER($B914),$B914&gt;=클레임조회!$C$4)),OR(클레임조회!$C$5="",AND(ISNUMBER($B914),$B914&lt;=클레임조회!$C$5)),OR(클레임조회!$C$6="",$C914=클레임조회!$C$6),OR(클레임조회!$C$7="",$D914=클레임조회!$C$7),OR(클레임조회!$C$8="",$E914=클레임조회!$C$8),OR(클레임조회!$C$9="",$F914=클레임조회!$C$9),OR(클레임조회!$C$10="",ISNUMBER(SEARCH(클레임조회!$C$10,$C914&amp;" "&amp;$F914&amp;" "&amp;$G914&amp;" "&amp;$H914)))),COUNT(O$1:O913)+1,"")</f>
        <v/>
      </c>
      <c r="P914" s="0" t="str">
        <f aca="false">IF(AND(TRIM(C914)&lt;&gt;"",COUNTIF(C$2:C914,C914)=1),MAX(P$1:P913)+1,"")</f>
        <v/>
      </c>
      <c r="Q914" s="0" t="str">
        <f aca="false">IF(AND(TRIM(F914)&lt;&gt;"",COUNTIF(F$2:F914,F914)=1),MAX(Q$1:Q913)+1,"")</f>
        <v/>
      </c>
    </row>
    <row r="915" customFormat="false" ht="15" hidden="false" customHeight="false" outlineLevel="0" collapsed="false">
      <c r="A915" s="9"/>
      <c r="B915" s="10"/>
      <c r="C915" s="11"/>
      <c r="D915" s="11"/>
      <c r="E915" s="11"/>
      <c r="F915" s="11"/>
      <c r="G915" s="12"/>
      <c r="H915" s="12"/>
      <c r="I915" s="10"/>
      <c r="J915" s="12"/>
      <c r="K915" s="13" t="str">
        <f aca="false">IF(ISNUMBER(B915),YEAR(B915),"")</f>
        <v/>
      </c>
      <c r="L915" s="13" t="str">
        <f aca="false">IF(ISNUMBER(B915),MONTH(B915),"")</f>
        <v/>
      </c>
      <c r="M915" s="13" t="str">
        <f aca="false">IF(AND(ISNUMBER(B915),ISNUMBER(I915)),B915-I915+1,"")</f>
        <v/>
      </c>
      <c r="N915" s="14" t="str">
        <f aca="false">IF(B915="","",IF(M915="","시작일 미입력",IF(M915&lt;1,"시작일 이전(확인)",IF(M915=1,"1일째",IF(M915=2,"2일째",IF(M915=3,"3일째",IF(M915&lt;=7,"일주일 이내",IF(M915&lt;=14,"이주일 이내","15일 이후"))))))))</f>
        <v/>
      </c>
      <c r="O915" s="0" t="str">
        <f aca="false">IF(AND(COUNTA($A915:$J915)&gt;0,OR(클레임조회!$C$4="",AND(ISNUMBER($B915),$B915&gt;=클레임조회!$C$4)),OR(클레임조회!$C$5="",AND(ISNUMBER($B915),$B915&lt;=클레임조회!$C$5)),OR(클레임조회!$C$6="",$C915=클레임조회!$C$6),OR(클레임조회!$C$7="",$D915=클레임조회!$C$7),OR(클레임조회!$C$8="",$E915=클레임조회!$C$8),OR(클레임조회!$C$9="",$F915=클레임조회!$C$9),OR(클레임조회!$C$10="",ISNUMBER(SEARCH(클레임조회!$C$10,$C915&amp;" "&amp;$F915&amp;" "&amp;$G915&amp;" "&amp;$H915)))),COUNT(O$1:O914)+1,"")</f>
        <v/>
      </c>
      <c r="P915" s="0" t="str">
        <f aca="false">IF(AND(TRIM(C915)&lt;&gt;"",COUNTIF(C$2:C915,C915)=1),MAX(P$1:P914)+1,"")</f>
        <v/>
      </c>
      <c r="Q915" s="0" t="str">
        <f aca="false">IF(AND(TRIM(F915)&lt;&gt;"",COUNTIF(F$2:F915,F915)=1),MAX(Q$1:Q914)+1,"")</f>
        <v/>
      </c>
    </row>
    <row r="916" customFormat="false" ht="15" hidden="false" customHeight="false" outlineLevel="0" collapsed="false">
      <c r="A916" s="9"/>
      <c r="B916" s="10"/>
      <c r="C916" s="11"/>
      <c r="D916" s="11"/>
      <c r="E916" s="11"/>
      <c r="F916" s="11"/>
      <c r="G916" s="12"/>
      <c r="H916" s="12"/>
      <c r="I916" s="10"/>
      <c r="J916" s="12"/>
      <c r="K916" s="13" t="str">
        <f aca="false">IF(ISNUMBER(B916),YEAR(B916),"")</f>
        <v/>
      </c>
      <c r="L916" s="13" t="str">
        <f aca="false">IF(ISNUMBER(B916),MONTH(B916),"")</f>
        <v/>
      </c>
      <c r="M916" s="13" t="str">
        <f aca="false">IF(AND(ISNUMBER(B916),ISNUMBER(I916)),B916-I916+1,"")</f>
        <v/>
      </c>
      <c r="N916" s="14" t="str">
        <f aca="false">IF(B916="","",IF(M916="","시작일 미입력",IF(M916&lt;1,"시작일 이전(확인)",IF(M916=1,"1일째",IF(M916=2,"2일째",IF(M916=3,"3일째",IF(M916&lt;=7,"일주일 이내",IF(M916&lt;=14,"이주일 이내","15일 이후"))))))))</f>
        <v/>
      </c>
      <c r="O916" s="0" t="str">
        <f aca="false">IF(AND(COUNTA($A916:$J916)&gt;0,OR(클레임조회!$C$4="",AND(ISNUMBER($B916),$B916&gt;=클레임조회!$C$4)),OR(클레임조회!$C$5="",AND(ISNUMBER($B916),$B916&lt;=클레임조회!$C$5)),OR(클레임조회!$C$6="",$C916=클레임조회!$C$6),OR(클레임조회!$C$7="",$D916=클레임조회!$C$7),OR(클레임조회!$C$8="",$E916=클레임조회!$C$8),OR(클레임조회!$C$9="",$F916=클레임조회!$C$9),OR(클레임조회!$C$10="",ISNUMBER(SEARCH(클레임조회!$C$10,$C916&amp;" "&amp;$F916&amp;" "&amp;$G916&amp;" "&amp;$H916)))),COUNT(O$1:O915)+1,"")</f>
        <v/>
      </c>
      <c r="P916" s="0" t="str">
        <f aca="false">IF(AND(TRIM(C916)&lt;&gt;"",COUNTIF(C$2:C916,C916)=1),MAX(P$1:P915)+1,"")</f>
        <v/>
      </c>
      <c r="Q916" s="0" t="str">
        <f aca="false">IF(AND(TRIM(F916)&lt;&gt;"",COUNTIF(F$2:F916,F916)=1),MAX(Q$1:Q915)+1,"")</f>
        <v/>
      </c>
    </row>
    <row r="917" customFormat="false" ht="15" hidden="false" customHeight="false" outlineLevel="0" collapsed="false">
      <c r="A917" s="9"/>
      <c r="B917" s="10"/>
      <c r="C917" s="11"/>
      <c r="D917" s="11"/>
      <c r="E917" s="11"/>
      <c r="F917" s="11"/>
      <c r="G917" s="12"/>
      <c r="H917" s="12"/>
      <c r="I917" s="10"/>
      <c r="J917" s="12"/>
      <c r="K917" s="13" t="str">
        <f aca="false">IF(ISNUMBER(B917),YEAR(B917),"")</f>
        <v/>
      </c>
      <c r="L917" s="13" t="str">
        <f aca="false">IF(ISNUMBER(B917),MONTH(B917),"")</f>
        <v/>
      </c>
      <c r="M917" s="13" t="str">
        <f aca="false">IF(AND(ISNUMBER(B917),ISNUMBER(I917)),B917-I917+1,"")</f>
        <v/>
      </c>
      <c r="N917" s="14" t="str">
        <f aca="false">IF(B917="","",IF(M917="","시작일 미입력",IF(M917&lt;1,"시작일 이전(확인)",IF(M917=1,"1일째",IF(M917=2,"2일째",IF(M917=3,"3일째",IF(M917&lt;=7,"일주일 이내",IF(M917&lt;=14,"이주일 이내","15일 이후"))))))))</f>
        <v/>
      </c>
      <c r="O917" s="0" t="str">
        <f aca="false">IF(AND(COUNTA($A917:$J917)&gt;0,OR(클레임조회!$C$4="",AND(ISNUMBER($B917),$B917&gt;=클레임조회!$C$4)),OR(클레임조회!$C$5="",AND(ISNUMBER($B917),$B917&lt;=클레임조회!$C$5)),OR(클레임조회!$C$6="",$C917=클레임조회!$C$6),OR(클레임조회!$C$7="",$D917=클레임조회!$C$7),OR(클레임조회!$C$8="",$E917=클레임조회!$C$8),OR(클레임조회!$C$9="",$F917=클레임조회!$C$9),OR(클레임조회!$C$10="",ISNUMBER(SEARCH(클레임조회!$C$10,$C917&amp;" "&amp;$F917&amp;" "&amp;$G917&amp;" "&amp;$H917)))),COUNT(O$1:O916)+1,"")</f>
        <v/>
      </c>
      <c r="P917" s="0" t="str">
        <f aca="false">IF(AND(TRIM(C917)&lt;&gt;"",COUNTIF(C$2:C917,C917)=1),MAX(P$1:P916)+1,"")</f>
        <v/>
      </c>
      <c r="Q917" s="0" t="str">
        <f aca="false">IF(AND(TRIM(F917)&lt;&gt;"",COUNTIF(F$2:F917,F917)=1),MAX(Q$1:Q916)+1,"")</f>
        <v/>
      </c>
    </row>
    <row r="918" customFormat="false" ht="15" hidden="false" customHeight="false" outlineLevel="0" collapsed="false">
      <c r="A918" s="9"/>
      <c r="B918" s="10"/>
      <c r="C918" s="11"/>
      <c r="D918" s="11"/>
      <c r="E918" s="11"/>
      <c r="F918" s="11"/>
      <c r="G918" s="12"/>
      <c r="H918" s="12"/>
      <c r="I918" s="10"/>
      <c r="J918" s="12"/>
      <c r="K918" s="13" t="str">
        <f aca="false">IF(ISNUMBER(B918),YEAR(B918),"")</f>
        <v/>
      </c>
      <c r="L918" s="13" t="str">
        <f aca="false">IF(ISNUMBER(B918),MONTH(B918),"")</f>
        <v/>
      </c>
      <c r="M918" s="13" t="str">
        <f aca="false">IF(AND(ISNUMBER(B918),ISNUMBER(I918)),B918-I918+1,"")</f>
        <v/>
      </c>
      <c r="N918" s="14" t="str">
        <f aca="false">IF(B918="","",IF(M918="","시작일 미입력",IF(M918&lt;1,"시작일 이전(확인)",IF(M918=1,"1일째",IF(M918=2,"2일째",IF(M918=3,"3일째",IF(M918&lt;=7,"일주일 이내",IF(M918&lt;=14,"이주일 이내","15일 이후"))))))))</f>
        <v/>
      </c>
      <c r="O918" s="0" t="str">
        <f aca="false">IF(AND(COUNTA($A918:$J918)&gt;0,OR(클레임조회!$C$4="",AND(ISNUMBER($B918),$B918&gt;=클레임조회!$C$4)),OR(클레임조회!$C$5="",AND(ISNUMBER($B918),$B918&lt;=클레임조회!$C$5)),OR(클레임조회!$C$6="",$C918=클레임조회!$C$6),OR(클레임조회!$C$7="",$D918=클레임조회!$C$7),OR(클레임조회!$C$8="",$E918=클레임조회!$C$8),OR(클레임조회!$C$9="",$F918=클레임조회!$C$9),OR(클레임조회!$C$10="",ISNUMBER(SEARCH(클레임조회!$C$10,$C918&amp;" "&amp;$F918&amp;" "&amp;$G918&amp;" "&amp;$H918)))),COUNT(O$1:O917)+1,"")</f>
        <v/>
      </c>
      <c r="P918" s="0" t="str">
        <f aca="false">IF(AND(TRIM(C918)&lt;&gt;"",COUNTIF(C$2:C918,C918)=1),MAX(P$1:P917)+1,"")</f>
        <v/>
      </c>
      <c r="Q918" s="0" t="str">
        <f aca="false">IF(AND(TRIM(F918)&lt;&gt;"",COUNTIF(F$2:F918,F918)=1),MAX(Q$1:Q917)+1,"")</f>
        <v/>
      </c>
    </row>
    <row r="919" customFormat="false" ht="15" hidden="false" customHeight="false" outlineLevel="0" collapsed="false">
      <c r="A919" s="9"/>
      <c r="B919" s="10"/>
      <c r="C919" s="11"/>
      <c r="D919" s="11"/>
      <c r="E919" s="11"/>
      <c r="F919" s="11"/>
      <c r="G919" s="12"/>
      <c r="H919" s="12"/>
      <c r="I919" s="10"/>
      <c r="J919" s="12"/>
      <c r="K919" s="13" t="str">
        <f aca="false">IF(ISNUMBER(B919),YEAR(B919),"")</f>
        <v/>
      </c>
      <c r="L919" s="13" t="str">
        <f aca="false">IF(ISNUMBER(B919),MONTH(B919),"")</f>
        <v/>
      </c>
      <c r="M919" s="13" t="str">
        <f aca="false">IF(AND(ISNUMBER(B919),ISNUMBER(I919)),B919-I919+1,"")</f>
        <v/>
      </c>
      <c r="N919" s="14" t="str">
        <f aca="false">IF(B919="","",IF(M919="","시작일 미입력",IF(M919&lt;1,"시작일 이전(확인)",IF(M919=1,"1일째",IF(M919=2,"2일째",IF(M919=3,"3일째",IF(M919&lt;=7,"일주일 이내",IF(M919&lt;=14,"이주일 이내","15일 이후"))))))))</f>
        <v/>
      </c>
      <c r="O919" s="0" t="str">
        <f aca="false">IF(AND(COUNTA($A919:$J919)&gt;0,OR(클레임조회!$C$4="",AND(ISNUMBER($B919),$B919&gt;=클레임조회!$C$4)),OR(클레임조회!$C$5="",AND(ISNUMBER($B919),$B919&lt;=클레임조회!$C$5)),OR(클레임조회!$C$6="",$C919=클레임조회!$C$6),OR(클레임조회!$C$7="",$D919=클레임조회!$C$7),OR(클레임조회!$C$8="",$E919=클레임조회!$C$8),OR(클레임조회!$C$9="",$F919=클레임조회!$C$9),OR(클레임조회!$C$10="",ISNUMBER(SEARCH(클레임조회!$C$10,$C919&amp;" "&amp;$F919&amp;" "&amp;$G919&amp;" "&amp;$H919)))),COUNT(O$1:O918)+1,"")</f>
        <v/>
      </c>
      <c r="P919" s="0" t="str">
        <f aca="false">IF(AND(TRIM(C919)&lt;&gt;"",COUNTIF(C$2:C919,C919)=1),MAX(P$1:P918)+1,"")</f>
        <v/>
      </c>
      <c r="Q919" s="0" t="str">
        <f aca="false">IF(AND(TRIM(F919)&lt;&gt;"",COUNTIF(F$2:F919,F919)=1),MAX(Q$1:Q918)+1,"")</f>
        <v/>
      </c>
    </row>
    <row r="920" customFormat="false" ht="15" hidden="false" customHeight="false" outlineLevel="0" collapsed="false">
      <c r="A920" s="9"/>
      <c r="B920" s="10"/>
      <c r="C920" s="11"/>
      <c r="D920" s="11"/>
      <c r="E920" s="11"/>
      <c r="F920" s="11"/>
      <c r="G920" s="12"/>
      <c r="H920" s="12"/>
      <c r="I920" s="10"/>
      <c r="J920" s="12"/>
      <c r="K920" s="13" t="str">
        <f aca="false">IF(ISNUMBER(B920),YEAR(B920),"")</f>
        <v/>
      </c>
      <c r="L920" s="13" t="str">
        <f aca="false">IF(ISNUMBER(B920),MONTH(B920),"")</f>
        <v/>
      </c>
      <c r="M920" s="13" t="str">
        <f aca="false">IF(AND(ISNUMBER(B920),ISNUMBER(I920)),B920-I920+1,"")</f>
        <v/>
      </c>
      <c r="N920" s="14" t="str">
        <f aca="false">IF(B920="","",IF(M920="","시작일 미입력",IF(M920&lt;1,"시작일 이전(확인)",IF(M920=1,"1일째",IF(M920=2,"2일째",IF(M920=3,"3일째",IF(M920&lt;=7,"일주일 이내",IF(M920&lt;=14,"이주일 이내","15일 이후"))))))))</f>
        <v/>
      </c>
      <c r="O920" s="0" t="str">
        <f aca="false">IF(AND(COUNTA($A920:$J920)&gt;0,OR(클레임조회!$C$4="",AND(ISNUMBER($B920),$B920&gt;=클레임조회!$C$4)),OR(클레임조회!$C$5="",AND(ISNUMBER($B920),$B920&lt;=클레임조회!$C$5)),OR(클레임조회!$C$6="",$C920=클레임조회!$C$6),OR(클레임조회!$C$7="",$D920=클레임조회!$C$7),OR(클레임조회!$C$8="",$E920=클레임조회!$C$8),OR(클레임조회!$C$9="",$F920=클레임조회!$C$9),OR(클레임조회!$C$10="",ISNUMBER(SEARCH(클레임조회!$C$10,$C920&amp;" "&amp;$F920&amp;" "&amp;$G920&amp;" "&amp;$H920)))),COUNT(O$1:O919)+1,"")</f>
        <v/>
      </c>
      <c r="P920" s="0" t="str">
        <f aca="false">IF(AND(TRIM(C920)&lt;&gt;"",COUNTIF(C$2:C920,C920)=1),MAX(P$1:P919)+1,"")</f>
        <v/>
      </c>
      <c r="Q920" s="0" t="str">
        <f aca="false">IF(AND(TRIM(F920)&lt;&gt;"",COUNTIF(F$2:F920,F920)=1),MAX(Q$1:Q919)+1,"")</f>
        <v/>
      </c>
    </row>
    <row r="921" customFormat="false" ht="15" hidden="false" customHeight="false" outlineLevel="0" collapsed="false">
      <c r="A921" s="9"/>
      <c r="B921" s="10"/>
      <c r="C921" s="11"/>
      <c r="D921" s="11"/>
      <c r="E921" s="11"/>
      <c r="F921" s="11"/>
      <c r="G921" s="12"/>
      <c r="H921" s="12"/>
      <c r="I921" s="10"/>
      <c r="J921" s="12"/>
      <c r="K921" s="13" t="str">
        <f aca="false">IF(ISNUMBER(B921),YEAR(B921),"")</f>
        <v/>
      </c>
      <c r="L921" s="13" t="str">
        <f aca="false">IF(ISNUMBER(B921),MONTH(B921),"")</f>
        <v/>
      </c>
      <c r="M921" s="13" t="str">
        <f aca="false">IF(AND(ISNUMBER(B921),ISNUMBER(I921)),B921-I921+1,"")</f>
        <v/>
      </c>
      <c r="N921" s="14" t="str">
        <f aca="false">IF(B921="","",IF(M921="","시작일 미입력",IF(M921&lt;1,"시작일 이전(확인)",IF(M921=1,"1일째",IF(M921=2,"2일째",IF(M921=3,"3일째",IF(M921&lt;=7,"일주일 이내",IF(M921&lt;=14,"이주일 이내","15일 이후"))))))))</f>
        <v/>
      </c>
      <c r="O921" s="0" t="str">
        <f aca="false">IF(AND(COUNTA($A921:$J921)&gt;0,OR(클레임조회!$C$4="",AND(ISNUMBER($B921),$B921&gt;=클레임조회!$C$4)),OR(클레임조회!$C$5="",AND(ISNUMBER($B921),$B921&lt;=클레임조회!$C$5)),OR(클레임조회!$C$6="",$C921=클레임조회!$C$6),OR(클레임조회!$C$7="",$D921=클레임조회!$C$7),OR(클레임조회!$C$8="",$E921=클레임조회!$C$8),OR(클레임조회!$C$9="",$F921=클레임조회!$C$9),OR(클레임조회!$C$10="",ISNUMBER(SEARCH(클레임조회!$C$10,$C921&amp;" "&amp;$F921&amp;" "&amp;$G921&amp;" "&amp;$H921)))),COUNT(O$1:O920)+1,"")</f>
        <v/>
      </c>
      <c r="P921" s="0" t="str">
        <f aca="false">IF(AND(TRIM(C921)&lt;&gt;"",COUNTIF(C$2:C921,C921)=1),MAX(P$1:P920)+1,"")</f>
        <v/>
      </c>
      <c r="Q921" s="0" t="str">
        <f aca="false">IF(AND(TRIM(F921)&lt;&gt;"",COUNTIF(F$2:F921,F921)=1),MAX(Q$1:Q920)+1,"")</f>
        <v/>
      </c>
    </row>
    <row r="922" customFormat="false" ht="15" hidden="false" customHeight="false" outlineLevel="0" collapsed="false">
      <c r="A922" s="9"/>
      <c r="B922" s="10"/>
      <c r="C922" s="11"/>
      <c r="D922" s="11"/>
      <c r="E922" s="11"/>
      <c r="F922" s="11"/>
      <c r="G922" s="12"/>
      <c r="H922" s="12"/>
      <c r="I922" s="10"/>
      <c r="J922" s="12"/>
      <c r="K922" s="13" t="str">
        <f aca="false">IF(ISNUMBER(B922),YEAR(B922),"")</f>
        <v/>
      </c>
      <c r="L922" s="13" t="str">
        <f aca="false">IF(ISNUMBER(B922),MONTH(B922),"")</f>
        <v/>
      </c>
      <c r="M922" s="13" t="str">
        <f aca="false">IF(AND(ISNUMBER(B922),ISNUMBER(I922)),B922-I922+1,"")</f>
        <v/>
      </c>
      <c r="N922" s="14" t="str">
        <f aca="false">IF(B922="","",IF(M922="","시작일 미입력",IF(M922&lt;1,"시작일 이전(확인)",IF(M922=1,"1일째",IF(M922=2,"2일째",IF(M922=3,"3일째",IF(M922&lt;=7,"일주일 이내",IF(M922&lt;=14,"이주일 이내","15일 이후"))))))))</f>
        <v/>
      </c>
      <c r="O922" s="0" t="str">
        <f aca="false">IF(AND(COUNTA($A922:$J922)&gt;0,OR(클레임조회!$C$4="",AND(ISNUMBER($B922),$B922&gt;=클레임조회!$C$4)),OR(클레임조회!$C$5="",AND(ISNUMBER($B922),$B922&lt;=클레임조회!$C$5)),OR(클레임조회!$C$6="",$C922=클레임조회!$C$6),OR(클레임조회!$C$7="",$D922=클레임조회!$C$7),OR(클레임조회!$C$8="",$E922=클레임조회!$C$8),OR(클레임조회!$C$9="",$F922=클레임조회!$C$9),OR(클레임조회!$C$10="",ISNUMBER(SEARCH(클레임조회!$C$10,$C922&amp;" "&amp;$F922&amp;" "&amp;$G922&amp;" "&amp;$H922)))),COUNT(O$1:O921)+1,"")</f>
        <v/>
      </c>
      <c r="P922" s="0" t="str">
        <f aca="false">IF(AND(TRIM(C922)&lt;&gt;"",COUNTIF(C$2:C922,C922)=1),MAX(P$1:P921)+1,"")</f>
        <v/>
      </c>
      <c r="Q922" s="0" t="str">
        <f aca="false">IF(AND(TRIM(F922)&lt;&gt;"",COUNTIF(F$2:F922,F922)=1),MAX(Q$1:Q921)+1,"")</f>
        <v/>
      </c>
    </row>
    <row r="923" customFormat="false" ht="15" hidden="false" customHeight="false" outlineLevel="0" collapsed="false">
      <c r="A923" s="9"/>
      <c r="B923" s="10"/>
      <c r="C923" s="11"/>
      <c r="D923" s="11"/>
      <c r="E923" s="11"/>
      <c r="F923" s="11"/>
      <c r="G923" s="12"/>
      <c r="H923" s="12"/>
      <c r="I923" s="10"/>
      <c r="J923" s="12"/>
      <c r="K923" s="13" t="str">
        <f aca="false">IF(ISNUMBER(B923),YEAR(B923),"")</f>
        <v/>
      </c>
      <c r="L923" s="13" t="str">
        <f aca="false">IF(ISNUMBER(B923),MONTH(B923),"")</f>
        <v/>
      </c>
      <c r="M923" s="13" t="str">
        <f aca="false">IF(AND(ISNUMBER(B923),ISNUMBER(I923)),B923-I923+1,"")</f>
        <v/>
      </c>
      <c r="N923" s="14" t="str">
        <f aca="false">IF(B923="","",IF(M923="","시작일 미입력",IF(M923&lt;1,"시작일 이전(확인)",IF(M923=1,"1일째",IF(M923=2,"2일째",IF(M923=3,"3일째",IF(M923&lt;=7,"일주일 이내",IF(M923&lt;=14,"이주일 이내","15일 이후"))))))))</f>
        <v/>
      </c>
      <c r="O923" s="0" t="str">
        <f aca="false">IF(AND(COUNTA($A923:$J923)&gt;0,OR(클레임조회!$C$4="",AND(ISNUMBER($B923),$B923&gt;=클레임조회!$C$4)),OR(클레임조회!$C$5="",AND(ISNUMBER($B923),$B923&lt;=클레임조회!$C$5)),OR(클레임조회!$C$6="",$C923=클레임조회!$C$6),OR(클레임조회!$C$7="",$D923=클레임조회!$C$7),OR(클레임조회!$C$8="",$E923=클레임조회!$C$8),OR(클레임조회!$C$9="",$F923=클레임조회!$C$9),OR(클레임조회!$C$10="",ISNUMBER(SEARCH(클레임조회!$C$10,$C923&amp;" "&amp;$F923&amp;" "&amp;$G923&amp;" "&amp;$H923)))),COUNT(O$1:O922)+1,"")</f>
        <v/>
      </c>
      <c r="P923" s="0" t="str">
        <f aca="false">IF(AND(TRIM(C923)&lt;&gt;"",COUNTIF(C$2:C923,C923)=1),MAX(P$1:P922)+1,"")</f>
        <v/>
      </c>
      <c r="Q923" s="0" t="str">
        <f aca="false">IF(AND(TRIM(F923)&lt;&gt;"",COUNTIF(F$2:F923,F923)=1),MAX(Q$1:Q922)+1,"")</f>
        <v/>
      </c>
    </row>
    <row r="924" customFormat="false" ht="15" hidden="false" customHeight="false" outlineLevel="0" collapsed="false">
      <c r="A924" s="9"/>
      <c r="B924" s="10"/>
      <c r="C924" s="11"/>
      <c r="D924" s="11"/>
      <c r="E924" s="11"/>
      <c r="F924" s="11"/>
      <c r="G924" s="12"/>
      <c r="H924" s="12"/>
      <c r="I924" s="10"/>
      <c r="J924" s="12"/>
      <c r="K924" s="13" t="str">
        <f aca="false">IF(ISNUMBER(B924),YEAR(B924),"")</f>
        <v/>
      </c>
      <c r="L924" s="13" t="str">
        <f aca="false">IF(ISNUMBER(B924),MONTH(B924),"")</f>
        <v/>
      </c>
      <c r="M924" s="13" t="str">
        <f aca="false">IF(AND(ISNUMBER(B924),ISNUMBER(I924)),B924-I924+1,"")</f>
        <v/>
      </c>
      <c r="N924" s="14" t="str">
        <f aca="false">IF(B924="","",IF(M924="","시작일 미입력",IF(M924&lt;1,"시작일 이전(확인)",IF(M924=1,"1일째",IF(M924=2,"2일째",IF(M924=3,"3일째",IF(M924&lt;=7,"일주일 이내",IF(M924&lt;=14,"이주일 이내","15일 이후"))))))))</f>
        <v/>
      </c>
      <c r="O924" s="0" t="str">
        <f aca="false">IF(AND(COUNTA($A924:$J924)&gt;0,OR(클레임조회!$C$4="",AND(ISNUMBER($B924),$B924&gt;=클레임조회!$C$4)),OR(클레임조회!$C$5="",AND(ISNUMBER($B924),$B924&lt;=클레임조회!$C$5)),OR(클레임조회!$C$6="",$C924=클레임조회!$C$6),OR(클레임조회!$C$7="",$D924=클레임조회!$C$7),OR(클레임조회!$C$8="",$E924=클레임조회!$C$8),OR(클레임조회!$C$9="",$F924=클레임조회!$C$9),OR(클레임조회!$C$10="",ISNUMBER(SEARCH(클레임조회!$C$10,$C924&amp;" "&amp;$F924&amp;" "&amp;$G924&amp;" "&amp;$H924)))),COUNT(O$1:O923)+1,"")</f>
        <v/>
      </c>
      <c r="P924" s="0" t="str">
        <f aca="false">IF(AND(TRIM(C924)&lt;&gt;"",COUNTIF(C$2:C924,C924)=1),MAX(P$1:P923)+1,"")</f>
        <v/>
      </c>
      <c r="Q924" s="0" t="str">
        <f aca="false">IF(AND(TRIM(F924)&lt;&gt;"",COUNTIF(F$2:F924,F924)=1),MAX(Q$1:Q923)+1,"")</f>
        <v/>
      </c>
    </row>
    <row r="925" customFormat="false" ht="15" hidden="false" customHeight="false" outlineLevel="0" collapsed="false">
      <c r="A925" s="9"/>
      <c r="B925" s="10"/>
      <c r="C925" s="11"/>
      <c r="D925" s="11"/>
      <c r="E925" s="11"/>
      <c r="F925" s="11"/>
      <c r="G925" s="12"/>
      <c r="H925" s="12"/>
      <c r="I925" s="10"/>
      <c r="J925" s="12"/>
      <c r="K925" s="13" t="str">
        <f aca="false">IF(ISNUMBER(B925),YEAR(B925),"")</f>
        <v/>
      </c>
      <c r="L925" s="13" t="str">
        <f aca="false">IF(ISNUMBER(B925),MONTH(B925),"")</f>
        <v/>
      </c>
      <c r="M925" s="13" t="str">
        <f aca="false">IF(AND(ISNUMBER(B925),ISNUMBER(I925)),B925-I925+1,"")</f>
        <v/>
      </c>
      <c r="N925" s="14" t="str">
        <f aca="false">IF(B925="","",IF(M925="","시작일 미입력",IF(M925&lt;1,"시작일 이전(확인)",IF(M925=1,"1일째",IF(M925=2,"2일째",IF(M925=3,"3일째",IF(M925&lt;=7,"일주일 이내",IF(M925&lt;=14,"이주일 이내","15일 이후"))))))))</f>
        <v/>
      </c>
      <c r="O925" s="0" t="str">
        <f aca="false">IF(AND(COUNTA($A925:$J925)&gt;0,OR(클레임조회!$C$4="",AND(ISNUMBER($B925),$B925&gt;=클레임조회!$C$4)),OR(클레임조회!$C$5="",AND(ISNUMBER($B925),$B925&lt;=클레임조회!$C$5)),OR(클레임조회!$C$6="",$C925=클레임조회!$C$6),OR(클레임조회!$C$7="",$D925=클레임조회!$C$7),OR(클레임조회!$C$8="",$E925=클레임조회!$C$8),OR(클레임조회!$C$9="",$F925=클레임조회!$C$9),OR(클레임조회!$C$10="",ISNUMBER(SEARCH(클레임조회!$C$10,$C925&amp;" "&amp;$F925&amp;" "&amp;$G925&amp;" "&amp;$H925)))),COUNT(O$1:O924)+1,"")</f>
        <v/>
      </c>
      <c r="P925" s="0" t="str">
        <f aca="false">IF(AND(TRIM(C925)&lt;&gt;"",COUNTIF(C$2:C925,C925)=1),MAX(P$1:P924)+1,"")</f>
        <v/>
      </c>
      <c r="Q925" s="0" t="str">
        <f aca="false">IF(AND(TRIM(F925)&lt;&gt;"",COUNTIF(F$2:F925,F925)=1),MAX(Q$1:Q924)+1,"")</f>
        <v/>
      </c>
    </row>
    <row r="926" customFormat="false" ht="15" hidden="false" customHeight="false" outlineLevel="0" collapsed="false">
      <c r="A926" s="9"/>
      <c r="B926" s="10"/>
      <c r="C926" s="11"/>
      <c r="D926" s="11"/>
      <c r="E926" s="11"/>
      <c r="F926" s="11"/>
      <c r="G926" s="12"/>
      <c r="H926" s="12"/>
      <c r="I926" s="10"/>
      <c r="J926" s="12"/>
      <c r="K926" s="13" t="str">
        <f aca="false">IF(ISNUMBER(B926),YEAR(B926),"")</f>
        <v/>
      </c>
      <c r="L926" s="13" t="str">
        <f aca="false">IF(ISNUMBER(B926),MONTH(B926),"")</f>
        <v/>
      </c>
      <c r="M926" s="13" t="str">
        <f aca="false">IF(AND(ISNUMBER(B926),ISNUMBER(I926)),B926-I926+1,"")</f>
        <v/>
      </c>
      <c r="N926" s="14" t="str">
        <f aca="false">IF(B926="","",IF(M926="","시작일 미입력",IF(M926&lt;1,"시작일 이전(확인)",IF(M926=1,"1일째",IF(M926=2,"2일째",IF(M926=3,"3일째",IF(M926&lt;=7,"일주일 이내",IF(M926&lt;=14,"이주일 이내","15일 이후"))))))))</f>
        <v/>
      </c>
      <c r="O926" s="0" t="str">
        <f aca="false">IF(AND(COUNTA($A926:$J926)&gt;0,OR(클레임조회!$C$4="",AND(ISNUMBER($B926),$B926&gt;=클레임조회!$C$4)),OR(클레임조회!$C$5="",AND(ISNUMBER($B926),$B926&lt;=클레임조회!$C$5)),OR(클레임조회!$C$6="",$C926=클레임조회!$C$6),OR(클레임조회!$C$7="",$D926=클레임조회!$C$7),OR(클레임조회!$C$8="",$E926=클레임조회!$C$8),OR(클레임조회!$C$9="",$F926=클레임조회!$C$9),OR(클레임조회!$C$10="",ISNUMBER(SEARCH(클레임조회!$C$10,$C926&amp;" "&amp;$F926&amp;" "&amp;$G926&amp;" "&amp;$H926)))),COUNT(O$1:O925)+1,"")</f>
        <v/>
      </c>
      <c r="P926" s="0" t="str">
        <f aca="false">IF(AND(TRIM(C926)&lt;&gt;"",COUNTIF(C$2:C926,C926)=1),MAX(P$1:P925)+1,"")</f>
        <v/>
      </c>
      <c r="Q926" s="0" t="str">
        <f aca="false">IF(AND(TRIM(F926)&lt;&gt;"",COUNTIF(F$2:F926,F926)=1),MAX(Q$1:Q925)+1,"")</f>
        <v/>
      </c>
    </row>
    <row r="927" customFormat="false" ht="15" hidden="false" customHeight="false" outlineLevel="0" collapsed="false">
      <c r="A927" s="9"/>
      <c r="B927" s="10"/>
      <c r="C927" s="11"/>
      <c r="D927" s="11"/>
      <c r="E927" s="11"/>
      <c r="F927" s="11"/>
      <c r="G927" s="12"/>
      <c r="H927" s="12"/>
      <c r="I927" s="10"/>
      <c r="J927" s="12"/>
      <c r="K927" s="13" t="str">
        <f aca="false">IF(ISNUMBER(B927),YEAR(B927),"")</f>
        <v/>
      </c>
      <c r="L927" s="13" t="str">
        <f aca="false">IF(ISNUMBER(B927),MONTH(B927),"")</f>
        <v/>
      </c>
      <c r="M927" s="13" t="str">
        <f aca="false">IF(AND(ISNUMBER(B927),ISNUMBER(I927)),B927-I927+1,"")</f>
        <v/>
      </c>
      <c r="N927" s="14" t="str">
        <f aca="false">IF(B927="","",IF(M927="","시작일 미입력",IF(M927&lt;1,"시작일 이전(확인)",IF(M927=1,"1일째",IF(M927=2,"2일째",IF(M927=3,"3일째",IF(M927&lt;=7,"일주일 이내",IF(M927&lt;=14,"이주일 이내","15일 이후"))))))))</f>
        <v/>
      </c>
      <c r="O927" s="0" t="str">
        <f aca="false">IF(AND(COUNTA($A927:$J927)&gt;0,OR(클레임조회!$C$4="",AND(ISNUMBER($B927),$B927&gt;=클레임조회!$C$4)),OR(클레임조회!$C$5="",AND(ISNUMBER($B927),$B927&lt;=클레임조회!$C$5)),OR(클레임조회!$C$6="",$C927=클레임조회!$C$6),OR(클레임조회!$C$7="",$D927=클레임조회!$C$7),OR(클레임조회!$C$8="",$E927=클레임조회!$C$8),OR(클레임조회!$C$9="",$F927=클레임조회!$C$9),OR(클레임조회!$C$10="",ISNUMBER(SEARCH(클레임조회!$C$10,$C927&amp;" "&amp;$F927&amp;" "&amp;$G927&amp;" "&amp;$H927)))),COUNT(O$1:O926)+1,"")</f>
        <v/>
      </c>
      <c r="P927" s="0" t="str">
        <f aca="false">IF(AND(TRIM(C927)&lt;&gt;"",COUNTIF(C$2:C927,C927)=1),MAX(P$1:P926)+1,"")</f>
        <v/>
      </c>
      <c r="Q927" s="0" t="str">
        <f aca="false">IF(AND(TRIM(F927)&lt;&gt;"",COUNTIF(F$2:F927,F927)=1),MAX(Q$1:Q926)+1,"")</f>
        <v/>
      </c>
    </row>
    <row r="928" customFormat="false" ht="15" hidden="false" customHeight="false" outlineLevel="0" collapsed="false">
      <c r="A928" s="9"/>
      <c r="B928" s="10"/>
      <c r="C928" s="11"/>
      <c r="D928" s="11"/>
      <c r="E928" s="11"/>
      <c r="F928" s="11"/>
      <c r="G928" s="12"/>
      <c r="H928" s="12"/>
      <c r="I928" s="10"/>
      <c r="J928" s="12"/>
      <c r="K928" s="13" t="str">
        <f aca="false">IF(ISNUMBER(B928),YEAR(B928),"")</f>
        <v/>
      </c>
      <c r="L928" s="13" t="str">
        <f aca="false">IF(ISNUMBER(B928),MONTH(B928),"")</f>
        <v/>
      </c>
      <c r="M928" s="13" t="str">
        <f aca="false">IF(AND(ISNUMBER(B928),ISNUMBER(I928)),B928-I928+1,"")</f>
        <v/>
      </c>
      <c r="N928" s="14" t="str">
        <f aca="false">IF(B928="","",IF(M928="","시작일 미입력",IF(M928&lt;1,"시작일 이전(확인)",IF(M928=1,"1일째",IF(M928=2,"2일째",IF(M928=3,"3일째",IF(M928&lt;=7,"일주일 이내",IF(M928&lt;=14,"이주일 이내","15일 이후"))))))))</f>
        <v/>
      </c>
      <c r="O928" s="0" t="str">
        <f aca="false">IF(AND(COUNTA($A928:$J928)&gt;0,OR(클레임조회!$C$4="",AND(ISNUMBER($B928),$B928&gt;=클레임조회!$C$4)),OR(클레임조회!$C$5="",AND(ISNUMBER($B928),$B928&lt;=클레임조회!$C$5)),OR(클레임조회!$C$6="",$C928=클레임조회!$C$6),OR(클레임조회!$C$7="",$D928=클레임조회!$C$7),OR(클레임조회!$C$8="",$E928=클레임조회!$C$8),OR(클레임조회!$C$9="",$F928=클레임조회!$C$9),OR(클레임조회!$C$10="",ISNUMBER(SEARCH(클레임조회!$C$10,$C928&amp;" "&amp;$F928&amp;" "&amp;$G928&amp;" "&amp;$H928)))),COUNT(O$1:O927)+1,"")</f>
        <v/>
      </c>
      <c r="P928" s="0" t="str">
        <f aca="false">IF(AND(TRIM(C928)&lt;&gt;"",COUNTIF(C$2:C928,C928)=1),MAX(P$1:P927)+1,"")</f>
        <v/>
      </c>
      <c r="Q928" s="0" t="str">
        <f aca="false">IF(AND(TRIM(F928)&lt;&gt;"",COUNTIF(F$2:F928,F928)=1),MAX(Q$1:Q927)+1,"")</f>
        <v/>
      </c>
    </row>
    <row r="929" customFormat="false" ht="15" hidden="false" customHeight="false" outlineLevel="0" collapsed="false">
      <c r="A929" s="9"/>
      <c r="B929" s="10"/>
      <c r="C929" s="11"/>
      <c r="D929" s="11"/>
      <c r="E929" s="11"/>
      <c r="F929" s="11"/>
      <c r="G929" s="12"/>
      <c r="H929" s="12"/>
      <c r="I929" s="10"/>
      <c r="J929" s="12"/>
      <c r="K929" s="13" t="str">
        <f aca="false">IF(ISNUMBER(B929),YEAR(B929),"")</f>
        <v/>
      </c>
      <c r="L929" s="13" t="str">
        <f aca="false">IF(ISNUMBER(B929),MONTH(B929),"")</f>
        <v/>
      </c>
      <c r="M929" s="13" t="str">
        <f aca="false">IF(AND(ISNUMBER(B929),ISNUMBER(I929)),B929-I929+1,"")</f>
        <v/>
      </c>
      <c r="N929" s="14" t="str">
        <f aca="false">IF(B929="","",IF(M929="","시작일 미입력",IF(M929&lt;1,"시작일 이전(확인)",IF(M929=1,"1일째",IF(M929=2,"2일째",IF(M929=3,"3일째",IF(M929&lt;=7,"일주일 이내",IF(M929&lt;=14,"이주일 이내","15일 이후"))))))))</f>
        <v/>
      </c>
      <c r="O929" s="0" t="str">
        <f aca="false">IF(AND(COUNTA($A929:$J929)&gt;0,OR(클레임조회!$C$4="",AND(ISNUMBER($B929),$B929&gt;=클레임조회!$C$4)),OR(클레임조회!$C$5="",AND(ISNUMBER($B929),$B929&lt;=클레임조회!$C$5)),OR(클레임조회!$C$6="",$C929=클레임조회!$C$6),OR(클레임조회!$C$7="",$D929=클레임조회!$C$7),OR(클레임조회!$C$8="",$E929=클레임조회!$C$8),OR(클레임조회!$C$9="",$F929=클레임조회!$C$9),OR(클레임조회!$C$10="",ISNUMBER(SEARCH(클레임조회!$C$10,$C929&amp;" "&amp;$F929&amp;" "&amp;$G929&amp;" "&amp;$H929)))),COUNT(O$1:O928)+1,"")</f>
        <v/>
      </c>
      <c r="P929" s="0" t="str">
        <f aca="false">IF(AND(TRIM(C929)&lt;&gt;"",COUNTIF(C$2:C929,C929)=1),MAX(P$1:P928)+1,"")</f>
        <v/>
      </c>
      <c r="Q929" s="0" t="str">
        <f aca="false">IF(AND(TRIM(F929)&lt;&gt;"",COUNTIF(F$2:F929,F929)=1),MAX(Q$1:Q928)+1,"")</f>
        <v/>
      </c>
    </row>
    <row r="930" customFormat="false" ht="15" hidden="false" customHeight="false" outlineLevel="0" collapsed="false">
      <c r="A930" s="9"/>
      <c r="B930" s="10"/>
      <c r="C930" s="11"/>
      <c r="D930" s="11"/>
      <c r="E930" s="11"/>
      <c r="F930" s="11"/>
      <c r="G930" s="12"/>
      <c r="H930" s="12"/>
      <c r="I930" s="10"/>
      <c r="J930" s="12"/>
      <c r="K930" s="13" t="str">
        <f aca="false">IF(ISNUMBER(B930),YEAR(B930),"")</f>
        <v/>
      </c>
      <c r="L930" s="13" t="str">
        <f aca="false">IF(ISNUMBER(B930),MONTH(B930),"")</f>
        <v/>
      </c>
      <c r="M930" s="13" t="str">
        <f aca="false">IF(AND(ISNUMBER(B930),ISNUMBER(I930)),B930-I930+1,"")</f>
        <v/>
      </c>
      <c r="N930" s="14" t="str">
        <f aca="false">IF(B930="","",IF(M930="","시작일 미입력",IF(M930&lt;1,"시작일 이전(확인)",IF(M930=1,"1일째",IF(M930=2,"2일째",IF(M930=3,"3일째",IF(M930&lt;=7,"일주일 이내",IF(M930&lt;=14,"이주일 이내","15일 이후"))))))))</f>
        <v/>
      </c>
      <c r="O930" s="0" t="str">
        <f aca="false">IF(AND(COUNTA($A930:$J930)&gt;0,OR(클레임조회!$C$4="",AND(ISNUMBER($B930),$B930&gt;=클레임조회!$C$4)),OR(클레임조회!$C$5="",AND(ISNUMBER($B930),$B930&lt;=클레임조회!$C$5)),OR(클레임조회!$C$6="",$C930=클레임조회!$C$6),OR(클레임조회!$C$7="",$D930=클레임조회!$C$7),OR(클레임조회!$C$8="",$E930=클레임조회!$C$8),OR(클레임조회!$C$9="",$F930=클레임조회!$C$9),OR(클레임조회!$C$10="",ISNUMBER(SEARCH(클레임조회!$C$10,$C930&amp;" "&amp;$F930&amp;" "&amp;$G930&amp;" "&amp;$H930)))),COUNT(O$1:O929)+1,"")</f>
        <v/>
      </c>
      <c r="P930" s="0" t="str">
        <f aca="false">IF(AND(TRIM(C930)&lt;&gt;"",COUNTIF(C$2:C930,C930)=1),MAX(P$1:P929)+1,"")</f>
        <v/>
      </c>
      <c r="Q930" s="0" t="str">
        <f aca="false">IF(AND(TRIM(F930)&lt;&gt;"",COUNTIF(F$2:F930,F930)=1),MAX(Q$1:Q929)+1,"")</f>
        <v/>
      </c>
    </row>
    <row r="931" customFormat="false" ht="15" hidden="false" customHeight="false" outlineLevel="0" collapsed="false">
      <c r="A931" s="9"/>
      <c r="B931" s="10"/>
      <c r="C931" s="11"/>
      <c r="D931" s="11"/>
      <c r="E931" s="11"/>
      <c r="F931" s="11"/>
      <c r="G931" s="12"/>
      <c r="H931" s="12"/>
      <c r="I931" s="10"/>
      <c r="J931" s="12"/>
      <c r="K931" s="13" t="str">
        <f aca="false">IF(ISNUMBER(B931),YEAR(B931),"")</f>
        <v/>
      </c>
      <c r="L931" s="13" t="str">
        <f aca="false">IF(ISNUMBER(B931),MONTH(B931),"")</f>
        <v/>
      </c>
      <c r="M931" s="13" t="str">
        <f aca="false">IF(AND(ISNUMBER(B931),ISNUMBER(I931)),B931-I931+1,"")</f>
        <v/>
      </c>
      <c r="N931" s="14" t="str">
        <f aca="false">IF(B931="","",IF(M931="","시작일 미입력",IF(M931&lt;1,"시작일 이전(확인)",IF(M931=1,"1일째",IF(M931=2,"2일째",IF(M931=3,"3일째",IF(M931&lt;=7,"일주일 이내",IF(M931&lt;=14,"이주일 이내","15일 이후"))))))))</f>
        <v/>
      </c>
      <c r="O931" s="0" t="str">
        <f aca="false">IF(AND(COUNTA($A931:$J931)&gt;0,OR(클레임조회!$C$4="",AND(ISNUMBER($B931),$B931&gt;=클레임조회!$C$4)),OR(클레임조회!$C$5="",AND(ISNUMBER($B931),$B931&lt;=클레임조회!$C$5)),OR(클레임조회!$C$6="",$C931=클레임조회!$C$6),OR(클레임조회!$C$7="",$D931=클레임조회!$C$7),OR(클레임조회!$C$8="",$E931=클레임조회!$C$8),OR(클레임조회!$C$9="",$F931=클레임조회!$C$9),OR(클레임조회!$C$10="",ISNUMBER(SEARCH(클레임조회!$C$10,$C931&amp;" "&amp;$F931&amp;" "&amp;$G931&amp;" "&amp;$H931)))),COUNT(O$1:O930)+1,"")</f>
        <v/>
      </c>
      <c r="P931" s="0" t="str">
        <f aca="false">IF(AND(TRIM(C931)&lt;&gt;"",COUNTIF(C$2:C931,C931)=1),MAX(P$1:P930)+1,"")</f>
        <v/>
      </c>
      <c r="Q931" s="0" t="str">
        <f aca="false">IF(AND(TRIM(F931)&lt;&gt;"",COUNTIF(F$2:F931,F931)=1),MAX(Q$1:Q930)+1,"")</f>
        <v/>
      </c>
    </row>
    <row r="932" customFormat="false" ht="15" hidden="false" customHeight="false" outlineLevel="0" collapsed="false">
      <c r="A932" s="9"/>
      <c r="B932" s="10"/>
      <c r="C932" s="11"/>
      <c r="D932" s="11"/>
      <c r="E932" s="11"/>
      <c r="F932" s="11"/>
      <c r="G932" s="12"/>
      <c r="H932" s="12"/>
      <c r="I932" s="10"/>
      <c r="J932" s="12"/>
      <c r="K932" s="13" t="str">
        <f aca="false">IF(ISNUMBER(B932),YEAR(B932),"")</f>
        <v/>
      </c>
      <c r="L932" s="13" t="str">
        <f aca="false">IF(ISNUMBER(B932),MONTH(B932),"")</f>
        <v/>
      </c>
      <c r="M932" s="13" t="str">
        <f aca="false">IF(AND(ISNUMBER(B932),ISNUMBER(I932)),B932-I932+1,"")</f>
        <v/>
      </c>
      <c r="N932" s="14" t="str">
        <f aca="false">IF(B932="","",IF(M932="","시작일 미입력",IF(M932&lt;1,"시작일 이전(확인)",IF(M932=1,"1일째",IF(M932=2,"2일째",IF(M932=3,"3일째",IF(M932&lt;=7,"일주일 이내",IF(M932&lt;=14,"이주일 이내","15일 이후"))))))))</f>
        <v/>
      </c>
      <c r="O932" s="0" t="str">
        <f aca="false">IF(AND(COUNTA($A932:$J932)&gt;0,OR(클레임조회!$C$4="",AND(ISNUMBER($B932),$B932&gt;=클레임조회!$C$4)),OR(클레임조회!$C$5="",AND(ISNUMBER($B932),$B932&lt;=클레임조회!$C$5)),OR(클레임조회!$C$6="",$C932=클레임조회!$C$6),OR(클레임조회!$C$7="",$D932=클레임조회!$C$7),OR(클레임조회!$C$8="",$E932=클레임조회!$C$8),OR(클레임조회!$C$9="",$F932=클레임조회!$C$9),OR(클레임조회!$C$10="",ISNUMBER(SEARCH(클레임조회!$C$10,$C932&amp;" "&amp;$F932&amp;" "&amp;$G932&amp;" "&amp;$H932)))),COUNT(O$1:O931)+1,"")</f>
        <v/>
      </c>
      <c r="P932" s="0" t="str">
        <f aca="false">IF(AND(TRIM(C932)&lt;&gt;"",COUNTIF(C$2:C932,C932)=1),MAX(P$1:P931)+1,"")</f>
        <v/>
      </c>
      <c r="Q932" s="0" t="str">
        <f aca="false">IF(AND(TRIM(F932)&lt;&gt;"",COUNTIF(F$2:F932,F932)=1),MAX(Q$1:Q931)+1,"")</f>
        <v/>
      </c>
    </row>
    <row r="933" customFormat="false" ht="15" hidden="false" customHeight="false" outlineLevel="0" collapsed="false">
      <c r="A933" s="9"/>
      <c r="B933" s="10"/>
      <c r="C933" s="11"/>
      <c r="D933" s="11"/>
      <c r="E933" s="11"/>
      <c r="F933" s="11"/>
      <c r="G933" s="12"/>
      <c r="H933" s="12"/>
      <c r="I933" s="10"/>
      <c r="J933" s="12"/>
      <c r="K933" s="13" t="str">
        <f aca="false">IF(ISNUMBER(B933),YEAR(B933),"")</f>
        <v/>
      </c>
      <c r="L933" s="13" t="str">
        <f aca="false">IF(ISNUMBER(B933),MONTH(B933),"")</f>
        <v/>
      </c>
      <c r="M933" s="13" t="str">
        <f aca="false">IF(AND(ISNUMBER(B933),ISNUMBER(I933)),B933-I933+1,"")</f>
        <v/>
      </c>
      <c r="N933" s="14" t="str">
        <f aca="false">IF(B933="","",IF(M933="","시작일 미입력",IF(M933&lt;1,"시작일 이전(확인)",IF(M933=1,"1일째",IF(M933=2,"2일째",IF(M933=3,"3일째",IF(M933&lt;=7,"일주일 이내",IF(M933&lt;=14,"이주일 이내","15일 이후"))))))))</f>
        <v/>
      </c>
      <c r="O933" s="0" t="str">
        <f aca="false">IF(AND(COUNTA($A933:$J933)&gt;0,OR(클레임조회!$C$4="",AND(ISNUMBER($B933),$B933&gt;=클레임조회!$C$4)),OR(클레임조회!$C$5="",AND(ISNUMBER($B933),$B933&lt;=클레임조회!$C$5)),OR(클레임조회!$C$6="",$C933=클레임조회!$C$6),OR(클레임조회!$C$7="",$D933=클레임조회!$C$7),OR(클레임조회!$C$8="",$E933=클레임조회!$C$8),OR(클레임조회!$C$9="",$F933=클레임조회!$C$9),OR(클레임조회!$C$10="",ISNUMBER(SEARCH(클레임조회!$C$10,$C933&amp;" "&amp;$F933&amp;" "&amp;$G933&amp;" "&amp;$H933)))),COUNT(O$1:O932)+1,"")</f>
        <v/>
      </c>
      <c r="P933" s="0" t="str">
        <f aca="false">IF(AND(TRIM(C933)&lt;&gt;"",COUNTIF(C$2:C933,C933)=1),MAX(P$1:P932)+1,"")</f>
        <v/>
      </c>
      <c r="Q933" s="0" t="str">
        <f aca="false">IF(AND(TRIM(F933)&lt;&gt;"",COUNTIF(F$2:F933,F933)=1),MAX(Q$1:Q932)+1,"")</f>
        <v/>
      </c>
    </row>
    <row r="934" customFormat="false" ht="15" hidden="false" customHeight="false" outlineLevel="0" collapsed="false">
      <c r="A934" s="9"/>
      <c r="B934" s="10"/>
      <c r="C934" s="11"/>
      <c r="D934" s="11"/>
      <c r="E934" s="11"/>
      <c r="F934" s="11"/>
      <c r="G934" s="12"/>
      <c r="H934" s="12"/>
      <c r="I934" s="10"/>
      <c r="J934" s="12"/>
      <c r="K934" s="13" t="str">
        <f aca="false">IF(ISNUMBER(B934),YEAR(B934),"")</f>
        <v/>
      </c>
      <c r="L934" s="13" t="str">
        <f aca="false">IF(ISNUMBER(B934),MONTH(B934),"")</f>
        <v/>
      </c>
      <c r="M934" s="13" t="str">
        <f aca="false">IF(AND(ISNUMBER(B934),ISNUMBER(I934)),B934-I934+1,"")</f>
        <v/>
      </c>
      <c r="N934" s="14" t="str">
        <f aca="false">IF(B934="","",IF(M934="","시작일 미입력",IF(M934&lt;1,"시작일 이전(확인)",IF(M934=1,"1일째",IF(M934=2,"2일째",IF(M934=3,"3일째",IF(M934&lt;=7,"일주일 이내",IF(M934&lt;=14,"이주일 이내","15일 이후"))))))))</f>
        <v/>
      </c>
      <c r="O934" s="0" t="str">
        <f aca="false">IF(AND(COUNTA($A934:$J934)&gt;0,OR(클레임조회!$C$4="",AND(ISNUMBER($B934),$B934&gt;=클레임조회!$C$4)),OR(클레임조회!$C$5="",AND(ISNUMBER($B934),$B934&lt;=클레임조회!$C$5)),OR(클레임조회!$C$6="",$C934=클레임조회!$C$6),OR(클레임조회!$C$7="",$D934=클레임조회!$C$7),OR(클레임조회!$C$8="",$E934=클레임조회!$C$8),OR(클레임조회!$C$9="",$F934=클레임조회!$C$9),OR(클레임조회!$C$10="",ISNUMBER(SEARCH(클레임조회!$C$10,$C934&amp;" "&amp;$F934&amp;" "&amp;$G934&amp;" "&amp;$H934)))),COUNT(O$1:O933)+1,"")</f>
        <v/>
      </c>
      <c r="P934" s="0" t="str">
        <f aca="false">IF(AND(TRIM(C934)&lt;&gt;"",COUNTIF(C$2:C934,C934)=1),MAX(P$1:P933)+1,"")</f>
        <v/>
      </c>
      <c r="Q934" s="0" t="str">
        <f aca="false">IF(AND(TRIM(F934)&lt;&gt;"",COUNTIF(F$2:F934,F934)=1),MAX(Q$1:Q933)+1,"")</f>
        <v/>
      </c>
    </row>
    <row r="935" customFormat="false" ht="15" hidden="false" customHeight="false" outlineLevel="0" collapsed="false">
      <c r="A935" s="9"/>
      <c r="B935" s="10"/>
      <c r="C935" s="11"/>
      <c r="D935" s="11"/>
      <c r="E935" s="11"/>
      <c r="F935" s="11"/>
      <c r="G935" s="12"/>
      <c r="H935" s="12"/>
      <c r="I935" s="10"/>
      <c r="J935" s="12"/>
      <c r="K935" s="13" t="str">
        <f aca="false">IF(ISNUMBER(B935),YEAR(B935),"")</f>
        <v/>
      </c>
      <c r="L935" s="13" t="str">
        <f aca="false">IF(ISNUMBER(B935),MONTH(B935),"")</f>
        <v/>
      </c>
      <c r="M935" s="13" t="str">
        <f aca="false">IF(AND(ISNUMBER(B935),ISNUMBER(I935)),B935-I935+1,"")</f>
        <v/>
      </c>
      <c r="N935" s="14" t="str">
        <f aca="false">IF(B935="","",IF(M935="","시작일 미입력",IF(M935&lt;1,"시작일 이전(확인)",IF(M935=1,"1일째",IF(M935=2,"2일째",IF(M935=3,"3일째",IF(M935&lt;=7,"일주일 이내",IF(M935&lt;=14,"이주일 이내","15일 이후"))))))))</f>
        <v/>
      </c>
      <c r="O935" s="0" t="str">
        <f aca="false">IF(AND(COUNTA($A935:$J935)&gt;0,OR(클레임조회!$C$4="",AND(ISNUMBER($B935),$B935&gt;=클레임조회!$C$4)),OR(클레임조회!$C$5="",AND(ISNUMBER($B935),$B935&lt;=클레임조회!$C$5)),OR(클레임조회!$C$6="",$C935=클레임조회!$C$6),OR(클레임조회!$C$7="",$D935=클레임조회!$C$7),OR(클레임조회!$C$8="",$E935=클레임조회!$C$8),OR(클레임조회!$C$9="",$F935=클레임조회!$C$9),OR(클레임조회!$C$10="",ISNUMBER(SEARCH(클레임조회!$C$10,$C935&amp;" "&amp;$F935&amp;" "&amp;$G935&amp;" "&amp;$H935)))),COUNT(O$1:O934)+1,"")</f>
        <v/>
      </c>
      <c r="P935" s="0" t="str">
        <f aca="false">IF(AND(TRIM(C935)&lt;&gt;"",COUNTIF(C$2:C935,C935)=1),MAX(P$1:P934)+1,"")</f>
        <v/>
      </c>
      <c r="Q935" s="0" t="str">
        <f aca="false">IF(AND(TRIM(F935)&lt;&gt;"",COUNTIF(F$2:F935,F935)=1),MAX(Q$1:Q934)+1,"")</f>
        <v/>
      </c>
    </row>
    <row r="936" customFormat="false" ht="15" hidden="false" customHeight="false" outlineLevel="0" collapsed="false">
      <c r="A936" s="9"/>
      <c r="B936" s="10"/>
      <c r="C936" s="11"/>
      <c r="D936" s="11"/>
      <c r="E936" s="11"/>
      <c r="F936" s="11"/>
      <c r="G936" s="12"/>
      <c r="H936" s="12"/>
      <c r="I936" s="10"/>
      <c r="J936" s="12"/>
      <c r="K936" s="13" t="str">
        <f aca="false">IF(ISNUMBER(B936),YEAR(B936),"")</f>
        <v/>
      </c>
      <c r="L936" s="13" t="str">
        <f aca="false">IF(ISNUMBER(B936),MONTH(B936),"")</f>
        <v/>
      </c>
      <c r="M936" s="13" t="str">
        <f aca="false">IF(AND(ISNUMBER(B936),ISNUMBER(I936)),B936-I936+1,"")</f>
        <v/>
      </c>
      <c r="N936" s="14" t="str">
        <f aca="false">IF(B936="","",IF(M936="","시작일 미입력",IF(M936&lt;1,"시작일 이전(확인)",IF(M936=1,"1일째",IF(M936=2,"2일째",IF(M936=3,"3일째",IF(M936&lt;=7,"일주일 이내",IF(M936&lt;=14,"이주일 이내","15일 이후"))))))))</f>
        <v/>
      </c>
      <c r="O936" s="0" t="str">
        <f aca="false">IF(AND(COUNTA($A936:$J936)&gt;0,OR(클레임조회!$C$4="",AND(ISNUMBER($B936),$B936&gt;=클레임조회!$C$4)),OR(클레임조회!$C$5="",AND(ISNUMBER($B936),$B936&lt;=클레임조회!$C$5)),OR(클레임조회!$C$6="",$C936=클레임조회!$C$6),OR(클레임조회!$C$7="",$D936=클레임조회!$C$7),OR(클레임조회!$C$8="",$E936=클레임조회!$C$8),OR(클레임조회!$C$9="",$F936=클레임조회!$C$9),OR(클레임조회!$C$10="",ISNUMBER(SEARCH(클레임조회!$C$10,$C936&amp;" "&amp;$F936&amp;" "&amp;$G936&amp;" "&amp;$H936)))),COUNT(O$1:O935)+1,"")</f>
        <v/>
      </c>
      <c r="P936" s="0" t="str">
        <f aca="false">IF(AND(TRIM(C936)&lt;&gt;"",COUNTIF(C$2:C936,C936)=1),MAX(P$1:P935)+1,"")</f>
        <v/>
      </c>
      <c r="Q936" s="0" t="str">
        <f aca="false">IF(AND(TRIM(F936)&lt;&gt;"",COUNTIF(F$2:F936,F936)=1),MAX(Q$1:Q935)+1,"")</f>
        <v/>
      </c>
    </row>
    <row r="937" customFormat="false" ht="15" hidden="false" customHeight="false" outlineLevel="0" collapsed="false">
      <c r="A937" s="9"/>
      <c r="B937" s="10"/>
      <c r="C937" s="11"/>
      <c r="D937" s="11"/>
      <c r="E937" s="11"/>
      <c r="F937" s="11"/>
      <c r="G937" s="12"/>
      <c r="H937" s="12"/>
      <c r="I937" s="10"/>
      <c r="J937" s="12"/>
      <c r="K937" s="13" t="str">
        <f aca="false">IF(ISNUMBER(B937),YEAR(B937),"")</f>
        <v/>
      </c>
      <c r="L937" s="13" t="str">
        <f aca="false">IF(ISNUMBER(B937),MONTH(B937),"")</f>
        <v/>
      </c>
      <c r="M937" s="13" t="str">
        <f aca="false">IF(AND(ISNUMBER(B937),ISNUMBER(I937)),B937-I937+1,"")</f>
        <v/>
      </c>
      <c r="N937" s="14" t="str">
        <f aca="false">IF(B937="","",IF(M937="","시작일 미입력",IF(M937&lt;1,"시작일 이전(확인)",IF(M937=1,"1일째",IF(M937=2,"2일째",IF(M937=3,"3일째",IF(M937&lt;=7,"일주일 이내",IF(M937&lt;=14,"이주일 이내","15일 이후"))))))))</f>
        <v/>
      </c>
      <c r="O937" s="0" t="str">
        <f aca="false">IF(AND(COUNTA($A937:$J937)&gt;0,OR(클레임조회!$C$4="",AND(ISNUMBER($B937),$B937&gt;=클레임조회!$C$4)),OR(클레임조회!$C$5="",AND(ISNUMBER($B937),$B937&lt;=클레임조회!$C$5)),OR(클레임조회!$C$6="",$C937=클레임조회!$C$6),OR(클레임조회!$C$7="",$D937=클레임조회!$C$7),OR(클레임조회!$C$8="",$E937=클레임조회!$C$8),OR(클레임조회!$C$9="",$F937=클레임조회!$C$9),OR(클레임조회!$C$10="",ISNUMBER(SEARCH(클레임조회!$C$10,$C937&amp;" "&amp;$F937&amp;" "&amp;$G937&amp;" "&amp;$H937)))),COUNT(O$1:O936)+1,"")</f>
        <v/>
      </c>
      <c r="P937" s="0" t="str">
        <f aca="false">IF(AND(TRIM(C937)&lt;&gt;"",COUNTIF(C$2:C937,C937)=1),MAX(P$1:P936)+1,"")</f>
        <v/>
      </c>
      <c r="Q937" s="0" t="str">
        <f aca="false">IF(AND(TRIM(F937)&lt;&gt;"",COUNTIF(F$2:F937,F937)=1),MAX(Q$1:Q936)+1,"")</f>
        <v/>
      </c>
    </row>
    <row r="938" customFormat="false" ht="15" hidden="false" customHeight="false" outlineLevel="0" collapsed="false">
      <c r="A938" s="9"/>
      <c r="B938" s="10"/>
      <c r="C938" s="11"/>
      <c r="D938" s="11"/>
      <c r="E938" s="11"/>
      <c r="F938" s="11"/>
      <c r="G938" s="12"/>
      <c r="H938" s="12"/>
      <c r="I938" s="10"/>
      <c r="J938" s="12"/>
      <c r="K938" s="13" t="str">
        <f aca="false">IF(ISNUMBER(B938),YEAR(B938),"")</f>
        <v/>
      </c>
      <c r="L938" s="13" t="str">
        <f aca="false">IF(ISNUMBER(B938),MONTH(B938),"")</f>
        <v/>
      </c>
      <c r="M938" s="13" t="str">
        <f aca="false">IF(AND(ISNUMBER(B938),ISNUMBER(I938)),B938-I938+1,"")</f>
        <v/>
      </c>
      <c r="N938" s="14" t="str">
        <f aca="false">IF(B938="","",IF(M938="","시작일 미입력",IF(M938&lt;1,"시작일 이전(확인)",IF(M938=1,"1일째",IF(M938=2,"2일째",IF(M938=3,"3일째",IF(M938&lt;=7,"일주일 이내",IF(M938&lt;=14,"이주일 이내","15일 이후"))))))))</f>
        <v/>
      </c>
      <c r="O938" s="0" t="str">
        <f aca="false">IF(AND(COUNTA($A938:$J938)&gt;0,OR(클레임조회!$C$4="",AND(ISNUMBER($B938),$B938&gt;=클레임조회!$C$4)),OR(클레임조회!$C$5="",AND(ISNUMBER($B938),$B938&lt;=클레임조회!$C$5)),OR(클레임조회!$C$6="",$C938=클레임조회!$C$6),OR(클레임조회!$C$7="",$D938=클레임조회!$C$7),OR(클레임조회!$C$8="",$E938=클레임조회!$C$8),OR(클레임조회!$C$9="",$F938=클레임조회!$C$9),OR(클레임조회!$C$10="",ISNUMBER(SEARCH(클레임조회!$C$10,$C938&amp;" "&amp;$F938&amp;" "&amp;$G938&amp;" "&amp;$H938)))),COUNT(O$1:O937)+1,"")</f>
        <v/>
      </c>
      <c r="P938" s="0" t="str">
        <f aca="false">IF(AND(TRIM(C938)&lt;&gt;"",COUNTIF(C$2:C938,C938)=1),MAX(P$1:P937)+1,"")</f>
        <v/>
      </c>
      <c r="Q938" s="0" t="str">
        <f aca="false">IF(AND(TRIM(F938)&lt;&gt;"",COUNTIF(F$2:F938,F938)=1),MAX(Q$1:Q937)+1,"")</f>
        <v/>
      </c>
    </row>
    <row r="939" customFormat="false" ht="15" hidden="false" customHeight="false" outlineLevel="0" collapsed="false">
      <c r="A939" s="9"/>
      <c r="B939" s="10"/>
      <c r="C939" s="11"/>
      <c r="D939" s="11"/>
      <c r="E939" s="11"/>
      <c r="F939" s="11"/>
      <c r="G939" s="12"/>
      <c r="H939" s="12"/>
      <c r="I939" s="10"/>
      <c r="J939" s="12"/>
      <c r="K939" s="13" t="str">
        <f aca="false">IF(ISNUMBER(B939),YEAR(B939),"")</f>
        <v/>
      </c>
      <c r="L939" s="13" t="str">
        <f aca="false">IF(ISNUMBER(B939),MONTH(B939),"")</f>
        <v/>
      </c>
      <c r="M939" s="13" t="str">
        <f aca="false">IF(AND(ISNUMBER(B939),ISNUMBER(I939)),B939-I939+1,"")</f>
        <v/>
      </c>
      <c r="N939" s="14" t="str">
        <f aca="false">IF(B939="","",IF(M939="","시작일 미입력",IF(M939&lt;1,"시작일 이전(확인)",IF(M939=1,"1일째",IF(M939=2,"2일째",IF(M939=3,"3일째",IF(M939&lt;=7,"일주일 이내",IF(M939&lt;=14,"이주일 이내","15일 이후"))))))))</f>
        <v/>
      </c>
      <c r="O939" s="0" t="str">
        <f aca="false">IF(AND(COUNTA($A939:$J939)&gt;0,OR(클레임조회!$C$4="",AND(ISNUMBER($B939),$B939&gt;=클레임조회!$C$4)),OR(클레임조회!$C$5="",AND(ISNUMBER($B939),$B939&lt;=클레임조회!$C$5)),OR(클레임조회!$C$6="",$C939=클레임조회!$C$6),OR(클레임조회!$C$7="",$D939=클레임조회!$C$7),OR(클레임조회!$C$8="",$E939=클레임조회!$C$8),OR(클레임조회!$C$9="",$F939=클레임조회!$C$9),OR(클레임조회!$C$10="",ISNUMBER(SEARCH(클레임조회!$C$10,$C939&amp;" "&amp;$F939&amp;" "&amp;$G939&amp;" "&amp;$H939)))),COUNT(O$1:O938)+1,"")</f>
        <v/>
      </c>
      <c r="P939" s="0" t="str">
        <f aca="false">IF(AND(TRIM(C939)&lt;&gt;"",COUNTIF(C$2:C939,C939)=1),MAX(P$1:P938)+1,"")</f>
        <v/>
      </c>
      <c r="Q939" s="0" t="str">
        <f aca="false">IF(AND(TRIM(F939)&lt;&gt;"",COUNTIF(F$2:F939,F939)=1),MAX(Q$1:Q938)+1,"")</f>
        <v/>
      </c>
    </row>
    <row r="940" customFormat="false" ht="15" hidden="false" customHeight="false" outlineLevel="0" collapsed="false">
      <c r="A940" s="9"/>
      <c r="B940" s="10"/>
      <c r="C940" s="11"/>
      <c r="D940" s="11"/>
      <c r="E940" s="11"/>
      <c r="F940" s="11"/>
      <c r="G940" s="12"/>
      <c r="H940" s="12"/>
      <c r="I940" s="10"/>
      <c r="J940" s="12"/>
      <c r="K940" s="13" t="str">
        <f aca="false">IF(ISNUMBER(B940),YEAR(B940),"")</f>
        <v/>
      </c>
      <c r="L940" s="13" t="str">
        <f aca="false">IF(ISNUMBER(B940),MONTH(B940),"")</f>
        <v/>
      </c>
      <c r="M940" s="13" t="str">
        <f aca="false">IF(AND(ISNUMBER(B940),ISNUMBER(I940)),B940-I940+1,"")</f>
        <v/>
      </c>
      <c r="N940" s="14" t="str">
        <f aca="false">IF(B940="","",IF(M940="","시작일 미입력",IF(M940&lt;1,"시작일 이전(확인)",IF(M940=1,"1일째",IF(M940=2,"2일째",IF(M940=3,"3일째",IF(M940&lt;=7,"일주일 이내",IF(M940&lt;=14,"이주일 이내","15일 이후"))))))))</f>
        <v/>
      </c>
      <c r="O940" s="0" t="str">
        <f aca="false">IF(AND(COUNTA($A940:$J940)&gt;0,OR(클레임조회!$C$4="",AND(ISNUMBER($B940),$B940&gt;=클레임조회!$C$4)),OR(클레임조회!$C$5="",AND(ISNUMBER($B940),$B940&lt;=클레임조회!$C$5)),OR(클레임조회!$C$6="",$C940=클레임조회!$C$6),OR(클레임조회!$C$7="",$D940=클레임조회!$C$7),OR(클레임조회!$C$8="",$E940=클레임조회!$C$8),OR(클레임조회!$C$9="",$F940=클레임조회!$C$9),OR(클레임조회!$C$10="",ISNUMBER(SEARCH(클레임조회!$C$10,$C940&amp;" "&amp;$F940&amp;" "&amp;$G940&amp;" "&amp;$H940)))),COUNT(O$1:O939)+1,"")</f>
        <v/>
      </c>
      <c r="P940" s="0" t="str">
        <f aca="false">IF(AND(TRIM(C940)&lt;&gt;"",COUNTIF(C$2:C940,C940)=1),MAX(P$1:P939)+1,"")</f>
        <v/>
      </c>
      <c r="Q940" s="0" t="str">
        <f aca="false">IF(AND(TRIM(F940)&lt;&gt;"",COUNTIF(F$2:F940,F940)=1),MAX(Q$1:Q939)+1,"")</f>
        <v/>
      </c>
    </row>
    <row r="941" customFormat="false" ht="15" hidden="false" customHeight="false" outlineLevel="0" collapsed="false">
      <c r="A941" s="9"/>
      <c r="B941" s="10"/>
      <c r="C941" s="11"/>
      <c r="D941" s="11"/>
      <c r="E941" s="11"/>
      <c r="F941" s="11"/>
      <c r="G941" s="12"/>
      <c r="H941" s="12"/>
      <c r="I941" s="10"/>
      <c r="J941" s="12"/>
      <c r="K941" s="13" t="str">
        <f aca="false">IF(ISNUMBER(B941),YEAR(B941),"")</f>
        <v/>
      </c>
      <c r="L941" s="13" t="str">
        <f aca="false">IF(ISNUMBER(B941),MONTH(B941),"")</f>
        <v/>
      </c>
      <c r="M941" s="13" t="str">
        <f aca="false">IF(AND(ISNUMBER(B941),ISNUMBER(I941)),B941-I941+1,"")</f>
        <v/>
      </c>
      <c r="N941" s="14" t="str">
        <f aca="false">IF(B941="","",IF(M941="","시작일 미입력",IF(M941&lt;1,"시작일 이전(확인)",IF(M941=1,"1일째",IF(M941=2,"2일째",IF(M941=3,"3일째",IF(M941&lt;=7,"일주일 이내",IF(M941&lt;=14,"이주일 이내","15일 이후"))))))))</f>
        <v/>
      </c>
      <c r="O941" s="0" t="str">
        <f aca="false">IF(AND(COUNTA($A941:$J941)&gt;0,OR(클레임조회!$C$4="",AND(ISNUMBER($B941),$B941&gt;=클레임조회!$C$4)),OR(클레임조회!$C$5="",AND(ISNUMBER($B941),$B941&lt;=클레임조회!$C$5)),OR(클레임조회!$C$6="",$C941=클레임조회!$C$6),OR(클레임조회!$C$7="",$D941=클레임조회!$C$7),OR(클레임조회!$C$8="",$E941=클레임조회!$C$8),OR(클레임조회!$C$9="",$F941=클레임조회!$C$9),OR(클레임조회!$C$10="",ISNUMBER(SEARCH(클레임조회!$C$10,$C941&amp;" "&amp;$F941&amp;" "&amp;$G941&amp;" "&amp;$H941)))),COUNT(O$1:O940)+1,"")</f>
        <v/>
      </c>
      <c r="P941" s="0" t="str">
        <f aca="false">IF(AND(TRIM(C941)&lt;&gt;"",COUNTIF(C$2:C941,C941)=1),MAX(P$1:P940)+1,"")</f>
        <v/>
      </c>
      <c r="Q941" s="0" t="str">
        <f aca="false">IF(AND(TRIM(F941)&lt;&gt;"",COUNTIF(F$2:F941,F941)=1),MAX(Q$1:Q940)+1,"")</f>
        <v/>
      </c>
    </row>
    <row r="942" customFormat="false" ht="15" hidden="false" customHeight="false" outlineLevel="0" collapsed="false">
      <c r="A942" s="9"/>
      <c r="B942" s="10"/>
      <c r="C942" s="11"/>
      <c r="D942" s="11"/>
      <c r="E942" s="11"/>
      <c r="F942" s="11"/>
      <c r="G942" s="12"/>
      <c r="H942" s="12"/>
      <c r="I942" s="10"/>
      <c r="J942" s="12"/>
      <c r="K942" s="13" t="str">
        <f aca="false">IF(ISNUMBER(B942),YEAR(B942),"")</f>
        <v/>
      </c>
      <c r="L942" s="13" t="str">
        <f aca="false">IF(ISNUMBER(B942),MONTH(B942),"")</f>
        <v/>
      </c>
      <c r="M942" s="13" t="str">
        <f aca="false">IF(AND(ISNUMBER(B942),ISNUMBER(I942)),B942-I942+1,"")</f>
        <v/>
      </c>
      <c r="N942" s="14" t="str">
        <f aca="false">IF(B942="","",IF(M942="","시작일 미입력",IF(M942&lt;1,"시작일 이전(확인)",IF(M942=1,"1일째",IF(M942=2,"2일째",IF(M942=3,"3일째",IF(M942&lt;=7,"일주일 이내",IF(M942&lt;=14,"이주일 이내","15일 이후"))))))))</f>
        <v/>
      </c>
      <c r="O942" s="0" t="str">
        <f aca="false">IF(AND(COUNTA($A942:$J942)&gt;0,OR(클레임조회!$C$4="",AND(ISNUMBER($B942),$B942&gt;=클레임조회!$C$4)),OR(클레임조회!$C$5="",AND(ISNUMBER($B942),$B942&lt;=클레임조회!$C$5)),OR(클레임조회!$C$6="",$C942=클레임조회!$C$6),OR(클레임조회!$C$7="",$D942=클레임조회!$C$7),OR(클레임조회!$C$8="",$E942=클레임조회!$C$8),OR(클레임조회!$C$9="",$F942=클레임조회!$C$9),OR(클레임조회!$C$10="",ISNUMBER(SEARCH(클레임조회!$C$10,$C942&amp;" "&amp;$F942&amp;" "&amp;$G942&amp;" "&amp;$H942)))),COUNT(O$1:O941)+1,"")</f>
        <v/>
      </c>
      <c r="P942" s="0" t="str">
        <f aca="false">IF(AND(TRIM(C942)&lt;&gt;"",COUNTIF(C$2:C942,C942)=1),MAX(P$1:P941)+1,"")</f>
        <v/>
      </c>
      <c r="Q942" s="0" t="str">
        <f aca="false">IF(AND(TRIM(F942)&lt;&gt;"",COUNTIF(F$2:F942,F942)=1),MAX(Q$1:Q941)+1,"")</f>
        <v/>
      </c>
    </row>
    <row r="943" customFormat="false" ht="15" hidden="false" customHeight="false" outlineLevel="0" collapsed="false">
      <c r="A943" s="9"/>
      <c r="B943" s="10"/>
      <c r="C943" s="11"/>
      <c r="D943" s="11"/>
      <c r="E943" s="11"/>
      <c r="F943" s="11"/>
      <c r="G943" s="12"/>
      <c r="H943" s="12"/>
      <c r="I943" s="10"/>
      <c r="J943" s="12"/>
      <c r="K943" s="13" t="str">
        <f aca="false">IF(ISNUMBER(B943),YEAR(B943),"")</f>
        <v/>
      </c>
      <c r="L943" s="13" t="str">
        <f aca="false">IF(ISNUMBER(B943),MONTH(B943),"")</f>
        <v/>
      </c>
      <c r="M943" s="13" t="str">
        <f aca="false">IF(AND(ISNUMBER(B943),ISNUMBER(I943)),B943-I943+1,"")</f>
        <v/>
      </c>
      <c r="N943" s="14" t="str">
        <f aca="false">IF(B943="","",IF(M943="","시작일 미입력",IF(M943&lt;1,"시작일 이전(확인)",IF(M943=1,"1일째",IF(M943=2,"2일째",IF(M943=3,"3일째",IF(M943&lt;=7,"일주일 이내",IF(M943&lt;=14,"이주일 이내","15일 이후"))))))))</f>
        <v/>
      </c>
      <c r="O943" s="0" t="str">
        <f aca="false">IF(AND(COUNTA($A943:$J943)&gt;0,OR(클레임조회!$C$4="",AND(ISNUMBER($B943),$B943&gt;=클레임조회!$C$4)),OR(클레임조회!$C$5="",AND(ISNUMBER($B943),$B943&lt;=클레임조회!$C$5)),OR(클레임조회!$C$6="",$C943=클레임조회!$C$6),OR(클레임조회!$C$7="",$D943=클레임조회!$C$7),OR(클레임조회!$C$8="",$E943=클레임조회!$C$8),OR(클레임조회!$C$9="",$F943=클레임조회!$C$9),OR(클레임조회!$C$10="",ISNUMBER(SEARCH(클레임조회!$C$10,$C943&amp;" "&amp;$F943&amp;" "&amp;$G943&amp;" "&amp;$H943)))),COUNT(O$1:O942)+1,"")</f>
        <v/>
      </c>
      <c r="P943" s="0" t="str">
        <f aca="false">IF(AND(TRIM(C943)&lt;&gt;"",COUNTIF(C$2:C943,C943)=1),MAX(P$1:P942)+1,"")</f>
        <v/>
      </c>
      <c r="Q943" s="0" t="str">
        <f aca="false">IF(AND(TRIM(F943)&lt;&gt;"",COUNTIF(F$2:F943,F943)=1),MAX(Q$1:Q942)+1,"")</f>
        <v/>
      </c>
    </row>
    <row r="944" customFormat="false" ht="15" hidden="false" customHeight="false" outlineLevel="0" collapsed="false">
      <c r="A944" s="9"/>
      <c r="B944" s="10"/>
      <c r="C944" s="11"/>
      <c r="D944" s="11"/>
      <c r="E944" s="11"/>
      <c r="F944" s="11"/>
      <c r="G944" s="12"/>
      <c r="H944" s="12"/>
      <c r="I944" s="10"/>
      <c r="J944" s="12"/>
      <c r="K944" s="13" t="str">
        <f aca="false">IF(ISNUMBER(B944),YEAR(B944),"")</f>
        <v/>
      </c>
      <c r="L944" s="13" t="str">
        <f aca="false">IF(ISNUMBER(B944),MONTH(B944),"")</f>
        <v/>
      </c>
      <c r="M944" s="13" t="str">
        <f aca="false">IF(AND(ISNUMBER(B944),ISNUMBER(I944)),B944-I944+1,"")</f>
        <v/>
      </c>
      <c r="N944" s="14" t="str">
        <f aca="false">IF(B944="","",IF(M944="","시작일 미입력",IF(M944&lt;1,"시작일 이전(확인)",IF(M944=1,"1일째",IF(M944=2,"2일째",IF(M944=3,"3일째",IF(M944&lt;=7,"일주일 이내",IF(M944&lt;=14,"이주일 이내","15일 이후"))))))))</f>
        <v/>
      </c>
      <c r="O944" s="0" t="str">
        <f aca="false">IF(AND(COUNTA($A944:$J944)&gt;0,OR(클레임조회!$C$4="",AND(ISNUMBER($B944),$B944&gt;=클레임조회!$C$4)),OR(클레임조회!$C$5="",AND(ISNUMBER($B944),$B944&lt;=클레임조회!$C$5)),OR(클레임조회!$C$6="",$C944=클레임조회!$C$6),OR(클레임조회!$C$7="",$D944=클레임조회!$C$7),OR(클레임조회!$C$8="",$E944=클레임조회!$C$8),OR(클레임조회!$C$9="",$F944=클레임조회!$C$9),OR(클레임조회!$C$10="",ISNUMBER(SEARCH(클레임조회!$C$10,$C944&amp;" "&amp;$F944&amp;" "&amp;$G944&amp;" "&amp;$H944)))),COUNT(O$1:O943)+1,"")</f>
        <v/>
      </c>
      <c r="P944" s="0" t="str">
        <f aca="false">IF(AND(TRIM(C944)&lt;&gt;"",COUNTIF(C$2:C944,C944)=1),MAX(P$1:P943)+1,"")</f>
        <v/>
      </c>
      <c r="Q944" s="0" t="str">
        <f aca="false">IF(AND(TRIM(F944)&lt;&gt;"",COUNTIF(F$2:F944,F944)=1),MAX(Q$1:Q943)+1,"")</f>
        <v/>
      </c>
    </row>
    <row r="945" customFormat="false" ht="15" hidden="false" customHeight="false" outlineLevel="0" collapsed="false">
      <c r="A945" s="9"/>
      <c r="B945" s="10"/>
      <c r="C945" s="11"/>
      <c r="D945" s="11"/>
      <c r="E945" s="11"/>
      <c r="F945" s="11"/>
      <c r="G945" s="12"/>
      <c r="H945" s="12"/>
      <c r="I945" s="10"/>
      <c r="J945" s="12"/>
      <c r="K945" s="13" t="str">
        <f aca="false">IF(ISNUMBER(B945),YEAR(B945),"")</f>
        <v/>
      </c>
      <c r="L945" s="13" t="str">
        <f aca="false">IF(ISNUMBER(B945),MONTH(B945),"")</f>
        <v/>
      </c>
      <c r="M945" s="13" t="str">
        <f aca="false">IF(AND(ISNUMBER(B945),ISNUMBER(I945)),B945-I945+1,"")</f>
        <v/>
      </c>
      <c r="N945" s="14" t="str">
        <f aca="false">IF(B945="","",IF(M945="","시작일 미입력",IF(M945&lt;1,"시작일 이전(확인)",IF(M945=1,"1일째",IF(M945=2,"2일째",IF(M945=3,"3일째",IF(M945&lt;=7,"일주일 이내",IF(M945&lt;=14,"이주일 이내","15일 이후"))))))))</f>
        <v/>
      </c>
      <c r="O945" s="0" t="str">
        <f aca="false">IF(AND(COUNTA($A945:$J945)&gt;0,OR(클레임조회!$C$4="",AND(ISNUMBER($B945),$B945&gt;=클레임조회!$C$4)),OR(클레임조회!$C$5="",AND(ISNUMBER($B945),$B945&lt;=클레임조회!$C$5)),OR(클레임조회!$C$6="",$C945=클레임조회!$C$6),OR(클레임조회!$C$7="",$D945=클레임조회!$C$7),OR(클레임조회!$C$8="",$E945=클레임조회!$C$8),OR(클레임조회!$C$9="",$F945=클레임조회!$C$9),OR(클레임조회!$C$10="",ISNUMBER(SEARCH(클레임조회!$C$10,$C945&amp;" "&amp;$F945&amp;" "&amp;$G945&amp;" "&amp;$H945)))),COUNT(O$1:O944)+1,"")</f>
        <v/>
      </c>
      <c r="P945" s="0" t="str">
        <f aca="false">IF(AND(TRIM(C945)&lt;&gt;"",COUNTIF(C$2:C945,C945)=1),MAX(P$1:P944)+1,"")</f>
        <v/>
      </c>
      <c r="Q945" s="0" t="str">
        <f aca="false">IF(AND(TRIM(F945)&lt;&gt;"",COUNTIF(F$2:F945,F945)=1),MAX(Q$1:Q944)+1,"")</f>
        <v/>
      </c>
    </row>
    <row r="946" customFormat="false" ht="15" hidden="false" customHeight="false" outlineLevel="0" collapsed="false">
      <c r="A946" s="9"/>
      <c r="B946" s="10"/>
      <c r="C946" s="11"/>
      <c r="D946" s="11"/>
      <c r="E946" s="11"/>
      <c r="F946" s="11"/>
      <c r="G946" s="12"/>
      <c r="H946" s="12"/>
      <c r="I946" s="10"/>
      <c r="J946" s="12"/>
      <c r="K946" s="13" t="str">
        <f aca="false">IF(ISNUMBER(B946),YEAR(B946),"")</f>
        <v/>
      </c>
      <c r="L946" s="13" t="str">
        <f aca="false">IF(ISNUMBER(B946),MONTH(B946),"")</f>
        <v/>
      </c>
      <c r="M946" s="13" t="str">
        <f aca="false">IF(AND(ISNUMBER(B946),ISNUMBER(I946)),B946-I946+1,"")</f>
        <v/>
      </c>
      <c r="N946" s="14" t="str">
        <f aca="false">IF(B946="","",IF(M946="","시작일 미입력",IF(M946&lt;1,"시작일 이전(확인)",IF(M946=1,"1일째",IF(M946=2,"2일째",IF(M946=3,"3일째",IF(M946&lt;=7,"일주일 이내",IF(M946&lt;=14,"이주일 이내","15일 이후"))))))))</f>
        <v/>
      </c>
      <c r="O946" s="0" t="str">
        <f aca="false">IF(AND(COUNTA($A946:$J946)&gt;0,OR(클레임조회!$C$4="",AND(ISNUMBER($B946),$B946&gt;=클레임조회!$C$4)),OR(클레임조회!$C$5="",AND(ISNUMBER($B946),$B946&lt;=클레임조회!$C$5)),OR(클레임조회!$C$6="",$C946=클레임조회!$C$6),OR(클레임조회!$C$7="",$D946=클레임조회!$C$7),OR(클레임조회!$C$8="",$E946=클레임조회!$C$8),OR(클레임조회!$C$9="",$F946=클레임조회!$C$9),OR(클레임조회!$C$10="",ISNUMBER(SEARCH(클레임조회!$C$10,$C946&amp;" "&amp;$F946&amp;" "&amp;$G946&amp;" "&amp;$H946)))),COUNT(O$1:O945)+1,"")</f>
        <v/>
      </c>
      <c r="P946" s="0" t="str">
        <f aca="false">IF(AND(TRIM(C946)&lt;&gt;"",COUNTIF(C$2:C946,C946)=1),MAX(P$1:P945)+1,"")</f>
        <v/>
      </c>
      <c r="Q946" s="0" t="str">
        <f aca="false">IF(AND(TRIM(F946)&lt;&gt;"",COUNTIF(F$2:F946,F946)=1),MAX(Q$1:Q945)+1,"")</f>
        <v/>
      </c>
    </row>
    <row r="947" customFormat="false" ht="15" hidden="false" customHeight="false" outlineLevel="0" collapsed="false">
      <c r="A947" s="9"/>
      <c r="B947" s="10"/>
      <c r="C947" s="11"/>
      <c r="D947" s="11"/>
      <c r="E947" s="11"/>
      <c r="F947" s="11"/>
      <c r="G947" s="12"/>
      <c r="H947" s="12"/>
      <c r="I947" s="10"/>
      <c r="J947" s="12"/>
      <c r="K947" s="13" t="str">
        <f aca="false">IF(ISNUMBER(B947),YEAR(B947),"")</f>
        <v/>
      </c>
      <c r="L947" s="13" t="str">
        <f aca="false">IF(ISNUMBER(B947),MONTH(B947),"")</f>
        <v/>
      </c>
      <c r="M947" s="13" t="str">
        <f aca="false">IF(AND(ISNUMBER(B947),ISNUMBER(I947)),B947-I947+1,"")</f>
        <v/>
      </c>
      <c r="N947" s="14" t="str">
        <f aca="false">IF(B947="","",IF(M947="","시작일 미입력",IF(M947&lt;1,"시작일 이전(확인)",IF(M947=1,"1일째",IF(M947=2,"2일째",IF(M947=3,"3일째",IF(M947&lt;=7,"일주일 이내",IF(M947&lt;=14,"이주일 이내","15일 이후"))))))))</f>
        <v/>
      </c>
      <c r="O947" s="0" t="str">
        <f aca="false">IF(AND(COUNTA($A947:$J947)&gt;0,OR(클레임조회!$C$4="",AND(ISNUMBER($B947),$B947&gt;=클레임조회!$C$4)),OR(클레임조회!$C$5="",AND(ISNUMBER($B947),$B947&lt;=클레임조회!$C$5)),OR(클레임조회!$C$6="",$C947=클레임조회!$C$6),OR(클레임조회!$C$7="",$D947=클레임조회!$C$7),OR(클레임조회!$C$8="",$E947=클레임조회!$C$8),OR(클레임조회!$C$9="",$F947=클레임조회!$C$9),OR(클레임조회!$C$10="",ISNUMBER(SEARCH(클레임조회!$C$10,$C947&amp;" "&amp;$F947&amp;" "&amp;$G947&amp;" "&amp;$H947)))),COUNT(O$1:O946)+1,"")</f>
        <v/>
      </c>
      <c r="P947" s="0" t="str">
        <f aca="false">IF(AND(TRIM(C947)&lt;&gt;"",COUNTIF(C$2:C947,C947)=1),MAX(P$1:P946)+1,"")</f>
        <v/>
      </c>
      <c r="Q947" s="0" t="str">
        <f aca="false">IF(AND(TRIM(F947)&lt;&gt;"",COUNTIF(F$2:F947,F947)=1),MAX(Q$1:Q946)+1,"")</f>
        <v/>
      </c>
    </row>
    <row r="948" customFormat="false" ht="15" hidden="false" customHeight="false" outlineLevel="0" collapsed="false">
      <c r="A948" s="9"/>
      <c r="B948" s="10"/>
      <c r="C948" s="11"/>
      <c r="D948" s="11"/>
      <c r="E948" s="11"/>
      <c r="F948" s="11"/>
      <c r="G948" s="12"/>
      <c r="H948" s="12"/>
      <c r="I948" s="10"/>
      <c r="J948" s="12"/>
      <c r="K948" s="13" t="str">
        <f aca="false">IF(ISNUMBER(B948),YEAR(B948),"")</f>
        <v/>
      </c>
      <c r="L948" s="13" t="str">
        <f aca="false">IF(ISNUMBER(B948),MONTH(B948),"")</f>
        <v/>
      </c>
      <c r="M948" s="13" t="str">
        <f aca="false">IF(AND(ISNUMBER(B948),ISNUMBER(I948)),B948-I948+1,"")</f>
        <v/>
      </c>
      <c r="N948" s="14" t="str">
        <f aca="false">IF(B948="","",IF(M948="","시작일 미입력",IF(M948&lt;1,"시작일 이전(확인)",IF(M948=1,"1일째",IF(M948=2,"2일째",IF(M948=3,"3일째",IF(M948&lt;=7,"일주일 이내",IF(M948&lt;=14,"이주일 이내","15일 이후"))))))))</f>
        <v/>
      </c>
      <c r="O948" s="0" t="str">
        <f aca="false">IF(AND(COUNTA($A948:$J948)&gt;0,OR(클레임조회!$C$4="",AND(ISNUMBER($B948),$B948&gt;=클레임조회!$C$4)),OR(클레임조회!$C$5="",AND(ISNUMBER($B948),$B948&lt;=클레임조회!$C$5)),OR(클레임조회!$C$6="",$C948=클레임조회!$C$6),OR(클레임조회!$C$7="",$D948=클레임조회!$C$7),OR(클레임조회!$C$8="",$E948=클레임조회!$C$8),OR(클레임조회!$C$9="",$F948=클레임조회!$C$9),OR(클레임조회!$C$10="",ISNUMBER(SEARCH(클레임조회!$C$10,$C948&amp;" "&amp;$F948&amp;" "&amp;$G948&amp;" "&amp;$H948)))),COUNT(O$1:O947)+1,"")</f>
        <v/>
      </c>
      <c r="P948" s="0" t="str">
        <f aca="false">IF(AND(TRIM(C948)&lt;&gt;"",COUNTIF(C$2:C948,C948)=1),MAX(P$1:P947)+1,"")</f>
        <v/>
      </c>
      <c r="Q948" s="0" t="str">
        <f aca="false">IF(AND(TRIM(F948)&lt;&gt;"",COUNTIF(F$2:F948,F948)=1),MAX(Q$1:Q947)+1,"")</f>
        <v/>
      </c>
    </row>
    <row r="949" customFormat="false" ht="15" hidden="false" customHeight="false" outlineLevel="0" collapsed="false">
      <c r="A949" s="9"/>
      <c r="B949" s="10"/>
      <c r="C949" s="11"/>
      <c r="D949" s="11"/>
      <c r="E949" s="11"/>
      <c r="F949" s="11"/>
      <c r="G949" s="12"/>
      <c r="H949" s="12"/>
      <c r="I949" s="10"/>
      <c r="J949" s="12"/>
      <c r="K949" s="13" t="str">
        <f aca="false">IF(ISNUMBER(B949),YEAR(B949),"")</f>
        <v/>
      </c>
      <c r="L949" s="13" t="str">
        <f aca="false">IF(ISNUMBER(B949),MONTH(B949),"")</f>
        <v/>
      </c>
      <c r="M949" s="13" t="str">
        <f aca="false">IF(AND(ISNUMBER(B949),ISNUMBER(I949)),B949-I949+1,"")</f>
        <v/>
      </c>
      <c r="N949" s="14" t="str">
        <f aca="false">IF(B949="","",IF(M949="","시작일 미입력",IF(M949&lt;1,"시작일 이전(확인)",IF(M949=1,"1일째",IF(M949=2,"2일째",IF(M949=3,"3일째",IF(M949&lt;=7,"일주일 이내",IF(M949&lt;=14,"이주일 이내","15일 이후"))))))))</f>
        <v/>
      </c>
      <c r="O949" s="0" t="str">
        <f aca="false">IF(AND(COUNTA($A949:$J949)&gt;0,OR(클레임조회!$C$4="",AND(ISNUMBER($B949),$B949&gt;=클레임조회!$C$4)),OR(클레임조회!$C$5="",AND(ISNUMBER($B949),$B949&lt;=클레임조회!$C$5)),OR(클레임조회!$C$6="",$C949=클레임조회!$C$6),OR(클레임조회!$C$7="",$D949=클레임조회!$C$7),OR(클레임조회!$C$8="",$E949=클레임조회!$C$8),OR(클레임조회!$C$9="",$F949=클레임조회!$C$9),OR(클레임조회!$C$10="",ISNUMBER(SEARCH(클레임조회!$C$10,$C949&amp;" "&amp;$F949&amp;" "&amp;$G949&amp;" "&amp;$H949)))),COUNT(O$1:O948)+1,"")</f>
        <v/>
      </c>
      <c r="P949" s="0" t="str">
        <f aca="false">IF(AND(TRIM(C949)&lt;&gt;"",COUNTIF(C$2:C949,C949)=1),MAX(P$1:P948)+1,"")</f>
        <v/>
      </c>
      <c r="Q949" s="0" t="str">
        <f aca="false">IF(AND(TRIM(F949)&lt;&gt;"",COUNTIF(F$2:F949,F949)=1),MAX(Q$1:Q948)+1,"")</f>
        <v/>
      </c>
    </row>
    <row r="950" customFormat="false" ht="15" hidden="false" customHeight="false" outlineLevel="0" collapsed="false">
      <c r="A950" s="9"/>
      <c r="B950" s="10"/>
      <c r="C950" s="11"/>
      <c r="D950" s="11"/>
      <c r="E950" s="11"/>
      <c r="F950" s="11"/>
      <c r="G950" s="12"/>
      <c r="H950" s="12"/>
      <c r="I950" s="10"/>
      <c r="J950" s="12"/>
      <c r="K950" s="13" t="str">
        <f aca="false">IF(ISNUMBER(B950),YEAR(B950),"")</f>
        <v/>
      </c>
      <c r="L950" s="13" t="str">
        <f aca="false">IF(ISNUMBER(B950),MONTH(B950),"")</f>
        <v/>
      </c>
      <c r="M950" s="13" t="str">
        <f aca="false">IF(AND(ISNUMBER(B950),ISNUMBER(I950)),B950-I950+1,"")</f>
        <v/>
      </c>
      <c r="N950" s="14" t="str">
        <f aca="false">IF(B950="","",IF(M950="","시작일 미입력",IF(M950&lt;1,"시작일 이전(확인)",IF(M950=1,"1일째",IF(M950=2,"2일째",IF(M950=3,"3일째",IF(M950&lt;=7,"일주일 이내",IF(M950&lt;=14,"이주일 이내","15일 이후"))))))))</f>
        <v/>
      </c>
      <c r="O950" s="0" t="str">
        <f aca="false">IF(AND(COUNTA($A950:$J950)&gt;0,OR(클레임조회!$C$4="",AND(ISNUMBER($B950),$B950&gt;=클레임조회!$C$4)),OR(클레임조회!$C$5="",AND(ISNUMBER($B950),$B950&lt;=클레임조회!$C$5)),OR(클레임조회!$C$6="",$C950=클레임조회!$C$6),OR(클레임조회!$C$7="",$D950=클레임조회!$C$7),OR(클레임조회!$C$8="",$E950=클레임조회!$C$8),OR(클레임조회!$C$9="",$F950=클레임조회!$C$9),OR(클레임조회!$C$10="",ISNUMBER(SEARCH(클레임조회!$C$10,$C950&amp;" "&amp;$F950&amp;" "&amp;$G950&amp;" "&amp;$H950)))),COUNT(O$1:O949)+1,"")</f>
        <v/>
      </c>
      <c r="P950" s="0" t="str">
        <f aca="false">IF(AND(TRIM(C950)&lt;&gt;"",COUNTIF(C$2:C950,C950)=1),MAX(P$1:P949)+1,"")</f>
        <v/>
      </c>
      <c r="Q950" s="0" t="str">
        <f aca="false">IF(AND(TRIM(F950)&lt;&gt;"",COUNTIF(F$2:F950,F950)=1),MAX(Q$1:Q949)+1,"")</f>
        <v/>
      </c>
    </row>
    <row r="951" customFormat="false" ht="15" hidden="false" customHeight="false" outlineLevel="0" collapsed="false">
      <c r="A951" s="9"/>
      <c r="B951" s="10"/>
      <c r="C951" s="11"/>
      <c r="D951" s="11"/>
      <c r="E951" s="11"/>
      <c r="F951" s="11"/>
      <c r="G951" s="12"/>
      <c r="H951" s="12"/>
      <c r="I951" s="10"/>
      <c r="J951" s="12"/>
      <c r="K951" s="13" t="str">
        <f aca="false">IF(ISNUMBER(B951),YEAR(B951),"")</f>
        <v/>
      </c>
      <c r="L951" s="13" t="str">
        <f aca="false">IF(ISNUMBER(B951),MONTH(B951),"")</f>
        <v/>
      </c>
      <c r="M951" s="13" t="str">
        <f aca="false">IF(AND(ISNUMBER(B951),ISNUMBER(I951)),B951-I951+1,"")</f>
        <v/>
      </c>
      <c r="N951" s="14" t="str">
        <f aca="false">IF(B951="","",IF(M951="","시작일 미입력",IF(M951&lt;1,"시작일 이전(확인)",IF(M951=1,"1일째",IF(M951=2,"2일째",IF(M951=3,"3일째",IF(M951&lt;=7,"일주일 이내",IF(M951&lt;=14,"이주일 이내","15일 이후"))))))))</f>
        <v/>
      </c>
      <c r="O951" s="0" t="str">
        <f aca="false">IF(AND(COUNTA($A951:$J951)&gt;0,OR(클레임조회!$C$4="",AND(ISNUMBER($B951),$B951&gt;=클레임조회!$C$4)),OR(클레임조회!$C$5="",AND(ISNUMBER($B951),$B951&lt;=클레임조회!$C$5)),OR(클레임조회!$C$6="",$C951=클레임조회!$C$6),OR(클레임조회!$C$7="",$D951=클레임조회!$C$7),OR(클레임조회!$C$8="",$E951=클레임조회!$C$8),OR(클레임조회!$C$9="",$F951=클레임조회!$C$9),OR(클레임조회!$C$10="",ISNUMBER(SEARCH(클레임조회!$C$10,$C951&amp;" "&amp;$F951&amp;" "&amp;$G951&amp;" "&amp;$H951)))),COUNT(O$1:O950)+1,"")</f>
        <v/>
      </c>
      <c r="P951" s="0" t="str">
        <f aca="false">IF(AND(TRIM(C951)&lt;&gt;"",COUNTIF(C$2:C951,C951)=1),MAX(P$1:P950)+1,"")</f>
        <v/>
      </c>
      <c r="Q951" s="0" t="str">
        <f aca="false">IF(AND(TRIM(F951)&lt;&gt;"",COUNTIF(F$2:F951,F951)=1),MAX(Q$1:Q950)+1,"")</f>
        <v/>
      </c>
    </row>
    <row r="952" customFormat="false" ht="15" hidden="false" customHeight="false" outlineLevel="0" collapsed="false">
      <c r="A952" s="9"/>
      <c r="B952" s="10"/>
      <c r="C952" s="11"/>
      <c r="D952" s="11"/>
      <c r="E952" s="11"/>
      <c r="F952" s="11"/>
      <c r="G952" s="12"/>
      <c r="H952" s="12"/>
      <c r="I952" s="10"/>
      <c r="J952" s="12"/>
      <c r="K952" s="13" t="str">
        <f aca="false">IF(ISNUMBER(B952),YEAR(B952),"")</f>
        <v/>
      </c>
      <c r="L952" s="13" t="str">
        <f aca="false">IF(ISNUMBER(B952),MONTH(B952),"")</f>
        <v/>
      </c>
      <c r="M952" s="13" t="str">
        <f aca="false">IF(AND(ISNUMBER(B952),ISNUMBER(I952)),B952-I952+1,"")</f>
        <v/>
      </c>
      <c r="N952" s="14" t="str">
        <f aca="false">IF(B952="","",IF(M952="","시작일 미입력",IF(M952&lt;1,"시작일 이전(확인)",IF(M952=1,"1일째",IF(M952=2,"2일째",IF(M952=3,"3일째",IF(M952&lt;=7,"일주일 이내",IF(M952&lt;=14,"이주일 이내","15일 이후"))))))))</f>
        <v/>
      </c>
      <c r="O952" s="0" t="str">
        <f aca="false">IF(AND(COUNTA($A952:$J952)&gt;0,OR(클레임조회!$C$4="",AND(ISNUMBER($B952),$B952&gt;=클레임조회!$C$4)),OR(클레임조회!$C$5="",AND(ISNUMBER($B952),$B952&lt;=클레임조회!$C$5)),OR(클레임조회!$C$6="",$C952=클레임조회!$C$6),OR(클레임조회!$C$7="",$D952=클레임조회!$C$7),OR(클레임조회!$C$8="",$E952=클레임조회!$C$8),OR(클레임조회!$C$9="",$F952=클레임조회!$C$9),OR(클레임조회!$C$10="",ISNUMBER(SEARCH(클레임조회!$C$10,$C952&amp;" "&amp;$F952&amp;" "&amp;$G952&amp;" "&amp;$H952)))),COUNT(O$1:O951)+1,"")</f>
        <v/>
      </c>
      <c r="P952" s="0" t="str">
        <f aca="false">IF(AND(TRIM(C952)&lt;&gt;"",COUNTIF(C$2:C952,C952)=1),MAX(P$1:P951)+1,"")</f>
        <v/>
      </c>
      <c r="Q952" s="0" t="str">
        <f aca="false">IF(AND(TRIM(F952)&lt;&gt;"",COUNTIF(F$2:F952,F952)=1),MAX(Q$1:Q951)+1,"")</f>
        <v/>
      </c>
    </row>
    <row r="953" customFormat="false" ht="15" hidden="false" customHeight="false" outlineLevel="0" collapsed="false">
      <c r="A953" s="9"/>
      <c r="B953" s="10"/>
      <c r="C953" s="11"/>
      <c r="D953" s="11"/>
      <c r="E953" s="11"/>
      <c r="F953" s="11"/>
      <c r="G953" s="12"/>
      <c r="H953" s="12"/>
      <c r="I953" s="10"/>
      <c r="J953" s="12"/>
      <c r="K953" s="13" t="str">
        <f aca="false">IF(ISNUMBER(B953),YEAR(B953),"")</f>
        <v/>
      </c>
      <c r="L953" s="13" t="str">
        <f aca="false">IF(ISNUMBER(B953),MONTH(B953),"")</f>
        <v/>
      </c>
      <c r="M953" s="13" t="str">
        <f aca="false">IF(AND(ISNUMBER(B953),ISNUMBER(I953)),B953-I953+1,"")</f>
        <v/>
      </c>
      <c r="N953" s="14" t="str">
        <f aca="false">IF(B953="","",IF(M953="","시작일 미입력",IF(M953&lt;1,"시작일 이전(확인)",IF(M953=1,"1일째",IF(M953=2,"2일째",IF(M953=3,"3일째",IF(M953&lt;=7,"일주일 이내",IF(M953&lt;=14,"이주일 이내","15일 이후"))))))))</f>
        <v/>
      </c>
      <c r="O953" s="0" t="str">
        <f aca="false">IF(AND(COUNTA($A953:$J953)&gt;0,OR(클레임조회!$C$4="",AND(ISNUMBER($B953),$B953&gt;=클레임조회!$C$4)),OR(클레임조회!$C$5="",AND(ISNUMBER($B953),$B953&lt;=클레임조회!$C$5)),OR(클레임조회!$C$6="",$C953=클레임조회!$C$6),OR(클레임조회!$C$7="",$D953=클레임조회!$C$7),OR(클레임조회!$C$8="",$E953=클레임조회!$C$8),OR(클레임조회!$C$9="",$F953=클레임조회!$C$9),OR(클레임조회!$C$10="",ISNUMBER(SEARCH(클레임조회!$C$10,$C953&amp;" "&amp;$F953&amp;" "&amp;$G953&amp;" "&amp;$H953)))),COUNT(O$1:O952)+1,"")</f>
        <v/>
      </c>
      <c r="P953" s="0" t="str">
        <f aca="false">IF(AND(TRIM(C953)&lt;&gt;"",COUNTIF(C$2:C953,C953)=1),MAX(P$1:P952)+1,"")</f>
        <v/>
      </c>
      <c r="Q953" s="0" t="str">
        <f aca="false">IF(AND(TRIM(F953)&lt;&gt;"",COUNTIF(F$2:F953,F953)=1),MAX(Q$1:Q952)+1,"")</f>
        <v/>
      </c>
    </row>
    <row r="954" customFormat="false" ht="15" hidden="false" customHeight="false" outlineLevel="0" collapsed="false">
      <c r="A954" s="9"/>
      <c r="B954" s="10"/>
      <c r="C954" s="11"/>
      <c r="D954" s="11"/>
      <c r="E954" s="11"/>
      <c r="F954" s="11"/>
      <c r="G954" s="12"/>
      <c r="H954" s="12"/>
      <c r="I954" s="10"/>
      <c r="J954" s="12"/>
      <c r="K954" s="13" t="str">
        <f aca="false">IF(ISNUMBER(B954),YEAR(B954),"")</f>
        <v/>
      </c>
      <c r="L954" s="13" t="str">
        <f aca="false">IF(ISNUMBER(B954),MONTH(B954),"")</f>
        <v/>
      </c>
      <c r="M954" s="13" t="str">
        <f aca="false">IF(AND(ISNUMBER(B954),ISNUMBER(I954)),B954-I954+1,"")</f>
        <v/>
      </c>
      <c r="N954" s="14" t="str">
        <f aca="false">IF(B954="","",IF(M954="","시작일 미입력",IF(M954&lt;1,"시작일 이전(확인)",IF(M954=1,"1일째",IF(M954=2,"2일째",IF(M954=3,"3일째",IF(M954&lt;=7,"일주일 이내",IF(M954&lt;=14,"이주일 이내","15일 이후"))))))))</f>
        <v/>
      </c>
      <c r="O954" s="0" t="str">
        <f aca="false">IF(AND(COUNTA($A954:$J954)&gt;0,OR(클레임조회!$C$4="",AND(ISNUMBER($B954),$B954&gt;=클레임조회!$C$4)),OR(클레임조회!$C$5="",AND(ISNUMBER($B954),$B954&lt;=클레임조회!$C$5)),OR(클레임조회!$C$6="",$C954=클레임조회!$C$6),OR(클레임조회!$C$7="",$D954=클레임조회!$C$7),OR(클레임조회!$C$8="",$E954=클레임조회!$C$8),OR(클레임조회!$C$9="",$F954=클레임조회!$C$9),OR(클레임조회!$C$10="",ISNUMBER(SEARCH(클레임조회!$C$10,$C954&amp;" "&amp;$F954&amp;" "&amp;$G954&amp;" "&amp;$H954)))),COUNT(O$1:O953)+1,"")</f>
        <v/>
      </c>
      <c r="P954" s="0" t="str">
        <f aca="false">IF(AND(TRIM(C954)&lt;&gt;"",COUNTIF(C$2:C954,C954)=1),MAX(P$1:P953)+1,"")</f>
        <v/>
      </c>
      <c r="Q954" s="0" t="str">
        <f aca="false">IF(AND(TRIM(F954)&lt;&gt;"",COUNTIF(F$2:F954,F954)=1),MAX(Q$1:Q953)+1,"")</f>
        <v/>
      </c>
    </row>
    <row r="955" customFormat="false" ht="15" hidden="false" customHeight="false" outlineLevel="0" collapsed="false">
      <c r="A955" s="9"/>
      <c r="B955" s="10"/>
      <c r="C955" s="11"/>
      <c r="D955" s="11"/>
      <c r="E955" s="11"/>
      <c r="F955" s="11"/>
      <c r="G955" s="12"/>
      <c r="H955" s="12"/>
      <c r="I955" s="10"/>
      <c r="J955" s="12"/>
      <c r="K955" s="13" t="str">
        <f aca="false">IF(ISNUMBER(B955),YEAR(B955),"")</f>
        <v/>
      </c>
      <c r="L955" s="13" t="str">
        <f aca="false">IF(ISNUMBER(B955),MONTH(B955),"")</f>
        <v/>
      </c>
      <c r="M955" s="13" t="str">
        <f aca="false">IF(AND(ISNUMBER(B955),ISNUMBER(I955)),B955-I955+1,"")</f>
        <v/>
      </c>
      <c r="N955" s="14" t="str">
        <f aca="false">IF(B955="","",IF(M955="","시작일 미입력",IF(M955&lt;1,"시작일 이전(확인)",IF(M955=1,"1일째",IF(M955=2,"2일째",IF(M955=3,"3일째",IF(M955&lt;=7,"일주일 이내",IF(M955&lt;=14,"이주일 이내","15일 이후"))))))))</f>
        <v/>
      </c>
      <c r="O955" s="0" t="str">
        <f aca="false">IF(AND(COUNTA($A955:$J955)&gt;0,OR(클레임조회!$C$4="",AND(ISNUMBER($B955),$B955&gt;=클레임조회!$C$4)),OR(클레임조회!$C$5="",AND(ISNUMBER($B955),$B955&lt;=클레임조회!$C$5)),OR(클레임조회!$C$6="",$C955=클레임조회!$C$6),OR(클레임조회!$C$7="",$D955=클레임조회!$C$7),OR(클레임조회!$C$8="",$E955=클레임조회!$C$8),OR(클레임조회!$C$9="",$F955=클레임조회!$C$9),OR(클레임조회!$C$10="",ISNUMBER(SEARCH(클레임조회!$C$10,$C955&amp;" "&amp;$F955&amp;" "&amp;$G955&amp;" "&amp;$H955)))),COUNT(O$1:O954)+1,"")</f>
        <v/>
      </c>
      <c r="P955" s="0" t="str">
        <f aca="false">IF(AND(TRIM(C955)&lt;&gt;"",COUNTIF(C$2:C955,C955)=1),MAX(P$1:P954)+1,"")</f>
        <v/>
      </c>
      <c r="Q955" s="0" t="str">
        <f aca="false">IF(AND(TRIM(F955)&lt;&gt;"",COUNTIF(F$2:F955,F955)=1),MAX(Q$1:Q954)+1,"")</f>
        <v/>
      </c>
    </row>
    <row r="956" customFormat="false" ht="15" hidden="false" customHeight="false" outlineLevel="0" collapsed="false">
      <c r="A956" s="9"/>
      <c r="B956" s="10"/>
      <c r="C956" s="11"/>
      <c r="D956" s="11"/>
      <c r="E956" s="11"/>
      <c r="F956" s="11"/>
      <c r="G956" s="12"/>
      <c r="H956" s="12"/>
      <c r="I956" s="10"/>
      <c r="J956" s="12"/>
      <c r="K956" s="13" t="str">
        <f aca="false">IF(ISNUMBER(B956),YEAR(B956),"")</f>
        <v/>
      </c>
      <c r="L956" s="13" t="str">
        <f aca="false">IF(ISNUMBER(B956),MONTH(B956),"")</f>
        <v/>
      </c>
      <c r="M956" s="13" t="str">
        <f aca="false">IF(AND(ISNUMBER(B956),ISNUMBER(I956)),B956-I956+1,"")</f>
        <v/>
      </c>
      <c r="N956" s="14" t="str">
        <f aca="false">IF(B956="","",IF(M956="","시작일 미입력",IF(M956&lt;1,"시작일 이전(확인)",IF(M956=1,"1일째",IF(M956=2,"2일째",IF(M956=3,"3일째",IF(M956&lt;=7,"일주일 이내",IF(M956&lt;=14,"이주일 이내","15일 이후"))))))))</f>
        <v/>
      </c>
      <c r="O956" s="0" t="str">
        <f aca="false">IF(AND(COUNTA($A956:$J956)&gt;0,OR(클레임조회!$C$4="",AND(ISNUMBER($B956),$B956&gt;=클레임조회!$C$4)),OR(클레임조회!$C$5="",AND(ISNUMBER($B956),$B956&lt;=클레임조회!$C$5)),OR(클레임조회!$C$6="",$C956=클레임조회!$C$6),OR(클레임조회!$C$7="",$D956=클레임조회!$C$7),OR(클레임조회!$C$8="",$E956=클레임조회!$C$8),OR(클레임조회!$C$9="",$F956=클레임조회!$C$9),OR(클레임조회!$C$10="",ISNUMBER(SEARCH(클레임조회!$C$10,$C956&amp;" "&amp;$F956&amp;" "&amp;$G956&amp;" "&amp;$H956)))),COUNT(O$1:O955)+1,"")</f>
        <v/>
      </c>
      <c r="P956" s="0" t="str">
        <f aca="false">IF(AND(TRIM(C956)&lt;&gt;"",COUNTIF(C$2:C956,C956)=1),MAX(P$1:P955)+1,"")</f>
        <v/>
      </c>
      <c r="Q956" s="0" t="str">
        <f aca="false">IF(AND(TRIM(F956)&lt;&gt;"",COUNTIF(F$2:F956,F956)=1),MAX(Q$1:Q955)+1,"")</f>
        <v/>
      </c>
    </row>
    <row r="957" customFormat="false" ht="15" hidden="false" customHeight="false" outlineLevel="0" collapsed="false">
      <c r="A957" s="9"/>
      <c r="B957" s="10"/>
      <c r="C957" s="11"/>
      <c r="D957" s="11"/>
      <c r="E957" s="11"/>
      <c r="F957" s="11"/>
      <c r="G957" s="12"/>
      <c r="H957" s="12"/>
      <c r="I957" s="10"/>
      <c r="J957" s="12"/>
      <c r="K957" s="13" t="str">
        <f aca="false">IF(ISNUMBER(B957),YEAR(B957),"")</f>
        <v/>
      </c>
      <c r="L957" s="13" t="str">
        <f aca="false">IF(ISNUMBER(B957),MONTH(B957),"")</f>
        <v/>
      </c>
      <c r="M957" s="13" t="str">
        <f aca="false">IF(AND(ISNUMBER(B957),ISNUMBER(I957)),B957-I957+1,"")</f>
        <v/>
      </c>
      <c r="N957" s="14" t="str">
        <f aca="false">IF(B957="","",IF(M957="","시작일 미입력",IF(M957&lt;1,"시작일 이전(확인)",IF(M957=1,"1일째",IF(M957=2,"2일째",IF(M957=3,"3일째",IF(M957&lt;=7,"일주일 이내",IF(M957&lt;=14,"이주일 이내","15일 이후"))))))))</f>
        <v/>
      </c>
      <c r="O957" s="0" t="str">
        <f aca="false">IF(AND(COUNTA($A957:$J957)&gt;0,OR(클레임조회!$C$4="",AND(ISNUMBER($B957),$B957&gt;=클레임조회!$C$4)),OR(클레임조회!$C$5="",AND(ISNUMBER($B957),$B957&lt;=클레임조회!$C$5)),OR(클레임조회!$C$6="",$C957=클레임조회!$C$6),OR(클레임조회!$C$7="",$D957=클레임조회!$C$7),OR(클레임조회!$C$8="",$E957=클레임조회!$C$8),OR(클레임조회!$C$9="",$F957=클레임조회!$C$9),OR(클레임조회!$C$10="",ISNUMBER(SEARCH(클레임조회!$C$10,$C957&amp;" "&amp;$F957&amp;" "&amp;$G957&amp;" "&amp;$H957)))),COUNT(O$1:O956)+1,"")</f>
        <v/>
      </c>
      <c r="P957" s="0" t="str">
        <f aca="false">IF(AND(TRIM(C957)&lt;&gt;"",COUNTIF(C$2:C957,C957)=1),MAX(P$1:P956)+1,"")</f>
        <v/>
      </c>
      <c r="Q957" s="0" t="str">
        <f aca="false">IF(AND(TRIM(F957)&lt;&gt;"",COUNTIF(F$2:F957,F957)=1),MAX(Q$1:Q956)+1,"")</f>
        <v/>
      </c>
    </row>
    <row r="958" customFormat="false" ht="15" hidden="false" customHeight="false" outlineLevel="0" collapsed="false">
      <c r="A958" s="9"/>
      <c r="B958" s="10"/>
      <c r="C958" s="11"/>
      <c r="D958" s="11"/>
      <c r="E958" s="11"/>
      <c r="F958" s="11"/>
      <c r="G958" s="12"/>
      <c r="H958" s="12"/>
      <c r="I958" s="10"/>
      <c r="J958" s="12"/>
      <c r="K958" s="13" t="str">
        <f aca="false">IF(ISNUMBER(B958),YEAR(B958),"")</f>
        <v/>
      </c>
      <c r="L958" s="13" t="str">
        <f aca="false">IF(ISNUMBER(B958),MONTH(B958),"")</f>
        <v/>
      </c>
      <c r="M958" s="13" t="str">
        <f aca="false">IF(AND(ISNUMBER(B958),ISNUMBER(I958)),B958-I958+1,"")</f>
        <v/>
      </c>
      <c r="N958" s="14" t="str">
        <f aca="false">IF(B958="","",IF(M958="","시작일 미입력",IF(M958&lt;1,"시작일 이전(확인)",IF(M958=1,"1일째",IF(M958=2,"2일째",IF(M958=3,"3일째",IF(M958&lt;=7,"일주일 이내",IF(M958&lt;=14,"이주일 이내","15일 이후"))))))))</f>
        <v/>
      </c>
      <c r="O958" s="0" t="str">
        <f aca="false">IF(AND(COUNTA($A958:$J958)&gt;0,OR(클레임조회!$C$4="",AND(ISNUMBER($B958),$B958&gt;=클레임조회!$C$4)),OR(클레임조회!$C$5="",AND(ISNUMBER($B958),$B958&lt;=클레임조회!$C$5)),OR(클레임조회!$C$6="",$C958=클레임조회!$C$6),OR(클레임조회!$C$7="",$D958=클레임조회!$C$7),OR(클레임조회!$C$8="",$E958=클레임조회!$C$8),OR(클레임조회!$C$9="",$F958=클레임조회!$C$9),OR(클레임조회!$C$10="",ISNUMBER(SEARCH(클레임조회!$C$10,$C958&amp;" "&amp;$F958&amp;" "&amp;$G958&amp;" "&amp;$H958)))),COUNT(O$1:O957)+1,"")</f>
        <v/>
      </c>
      <c r="P958" s="0" t="str">
        <f aca="false">IF(AND(TRIM(C958)&lt;&gt;"",COUNTIF(C$2:C958,C958)=1),MAX(P$1:P957)+1,"")</f>
        <v/>
      </c>
      <c r="Q958" s="0" t="str">
        <f aca="false">IF(AND(TRIM(F958)&lt;&gt;"",COUNTIF(F$2:F958,F958)=1),MAX(Q$1:Q957)+1,"")</f>
        <v/>
      </c>
    </row>
    <row r="959" customFormat="false" ht="15" hidden="false" customHeight="false" outlineLevel="0" collapsed="false">
      <c r="A959" s="9"/>
      <c r="B959" s="10"/>
      <c r="C959" s="11"/>
      <c r="D959" s="11"/>
      <c r="E959" s="11"/>
      <c r="F959" s="11"/>
      <c r="G959" s="12"/>
      <c r="H959" s="12"/>
      <c r="I959" s="10"/>
      <c r="J959" s="12"/>
      <c r="K959" s="13" t="str">
        <f aca="false">IF(ISNUMBER(B959),YEAR(B959),"")</f>
        <v/>
      </c>
      <c r="L959" s="13" t="str">
        <f aca="false">IF(ISNUMBER(B959),MONTH(B959),"")</f>
        <v/>
      </c>
      <c r="M959" s="13" t="str">
        <f aca="false">IF(AND(ISNUMBER(B959),ISNUMBER(I959)),B959-I959+1,"")</f>
        <v/>
      </c>
      <c r="N959" s="14" t="str">
        <f aca="false">IF(B959="","",IF(M959="","시작일 미입력",IF(M959&lt;1,"시작일 이전(확인)",IF(M959=1,"1일째",IF(M959=2,"2일째",IF(M959=3,"3일째",IF(M959&lt;=7,"일주일 이내",IF(M959&lt;=14,"이주일 이내","15일 이후"))))))))</f>
        <v/>
      </c>
      <c r="O959" s="0" t="str">
        <f aca="false">IF(AND(COUNTA($A959:$J959)&gt;0,OR(클레임조회!$C$4="",AND(ISNUMBER($B959),$B959&gt;=클레임조회!$C$4)),OR(클레임조회!$C$5="",AND(ISNUMBER($B959),$B959&lt;=클레임조회!$C$5)),OR(클레임조회!$C$6="",$C959=클레임조회!$C$6),OR(클레임조회!$C$7="",$D959=클레임조회!$C$7),OR(클레임조회!$C$8="",$E959=클레임조회!$C$8),OR(클레임조회!$C$9="",$F959=클레임조회!$C$9),OR(클레임조회!$C$10="",ISNUMBER(SEARCH(클레임조회!$C$10,$C959&amp;" "&amp;$F959&amp;" "&amp;$G959&amp;" "&amp;$H959)))),COUNT(O$1:O958)+1,"")</f>
        <v/>
      </c>
      <c r="P959" s="0" t="str">
        <f aca="false">IF(AND(TRIM(C959)&lt;&gt;"",COUNTIF(C$2:C959,C959)=1),MAX(P$1:P958)+1,"")</f>
        <v/>
      </c>
      <c r="Q959" s="0" t="str">
        <f aca="false">IF(AND(TRIM(F959)&lt;&gt;"",COUNTIF(F$2:F959,F959)=1),MAX(Q$1:Q958)+1,"")</f>
        <v/>
      </c>
    </row>
    <row r="960" customFormat="false" ht="15" hidden="false" customHeight="false" outlineLevel="0" collapsed="false">
      <c r="A960" s="9"/>
      <c r="B960" s="10"/>
      <c r="C960" s="11"/>
      <c r="D960" s="11"/>
      <c r="E960" s="11"/>
      <c r="F960" s="11"/>
      <c r="G960" s="12"/>
      <c r="H960" s="12"/>
      <c r="I960" s="10"/>
      <c r="J960" s="12"/>
      <c r="K960" s="13" t="str">
        <f aca="false">IF(ISNUMBER(B960),YEAR(B960),"")</f>
        <v/>
      </c>
      <c r="L960" s="13" t="str">
        <f aca="false">IF(ISNUMBER(B960),MONTH(B960),"")</f>
        <v/>
      </c>
      <c r="M960" s="13" t="str">
        <f aca="false">IF(AND(ISNUMBER(B960),ISNUMBER(I960)),B960-I960+1,"")</f>
        <v/>
      </c>
      <c r="N960" s="14" t="str">
        <f aca="false">IF(B960="","",IF(M960="","시작일 미입력",IF(M960&lt;1,"시작일 이전(확인)",IF(M960=1,"1일째",IF(M960=2,"2일째",IF(M960=3,"3일째",IF(M960&lt;=7,"일주일 이내",IF(M960&lt;=14,"이주일 이내","15일 이후"))))))))</f>
        <v/>
      </c>
      <c r="O960" s="0" t="str">
        <f aca="false">IF(AND(COUNTA($A960:$J960)&gt;0,OR(클레임조회!$C$4="",AND(ISNUMBER($B960),$B960&gt;=클레임조회!$C$4)),OR(클레임조회!$C$5="",AND(ISNUMBER($B960),$B960&lt;=클레임조회!$C$5)),OR(클레임조회!$C$6="",$C960=클레임조회!$C$6),OR(클레임조회!$C$7="",$D960=클레임조회!$C$7),OR(클레임조회!$C$8="",$E960=클레임조회!$C$8),OR(클레임조회!$C$9="",$F960=클레임조회!$C$9),OR(클레임조회!$C$10="",ISNUMBER(SEARCH(클레임조회!$C$10,$C960&amp;" "&amp;$F960&amp;" "&amp;$G960&amp;" "&amp;$H960)))),COUNT(O$1:O959)+1,"")</f>
        <v/>
      </c>
      <c r="P960" s="0" t="str">
        <f aca="false">IF(AND(TRIM(C960)&lt;&gt;"",COUNTIF(C$2:C960,C960)=1),MAX(P$1:P959)+1,"")</f>
        <v/>
      </c>
      <c r="Q960" s="0" t="str">
        <f aca="false">IF(AND(TRIM(F960)&lt;&gt;"",COUNTIF(F$2:F960,F960)=1),MAX(Q$1:Q959)+1,"")</f>
        <v/>
      </c>
    </row>
    <row r="961" customFormat="false" ht="15" hidden="false" customHeight="false" outlineLevel="0" collapsed="false">
      <c r="A961" s="9"/>
      <c r="B961" s="10"/>
      <c r="C961" s="11"/>
      <c r="D961" s="11"/>
      <c r="E961" s="11"/>
      <c r="F961" s="11"/>
      <c r="G961" s="12"/>
      <c r="H961" s="12"/>
      <c r="I961" s="10"/>
      <c r="J961" s="12"/>
      <c r="K961" s="13" t="str">
        <f aca="false">IF(ISNUMBER(B961),YEAR(B961),"")</f>
        <v/>
      </c>
      <c r="L961" s="13" t="str">
        <f aca="false">IF(ISNUMBER(B961),MONTH(B961),"")</f>
        <v/>
      </c>
      <c r="M961" s="13" t="str">
        <f aca="false">IF(AND(ISNUMBER(B961),ISNUMBER(I961)),B961-I961+1,"")</f>
        <v/>
      </c>
      <c r="N961" s="14" t="str">
        <f aca="false">IF(B961="","",IF(M961="","시작일 미입력",IF(M961&lt;1,"시작일 이전(확인)",IF(M961=1,"1일째",IF(M961=2,"2일째",IF(M961=3,"3일째",IF(M961&lt;=7,"일주일 이내",IF(M961&lt;=14,"이주일 이내","15일 이후"))))))))</f>
        <v/>
      </c>
      <c r="O961" s="0" t="str">
        <f aca="false">IF(AND(COUNTA($A961:$J961)&gt;0,OR(클레임조회!$C$4="",AND(ISNUMBER($B961),$B961&gt;=클레임조회!$C$4)),OR(클레임조회!$C$5="",AND(ISNUMBER($B961),$B961&lt;=클레임조회!$C$5)),OR(클레임조회!$C$6="",$C961=클레임조회!$C$6),OR(클레임조회!$C$7="",$D961=클레임조회!$C$7),OR(클레임조회!$C$8="",$E961=클레임조회!$C$8),OR(클레임조회!$C$9="",$F961=클레임조회!$C$9),OR(클레임조회!$C$10="",ISNUMBER(SEARCH(클레임조회!$C$10,$C961&amp;" "&amp;$F961&amp;" "&amp;$G961&amp;" "&amp;$H961)))),COUNT(O$1:O960)+1,"")</f>
        <v/>
      </c>
      <c r="P961" s="0" t="str">
        <f aca="false">IF(AND(TRIM(C961)&lt;&gt;"",COUNTIF(C$2:C961,C961)=1),MAX(P$1:P960)+1,"")</f>
        <v/>
      </c>
      <c r="Q961" s="0" t="str">
        <f aca="false">IF(AND(TRIM(F961)&lt;&gt;"",COUNTIF(F$2:F961,F961)=1),MAX(Q$1:Q960)+1,"")</f>
        <v/>
      </c>
    </row>
    <row r="962" customFormat="false" ht="15" hidden="false" customHeight="false" outlineLevel="0" collapsed="false">
      <c r="A962" s="9"/>
      <c r="B962" s="10"/>
      <c r="C962" s="11"/>
      <c r="D962" s="11"/>
      <c r="E962" s="11"/>
      <c r="F962" s="11"/>
      <c r="G962" s="12"/>
      <c r="H962" s="12"/>
      <c r="I962" s="10"/>
      <c r="J962" s="12"/>
      <c r="K962" s="13" t="str">
        <f aca="false">IF(ISNUMBER(B962),YEAR(B962),"")</f>
        <v/>
      </c>
      <c r="L962" s="13" t="str">
        <f aca="false">IF(ISNUMBER(B962),MONTH(B962),"")</f>
        <v/>
      </c>
      <c r="M962" s="13" t="str">
        <f aca="false">IF(AND(ISNUMBER(B962),ISNUMBER(I962)),B962-I962+1,"")</f>
        <v/>
      </c>
      <c r="N962" s="14" t="str">
        <f aca="false">IF(B962="","",IF(M962="","시작일 미입력",IF(M962&lt;1,"시작일 이전(확인)",IF(M962=1,"1일째",IF(M962=2,"2일째",IF(M962=3,"3일째",IF(M962&lt;=7,"일주일 이내",IF(M962&lt;=14,"이주일 이내","15일 이후"))))))))</f>
        <v/>
      </c>
      <c r="O962" s="0" t="str">
        <f aca="false">IF(AND(COUNTA($A962:$J962)&gt;0,OR(클레임조회!$C$4="",AND(ISNUMBER($B962),$B962&gt;=클레임조회!$C$4)),OR(클레임조회!$C$5="",AND(ISNUMBER($B962),$B962&lt;=클레임조회!$C$5)),OR(클레임조회!$C$6="",$C962=클레임조회!$C$6),OR(클레임조회!$C$7="",$D962=클레임조회!$C$7),OR(클레임조회!$C$8="",$E962=클레임조회!$C$8),OR(클레임조회!$C$9="",$F962=클레임조회!$C$9),OR(클레임조회!$C$10="",ISNUMBER(SEARCH(클레임조회!$C$10,$C962&amp;" "&amp;$F962&amp;" "&amp;$G962&amp;" "&amp;$H962)))),COUNT(O$1:O961)+1,"")</f>
        <v/>
      </c>
      <c r="P962" s="0" t="str">
        <f aca="false">IF(AND(TRIM(C962)&lt;&gt;"",COUNTIF(C$2:C962,C962)=1),MAX(P$1:P961)+1,"")</f>
        <v/>
      </c>
      <c r="Q962" s="0" t="str">
        <f aca="false">IF(AND(TRIM(F962)&lt;&gt;"",COUNTIF(F$2:F962,F962)=1),MAX(Q$1:Q961)+1,"")</f>
        <v/>
      </c>
    </row>
    <row r="963" customFormat="false" ht="15" hidden="false" customHeight="false" outlineLevel="0" collapsed="false">
      <c r="A963" s="9"/>
      <c r="B963" s="10"/>
      <c r="C963" s="11"/>
      <c r="D963" s="11"/>
      <c r="E963" s="11"/>
      <c r="F963" s="11"/>
      <c r="G963" s="12"/>
      <c r="H963" s="12"/>
      <c r="I963" s="10"/>
      <c r="J963" s="12"/>
      <c r="K963" s="13" t="str">
        <f aca="false">IF(ISNUMBER(B963),YEAR(B963),"")</f>
        <v/>
      </c>
      <c r="L963" s="13" t="str">
        <f aca="false">IF(ISNUMBER(B963),MONTH(B963),"")</f>
        <v/>
      </c>
      <c r="M963" s="13" t="str">
        <f aca="false">IF(AND(ISNUMBER(B963),ISNUMBER(I963)),B963-I963+1,"")</f>
        <v/>
      </c>
      <c r="N963" s="14" t="str">
        <f aca="false">IF(B963="","",IF(M963="","시작일 미입력",IF(M963&lt;1,"시작일 이전(확인)",IF(M963=1,"1일째",IF(M963=2,"2일째",IF(M963=3,"3일째",IF(M963&lt;=7,"일주일 이내",IF(M963&lt;=14,"이주일 이내","15일 이후"))))))))</f>
        <v/>
      </c>
      <c r="O963" s="0" t="str">
        <f aca="false">IF(AND(COUNTA($A963:$J963)&gt;0,OR(클레임조회!$C$4="",AND(ISNUMBER($B963),$B963&gt;=클레임조회!$C$4)),OR(클레임조회!$C$5="",AND(ISNUMBER($B963),$B963&lt;=클레임조회!$C$5)),OR(클레임조회!$C$6="",$C963=클레임조회!$C$6),OR(클레임조회!$C$7="",$D963=클레임조회!$C$7),OR(클레임조회!$C$8="",$E963=클레임조회!$C$8),OR(클레임조회!$C$9="",$F963=클레임조회!$C$9),OR(클레임조회!$C$10="",ISNUMBER(SEARCH(클레임조회!$C$10,$C963&amp;" "&amp;$F963&amp;" "&amp;$G963&amp;" "&amp;$H963)))),COUNT(O$1:O962)+1,"")</f>
        <v/>
      </c>
      <c r="P963" s="0" t="str">
        <f aca="false">IF(AND(TRIM(C963)&lt;&gt;"",COUNTIF(C$2:C963,C963)=1),MAX(P$1:P962)+1,"")</f>
        <v/>
      </c>
      <c r="Q963" s="0" t="str">
        <f aca="false">IF(AND(TRIM(F963)&lt;&gt;"",COUNTIF(F$2:F963,F963)=1),MAX(Q$1:Q962)+1,"")</f>
        <v/>
      </c>
    </row>
    <row r="964" customFormat="false" ht="15" hidden="false" customHeight="false" outlineLevel="0" collapsed="false">
      <c r="A964" s="9"/>
      <c r="B964" s="10"/>
      <c r="C964" s="11"/>
      <c r="D964" s="11"/>
      <c r="E964" s="11"/>
      <c r="F964" s="11"/>
      <c r="G964" s="12"/>
      <c r="H964" s="12"/>
      <c r="I964" s="10"/>
      <c r="J964" s="12"/>
      <c r="K964" s="13" t="str">
        <f aca="false">IF(ISNUMBER(B964),YEAR(B964),"")</f>
        <v/>
      </c>
      <c r="L964" s="13" t="str">
        <f aca="false">IF(ISNUMBER(B964),MONTH(B964),"")</f>
        <v/>
      </c>
      <c r="M964" s="13" t="str">
        <f aca="false">IF(AND(ISNUMBER(B964),ISNUMBER(I964)),B964-I964+1,"")</f>
        <v/>
      </c>
      <c r="N964" s="14" t="str">
        <f aca="false">IF(B964="","",IF(M964="","시작일 미입력",IF(M964&lt;1,"시작일 이전(확인)",IF(M964=1,"1일째",IF(M964=2,"2일째",IF(M964=3,"3일째",IF(M964&lt;=7,"일주일 이내",IF(M964&lt;=14,"이주일 이내","15일 이후"))))))))</f>
        <v/>
      </c>
      <c r="O964" s="0" t="str">
        <f aca="false">IF(AND(COUNTA($A964:$J964)&gt;0,OR(클레임조회!$C$4="",AND(ISNUMBER($B964),$B964&gt;=클레임조회!$C$4)),OR(클레임조회!$C$5="",AND(ISNUMBER($B964),$B964&lt;=클레임조회!$C$5)),OR(클레임조회!$C$6="",$C964=클레임조회!$C$6),OR(클레임조회!$C$7="",$D964=클레임조회!$C$7),OR(클레임조회!$C$8="",$E964=클레임조회!$C$8),OR(클레임조회!$C$9="",$F964=클레임조회!$C$9),OR(클레임조회!$C$10="",ISNUMBER(SEARCH(클레임조회!$C$10,$C964&amp;" "&amp;$F964&amp;" "&amp;$G964&amp;" "&amp;$H964)))),COUNT(O$1:O963)+1,"")</f>
        <v/>
      </c>
      <c r="P964" s="0" t="str">
        <f aca="false">IF(AND(TRIM(C964)&lt;&gt;"",COUNTIF(C$2:C964,C964)=1),MAX(P$1:P963)+1,"")</f>
        <v/>
      </c>
      <c r="Q964" s="0" t="str">
        <f aca="false">IF(AND(TRIM(F964)&lt;&gt;"",COUNTIF(F$2:F964,F964)=1),MAX(Q$1:Q963)+1,"")</f>
        <v/>
      </c>
    </row>
    <row r="965" customFormat="false" ht="15" hidden="false" customHeight="false" outlineLevel="0" collapsed="false">
      <c r="A965" s="9"/>
      <c r="B965" s="10"/>
      <c r="C965" s="11"/>
      <c r="D965" s="11"/>
      <c r="E965" s="11"/>
      <c r="F965" s="11"/>
      <c r="G965" s="12"/>
      <c r="H965" s="12"/>
      <c r="I965" s="10"/>
      <c r="J965" s="12"/>
      <c r="K965" s="13" t="str">
        <f aca="false">IF(ISNUMBER(B965),YEAR(B965),"")</f>
        <v/>
      </c>
      <c r="L965" s="13" t="str">
        <f aca="false">IF(ISNUMBER(B965),MONTH(B965),"")</f>
        <v/>
      </c>
      <c r="M965" s="13" t="str">
        <f aca="false">IF(AND(ISNUMBER(B965),ISNUMBER(I965)),B965-I965+1,"")</f>
        <v/>
      </c>
      <c r="N965" s="14" t="str">
        <f aca="false">IF(B965="","",IF(M965="","시작일 미입력",IF(M965&lt;1,"시작일 이전(확인)",IF(M965=1,"1일째",IF(M965=2,"2일째",IF(M965=3,"3일째",IF(M965&lt;=7,"일주일 이내",IF(M965&lt;=14,"이주일 이내","15일 이후"))))))))</f>
        <v/>
      </c>
      <c r="O965" s="0" t="str">
        <f aca="false">IF(AND(COUNTA($A965:$J965)&gt;0,OR(클레임조회!$C$4="",AND(ISNUMBER($B965),$B965&gt;=클레임조회!$C$4)),OR(클레임조회!$C$5="",AND(ISNUMBER($B965),$B965&lt;=클레임조회!$C$5)),OR(클레임조회!$C$6="",$C965=클레임조회!$C$6),OR(클레임조회!$C$7="",$D965=클레임조회!$C$7),OR(클레임조회!$C$8="",$E965=클레임조회!$C$8),OR(클레임조회!$C$9="",$F965=클레임조회!$C$9),OR(클레임조회!$C$10="",ISNUMBER(SEARCH(클레임조회!$C$10,$C965&amp;" "&amp;$F965&amp;" "&amp;$G965&amp;" "&amp;$H965)))),COUNT(O$1:O964)+1,"")</f>
        <v/>
      </c>
      <c r="P965" s="0" t="str">
        <f aca="false">IF(AND(TRIM(C965)&lt;&gt;"",COUNTIF(C$2:C965,C965)=1),MAX(P$1:P964)+1,"")</f>
        <v/>
      </c>
      <c r="Q965" s="0" t="str">
        <f aca="false">IF(AND(TRIM(F965)&lt;&gt;"",COUNTIF(F$2:F965,F965)=1),MAX(Q$1:Q964)+1,"")</f>
        <v/>
      </c>
    </row>
    <row r="966" customFormat="false" ht="15" hidden="false" customHeight="false" outlineLevel="0" collapsed="false">
      <c r="A966" s="9"/>
      <c r="B966" s="10"/>
      <c r="C966" s="11"/>
      <c r="D966" s="11"/>
      <c r="E966" s="11"/>
      <c r="F966" s="11"/>
      <c r="G966" s="12"/>
      <c r="H966" s="12"/>
      <c r="I966" s="10"/>
      <c r="J966" s="12"/>
      <c r="K966" s="13" t="str">
        <f aca="false">IF(ISNUMBER(B966),YEAR(B966),"")</f>
        <v/>
      </c>
      <c r="L966" s="13" t="str">
        <f aca="false">IF(ISNUMBER(B966),MONTH(B966),"")</f>
        <v/>
      </c>
      <c r="M966" s="13" t="str">
        <f aca="false">IF(AND(ISNUMBER(B966),ISNUMBER(I966)),B966-I966+1,"")</f>
        <v/>
      </c>
      <c r="N966" s="14" t="str">
        <f aca="false">IF(B966="","",IF(M966="","시작일 미입력",IF(M966&lt;1,"시작일 이전(확인)",IF(M966=1,"1일째",IF(M966=2,"2일째",IF(M966=3,"3일째",IF(M966&lt;=7,"일주일 이내",IF(M966&lt;=14,"이주일 이내","15일 이후"))))))))</f>
        <v/>
      </c>
      <c r="O966" s="0" t="str">
        <f aca="false">IF(AND(COUNTA($A966:$J966)&gt;0,OR(클레임조회!$C$4="",AND(ISNUMBER($B966),$B966&gt;=클레임조회!$C$4)),OR(클레임조회!$C$5="",AND(ISNUMBER($B966),$B966&lt;=클레임조회!$C$5)),OR(클레임조회!$C$6="",$C966=클레임조회!$C$6),OR(클레임조회!$C$7="",$D966=클레임조회!$C$7),OR(클레임조회!$C$8="",$E966=클레임조회!$C$8),OR(클레임조회!$C$9="",$F966=클레임조회!$C$9),OR(클레임조회!$C$10="",ISNUMBER(SEARCH(클레임조회!$C$10,$C966&amp;" "&amp;$F966&amp;" "&amp;$G966&amp;" "&amp;$H966)))),COUNT(O$1:O965)+1,"")</f>
        <v/>
      </c>
      <c r="P966" s="0" t="str">
        <f aca="false">IF(AND(TRIM(C966)&lt;&gt;"",COUNTIF(C$2:C966,C966)=1),MAX(P$1:P965)+1,"")</f>
        <v/>
      </c>
      <c r="Q966" s="0" t="str">
        <f aca="false">IF(AND(TRIM(F966)&lt;&gt;"",COUNTIF(F$2:F966,F966)=1),MAX(Q$1:Q965)+1,"")</f>
        <v/>
      </c>
    </row>
    <row r="967" customFormat="false" ht="15" hidden="false" customHeight="false" outlineLevel="0" collapsed="false">
      <c r="A967" s="9"/>
      <c r="B967" s="10"/>
      <c r="C967" s="11"/>
      <c r="D967" s="11"/>
      <c r="E967" s="11"/>
      <c r="F967" s="11"/>
      <c r="G967" s="12"/>
      <c r="H967" s="12"/>
      <c r="I967" s="10"/>
      <c r="J967" s="12"/>
      <c r="K967" s="13" t="str">
        <f aca="false">IF(ISNUMBER(B967),YEAR(B967),"")</f>
        <v/>
      </c>
      <c r="L967" s="13" t="str">
        <f aca="false">IF(ISNUMBER(B967),MONTH(B967),"")</f>
        <v/>
      </c>
      <c r="M967" s="13" t="str">
        <f aca="false">IF(AND(ISNUMBER(B967),ISNUMBER(I967)),B967-I967+1,"")</f>
        <v/>
      </c>
      <c r="N967" s="14" t="str">
        <f aca="false">IF(B967="","",IF(M967="","시작일 미입력",IF(M967&lt;1,"시작일 이전(확인)",IF(M967=1,"1일째",IF(M967=2,"2일째",IF(M967=3,"3일째",IF(M967&lt;=7,"일주일 이내",IF(M967&lt;=14,"이주일 이내","15일 이후"))))))))</f>
        <v/>
      </c>
      <c r="O967" s="0" t="str">
        <f aca="false">IF(AND(COUNTA($A967:$J967)&gt;0,OR(클레임조회!$C$4="",AND(ISNUMBER($B967),$B967&gt;=클레임조회!$C$4)),OR(클레임조회!$C$5="",AND(ISNUMBER($B967),$B967&lt;=클레임조회!$C$5)),OR(클레임조회!$C$6="",$C967=클레임조회!$C$6),OR(클레임조회!$C$7="",$D967=클레임조회!$C$7),OR(클레임조회!$C$8="",$E967=클레임조회!$C$8),OR(클레임조회!$C$9="",$F967=클레임조회!$C$9),OR(클레임조회!$C$10="",ISNUMBER(SEARCH(클레임조회!$C$10,$C967&amp;" "&amp;$F967&amp;" "&amp;$G967&amp;" "&amp;$H967)))),COUNT(O$1:O966)+1,"")</f>
        <v/>
      </c>
      <c r="P967" s="0" t="str">
        <f aca="false">IF(AND(TRIM(C967)&lt;&gt;"",COUNTIF(C$2:C967,C967)=1),MAX(P$1:P966)+1,"")</f>
        <v/>
      </c>
      <c r="Q967" s="0" t="str">
        <f aca="false">IF(AND(TRIM(F967)&lt;&gt;"",COUNTIF(F$2:F967,F967)=1),MAX(Q$1:Q966)+1,"")</f>
        <v/>
      </c>
    </row>
    <row r="968" customFormat="false" ht="15" hidden="false" customHeight="false" outlineLevel="0" collapsed="false">
      <c r="A968" s="9"/>
      <c r="B968" s="10"/>
      <c r="C968" s="11"/>
      <c r="D968" s="11"/>
      <c r="E968" s="11"/>
      <c r="F968" s="11"/>
      <c r="G968" s="12"/>
      <c r="H968" s="12"/>
      <c r="I968" s="10"/>
      <c r="J968" s="12"/>
      <c r="K968" s="13" t="str">
        <f aca="false">IF(ISNUMBER(B968),YEAR(B968),"")</f>
        <v/>
      </c>
      <c r="L968" s="13" t="str">
        <f aca="false">IF(ISNUMBER(B968),MONTH(B968),"")</f>
        <v/>
      </c>
      <c r="M968" s="13" t="str">
        <f aca="false">IF(AND(ISNUMBER(B968),ISNUMBER(I968)),B968-I968+1,"")</f>
        <v/>
      </c>
      <c r="N968" s="14" t="str">
        <f aca="false">IF(B968="","",IF(M968="","시작일 미입력",IF(M968&lt;1,"시작일 이전(확인)",IF(M968=1,"1일째",IF(M968=2,"2일째",IF(M968=3,"3일째",IF(M968&lt;=7,"일주일 이내",IF(M968&lt;=14,"이주일 이내","15일 이후"))))))))</f>
        <v/>
      </c>
      <c r="O968" s="0" t="str">
        <f aca="false">IF(AND(COUNTA($A968:$J968)&gt;0,OR(클레임조회!$C$4="",AND(ISNUMBER($B968),$B968&gt;=클레임조회!$C$4)),OR(클레임조회!$C$5="",AND(ISNUMBER($B968),$B968&lt;=클레임조회!$C$5)),OR(클레임조회!$C$6="",$C968=클레임조회!$C$6),OR(클레임조회!$C$7="",$D968=클레임조회!$C$7),OR(클레임조회!$C$8="",$E968=클레임조회!$C$8),OR(클레임조회!$C$9="",$F968=클레임조회!$C$9),OR(클레임조회!$C$10="",ISNUMBER(SEARCH(클레임조회!$C$10,$C968&amp;" "&amp;$F968&amp;" "&amp;$G968&amp;" "&amp;$H968)))),COUNT(O$1:O967)+1,"")</f>
        <v/>
      </c>
      <c r="P968" s="0" t="str">
        <f aca="false">IF(AND(TRIM(C968)&lt;&gt;"",COUNTIF(C$2:C968,C968)=1),MAX(P$1:P967)+1,"")</f>
        <v/>
      </c>
      <c r="Q968" s="0" t="str">
        <f aca="false">IF(AND(TRIM(F968)&lt;&gt;"",COUNTIF(F$2:F968,F968)=1),MAX(Q$1:Q967)+1,"")</f>
        <v/>
      </c>
    </row>
    <row r="969" customFormat="false" ht="15" hidden="false" customHeight="false" outlineLevel="0" collapsed="false">
      <c r="A969" s="9"/>
      <c r="B969" s="10"/>
      <c r="C969" s="11"/>
      <c r="D969" s="11"/>
      <c r="E969" s="11"/>
      <c r="F969" s="11"/>
      <c r="G969" s="12"/>
      <c r="H969" s="12"/>
      <c r="I969" s="10"/>
      <c r="J969" s="12"/>
      <c r="K969" s="13" t="str">
        <f aca="false">IF(ISNUMBER(B969),YEAR(B969),"")</f>
        <v/>
      </c>
      <c r="L969" s="13" t="str">
        <f aca="false">IF(ISNUMBER(B969),MONTH(B969),"")</f>
        <v/>
      </c>
      <c r="M969" s="13" t="str">
        <f aca="false">IF(AND(ISNUMBER(B969),ISNUMBER(I969)),B969-I969+1,"")</f>
        <v/>
      </c>
      <c r="N969" s="14" t="str">
        <f aca="false">IF(B969="","",IF(M969="","시작일 미입력",IF(M969&lt;1,"시작일 이전(확인)",IF(M969=1,"1일째",IF(M969=2,"2일째",IF(M969=3,"3일째",IF(M969&lt;=7,"일주일 이내",IF(M969&lt;=14,"이주일 이내","15일 이후"))))))))</f>
        <v/>
      </c>
      <c r="O969" s="0" t="str">
        <f aca="false">IF(AND(COUNTA($A969:$J969)&gt;0,OR(클레임조회!$C$4="",AND(ISNUMBER($B969),$B969&gt;=클레임조회!$C$4)),OR(클레임조회!$C$5="",AND(ISNUMBER($B969),$B969&lt;=클레임조회!$C$5)),OR(클레임조회!$C$6="",$C969=클레임조회!$C$6),OR(클레임조회!$C$7="",$D969=클레임조회!$C$7),OR(클레임조회!$C$8="",$E969=클레임조회!$C$8),OR(클레임조회!$C$9="",$F969=클레임조회!$C$9),OR(클레임조회!$C$10="",ISNUMBER(SEARCH(클레임조회!$C$10,$C969&amp;" "&amp;$F969&amp;" "&amp;$G969&amp;" "&amp;$H969)))),COUNT(O$1:O968)+1,"")</f>
        <v/>
      </c>
      <c r="P969" s="0" t="str">
        <f aca="false">IF(AND(TRIM(C969)&lt;&gt;"",COUNTIF(C$2:C969,C969)=1),MAX(P$1:P968)+1,"")</f>
        <v/>
      </c>
      <c r="Q969" s="0" t="str">
        <f aca="false">IF(AND(TRIM(F969)&lt;&gt;"",COUNTIF(F$2:F969,F969)=1),MAX(Q$1:Q968)+1,"")</f>
        <v/>
      </c>
    </row>
    <row r="970" customFormat="false" ht="15" hidden="false" customHeight="false" outlineLevel="0" collapsed="false">
      <c r="A970" s="9"/>
      <c r="B970" s="10"/>
      <c r="C970" s="11"/>
      <c r="D970" s="11"/>
      <c r="E970" s="11"/>
      <c r="F970" s="11"/>
      <c r="G970" s="12"/>
      <c r="H970" s="12"/>
      <c r="I970" s="10"/>
      <c r="J970" s="12"/>
      <c r="K970" s="13" t="str">
        <f aca="false">IF(ISNUMBER(B970),YEAR(B970),"")</f>
        <v/>
      </c>
      <c r="L970" s="13" t="str">
        <f aca="false">IF(ISNUMBER(B970),MONTH(B970),"")</f>
        <v/>
      </c>
      <c r="M970" s="13" t="str">
        <f aca="false">IF(AND(ISNUMBER(B970),ISNUMBER(I970)),B970-I970+1,"")</f>
        <v/>
      </c>
      <c r="N970" s="14" t="str">
        <f aca="false">IF(B970="","",IF(M970="","시작일 미입력",IF(M970&lt;1,"시작일 이전(확인)",IF(M970=1,"1일째",IF(M970=2,"2일째",IF(M970=3,"3일째",IF(M970&lt;=7,"일주일 이내",IF(M970&lt;=14,"이주일 이내","15일 이후"))))))))</f>
        <v/>
      </c>
      <c r="O970" s="0" t="str">
        <f aca="false">IF(AND(COUNTA($A970:$J970)&gt;0,OR(클레임조회!$C$4="",AND(ISNUMBER($B970),$B970&gt;=클레임조회!$C$4)),OR(클레임조회!$C$5="",AND(ISNUMBER($B970),$B970&lt;=클레임조회!$C$5)),OR(클레임조회!$C$6="",$C970=클레임조회!$C$6),OR(클레임조회!$C$7="",$D970=클레임조회!$C$7),OR(클레임조회!$C$8="",$E970=클레임조회!$C$8),OR(클레임조회!$C$9="",$F970=클레임조회!$C$9),OR(클레임조회!$C$10="",ISNUMBER(SEARCH(클레임조회!$C$10,$C970&amp;" "&amp;$F970&amp;" "&amp;$G970&amp;" "&amp;$H970)))),COUNT(O$1:O969)+1,"")</f>
        <v/>
      </c>
      <c r="P970" s="0" t="str">
        <f aca="false">IF(AND(TRIM(C970)&lt;&gt;"",COUNTIF(C$2:C970,C970)=1),MAX(P$1:P969)+1,"")</f>
        <v/>
      </c>
      <c r="Q970" s="0" t="str">
        <f aca="false">IF(AND(TRIM(F970)&lt;&gt;"",COUNTIF(F$2:F970,F970)=1),MAX(Q$1:Q969)+1,"")</f>
        <v/>
      </c>
    </row>
    <row r="971" customFormat="false" ht="15" hidden="false" customHeight="false" outlineLevel="0" collapsed="false">
      <c r="A971" s="9"/>
      <c r="B971" s="10"/>
      <c r="C971" s="11"/>
      <c r="D971" s="11"/>
      <c r="E971" s="11"/>
      <c r="F971" s="11"/>
      <c r="G971" s="12"/>
      <c r="H971" s="12"/>
      <c r="I971" s="10"/>
      <c r="J971" s="12"/>
      <c r="K971" s="13" t="str">
        <f aca="false">IF(ISNUMBER(B971),YEAR(B971),"")</f>
        <v/>
      </c>
      <c r="L971" s="13" t="str">
        <f aca="false">IF(ISNUMBER(B971),MONTH(B971),"")</f>
        <v/>
      </c>
      <c r="M971" s="13" t="str">
        <f aca="false">IF(AND(ISNUMBER(B971),ISNUMBER(I971)),B971-I971+1,"")</f>
        <v/>
      </c>
      <c r="N971" s="14" t="str">
        <f aca="false">IF(B971="","",IF(M971="","시작일 미입력",IF(M971&lt;1,"시작일 이전(확인)",IF(M971=1,"1일째",IF(M971=2,"2일째",IF(M971=3,"3일째",IF(M971&lt;=7,"일주일 이내",IF(M971&lt;=14,"이주일 이내","15일 이후"))))))))</f>
        <v/>
      </c>
      <c r="O971" s="0" t="str">
        <f aca="false">IF(AND(COUNTA($A971:$J971)&gt;0,OR(클레임조회!$C$4="",AND(ISNUMBER($B971),$B971&gt;=클레임조회!$C$4)),OR(클레임조회!$C$5="",AND(ISNUMBER($B971),$B971&lt;=클레임조회!$C$5)),OR(클레임조회!$C$6="",$C971=클레임조회!$C$6),OR(클레임조회!$C$7="",$D971=클레임조회!$C$7),OR(클레임조회!$C$8="",$E971=클레임조회!$C$8),OR(클레임조회!$C$9="",$F971=클레임조회!$C$9),OR(클레임조회!$C$10="",ISNUMBER(SEARCH(클레임조회!$C$10,$C971&amp;" "&amp;$F971&amp;" "&amp;$G971&amp;" "&amp;$H971)))),COUNT(O$1:O970)+1,"")</f>
        <v/>
      </c>
      <c r="P971" s="0" t="str">
        <f aca="false">IF(AND(TRIM(C971)&lt;&gt;"",COUNTIF(C$2:C971,C971)=1),MAX(P$1:P970)+1,"")</f>
        <v/>
      </c>
      <c r="Q971" s="0" t="str">
        <f aca="false">IF(AND(TRIM(F971)&lt;&gt;"",COUNTIF(F$2:F971,F971)=1),MAX(Q$1:Q970)+1,"")</f>
        <v/>
      </c>
    </row>
    <row r="972" customFormat="false" ht="15" hidden="false" customHeight="false" outlineLevel="0" collapsed="false">
      <c r="A972" s="9"/>
      <c r="B972" s="10"/>
      <c r="C972" s="11"/>
      <c r="D972" s="11"/>
      <c r="E972" s="11"/>
      <c r="F972" s="11"/>
      <c r="G972" s="12"/>
      <c r="H972" s="12"/>
      <c r="I972" s="10"/>
      <c r="J972" s="12"/>
      <c r="K972" s="13" t="str">
        <f aca="false">IF(ISNUMBER(B972),YEAR(B972),"")</f>
        <v/>
      </c>
      <c r="L972" s="13" t="str">
        <f aca="false">IF(ISNUMBER(B972),MONTH(B972),"")</f>
        <v/>
      </c>
      <c r="M972" s="13" t="str">
        <f aca="false">IF(AND(ISNUMBER(B972),ISNUMBER(I972)),B972-I972+1,"")</f>
        <v/>
      </c>
      <c r="N972" s="14" t="str">
        <f aca="false">IF(B972="","",IF(M972="","시작일 미입력",IF(M972&lt;1,"시작일 이전(확인)",IF(M972=1,"1일째",IF(M972=2,"2일째",IF(M972=3,"3일째",IF(M972&lt;=7,"일주일 이내",IF(M972&lt;=14,"이주일 이내","15일 이후"))))))))</f>
        <v/>
      </c>
      <c r="O972" s="0" t="str">
        <f aca="false">IF(AND(COUNTA($A972:$J972)&gt;0,OR(클레임조회!$C$4="",AND(ISNUMBER($B972),$B972&gt;=클레임조회!$C$4)),OR(클레임조회!$C$5="",AND(ISNUMBER($B972),$B972&lt;=클레임조회!$C$5)),OR(클레임조회!$C$6="",$C972=클레임조회!$C$6),OR(클레임조회!$C$7="",$D972=클레임조회!$C$7),OR(클레임조회!$C$8="",$E972=클레임조회!$C$8),OR(클레임조회!$C$9="",$F972=클레임조회!$C$9),OR(클레임조회!$C$10="",ISNUMBER(SEARCH(클레임조회!$C$10,$C972&amp;" "&amp;$F972&amp;" "&amp;$G972&amp;" "&amp;$H972)))),COUNT(O$1:O971)+1,"")</f>
        <v/>
      </c>
      <c r="P972" s="0" t="str">
        <f aca="false">IF(AND(TRIM(C972)&lt;&gt;"",COUNTIF(C$2:C972,C972)=1),MAX(P$1:P971)+1,"")</f>
        <v/>
      </c>
      <c r="Q972" s="0" t="str">
        <f aca="false">IF(AND(TRIM(F972)&lt;&gt;"",COUNTIF(F$2:F972,F972)=1),MAX(Q$1:Q971)+1,"")</f>
        <v/>
      </c>
    </row>
    <row r="973" customFormat="false" ht="15" hidden="false" customHeight="false" outlineLevel="0" collapsed="false">
      <c r="A973" s="9"/>
      <c r="B973" s="10"/>
      <c r="C973" s="11"/>
      <c r="D973" s="11"/>
      <c r="E973" s="11"/>
      <c r="F973" s="11"/>
      <c r="G973" s="12"/>
      <c r="H973" s="12"/>
      <c r="I973" s="10"/>
      <c r="J973" s="12"/>
      <c r="K973" s="13" t="str">
        <f aca="false">IF(ISNUMBER(B973),YEAR(B973),"")</f>
        <v/>
      </c>
      <c r="L973" s="13" t="str">
        <f aca="false">IF(ISNUMBER(B973),MONTH(B973),"")</f>
        <v/>
      </c>
      <c r="M973" s="13" t="str">
        <f aca="false">IF(AND(ISNUMBER(B973),ISNUMBER(I973)),B973-I973+1,"")</f>
        <v/>
      </c>
      <c r="N973" s="14" t="str">
        <f aca="false">IF(B973="","",IF(M973="","시작일 미입력",IF(M973&lt;1,"시작일 이전(확인)",IF(M973=1,"1일째",IF(M973=2,"2일째",IF(M973=3,"3일째",IF(M973&lt;=7,"일주일 이내",IF(M973&lt;=14,"이주일 이내","15일 이후"))))))))</f>
        <v/>
      </c>
      <c r="O973" s="0" t="str">
        <f aca="false">IF(AND(COUNTA($A973:$J973)&gt;0,OR(클레임조회!$C$4="",AND(ISNUMBER($B973),$B973&gt;=클레임조회!$C$4)),OR(클레임조회!$C$5="",AND(ISNUMBER($B973),$B973&lt;=클레임조회!$C$5)),OR(클레임조회!$C$6="",$C973=클레임조회!$C$6),OR(클레임조회!$C$7="",$D973=클레임조회!$C$7),OR(클레임조회!$C$8="",$E973=클레임조회!$C$8),OR(클레임조회!$C$9="",$F973=클레임조회!$C$9),OR(클레임조회!$C$10="",ISNUMBER(SEARCH(클레임조회!$C$10,$C973&amp;" "&amp;$F973&amp;" "&amp;$G973&amp;" "&amp;$H973)))),COUNT(O$1:O972)+1,"")</f>
        <v/>
      </c>
      <c r="P973" s="0" t="str">
        <f aca="false">IF(AND(TRIM(C973)&lt;&gt;"",COUNTIF(C$2:C973,C973)=1),MAX(P$1:P972)+1,"")</f>
        <v/>
      </c>
      <c r="Q973" s="0" t="str">
        <f aca="false">IF(AND(TRIM(F973)&lt;&gt;"",COUNTIF(F$2:F973,F973)=1),MAX(Q$1:Q972)+1,"")</f>
        <v/>
      </c>
    </row>
    <row r="974" customFormat="false" ht="15" hidden="false" customHeight="false" outlineLevel="0" collapsed="false">
      <c r="A974" s="9"/>
      <c r="B974" s="10"/>
      <c r="C974" s="11"/>
      <c r="D974" s="11"/>
      <c r="E974" s="11"/>
      <c r="F974" s="11"/>
      <c r="G974" s="12"/>
      <c r="H974" s="12"/>
      <c r="I974" s="10"/>
      <c r="J974" s="12"/>
      <c r="K974" s="13" t="str">
        <f aca="false">IF(ISNUMBER(B974),YEAR(B974),"")</f>
        <v/>
      </c>
      <c r="L974" s="13" t="str">
        <f aca="false">IF(ISNUMBER(B974),MONTH(B974),"")</f>
        <v/>
      </c>
      <c r="M974" s="13" t="str">
        <f aca="false">IF(AND(ISNUMBER(B974),ISNUMBER(I974)),B974-I974+1,"")</f>
        <v/>
      </c>
      <c r="N974" s="14" t="str">
        <f aca="false">IF(B974="","",IF(M974="","시작일 미입력",IF(M974&lt;1,"시작일 이전(확인)",IF(M974=1,"1일째",IF(M974=2,"2일째",IF(M974=3,"3일째",IF(M974&lt;=7,"일주일 이내",IF(M974&lt;=14,"이주일 이내","15일 이후"))))))))</f>
        <v/>
      </c>
      <c r="O974" s="0" t="str">
        <f aca="false">IF(AND(COUNTA($A974:$J974)&gt;0,OR(클레임조회!$C$4="",AND(ISNUMBER($B974),$B974&gt;=클레임조회!$C$4)),OR(클레임조회!$C$5="",AND(ISNUMBER($B974),$B974&lt;=클레임조회!$C$5)),OR(클레임조회!$C$6="",$C974=클레임조회!$C$6),OR(클레임조회!$C$7="",$D974=클레임조회!$C$7),OR(클레임조회!$C$8="",$E974=클레임조회!$C$8),OR(클레임조회!$C$9="",$F974=클레임조회!$C$9),OR(클레임조회!$C$10="",ISNUMBER(SEARCH(클레임조회!$C$10,$C974&amp;" "&amp;$F974&amp;" "&amp;$G974&amp;" "&amp;$H974)))),COUNT(O$1:O973)+1,"")</f>
        <v/>
      </c>
      <c r="P974" s="0" t="str">
        <f aca="false">IF(AND(TRIM(C974)&lt;&gt;"",COUNTIF(C$2:C974,C974)=1),MAX(P$1:P973)+1,"")</f>
        <v/>
      </c>
      <c r="Q974" s="0" t="str">
        <f aca="false">IF(AND(TRIM(F974)&lt;&gt;"",COUNTIF(F$2:F974,F974)=1),MAX(Q$1:Q973)+1,"")</f>
        <v/>
      </c>
    </row>
    <row r="975" customFormat="false" ht="15" hidden="false" customHeight="false" outlineLevel="0" collapsed="false">
      <c r="A975" s="9"/>
      <c r="B975" s="10"/>
      <c r="C975" s="11"/>
      <c r="D975" s="11"/>
      <c r="E975" s="11"/>
      <c r="F975" s="11"/>
      <c r="G975" s="12"/>
      <c r="H975" s="12"/>
      <c r="I975" s="10"/>
      <c r="J975" s="12"/>
      <c r="K975" s="13" t="str">
        <f aca="false">IF(ISNUMBER(B975),YEAR(B975),"")</f>
        <v/>
      </c>
      <c r="L975" s="13" t="str">
        <f aca="false">IF(ISNUMBER(B975),MONTH(B975),"")</f>
        <v/>
      </c>
      <c r="M975" s="13" t="str">
        <f aca="false">IF(AND(ISNUMBER(B975),ISNUMBER(I975)),B975-I975+1,"")</f>
        <v/>
      </c>
      <c r="N975" s="14" t="str">
        <f aca="false">IF(B975="","",IF(M975="","시작일 미입력",IF(M975&lt;1,"시작일 이전(확인)",IF(M975=1,"1일째",IF(M975=2,"2일째",IF(M975=3,"3일째",IF(M975&lt;=7,"일주일 이내",IF(M975&lt;=14,"이주일 이내","15일 이후"))))))))</f>
        <v/>
      </c>
      <c r="O975" s="0" t="str">
        <f aca="false">IF(AND(COUNTA($A975:$J975)&gt;0,OR(클레임조회!$C$4="",AND(ISNUMBER($B975),$B975&gt;=클레임조회!$C$4)),OR(클레임조회!$C$5="",AND(ISNUMBER($B975),$B975&lt;=클레임조회!$C$5)),OR(클레임조회!$C$6="",$C975=클레임조회!$C$6),OR(클레임조회!$C$7="",$D975=클레임조회!$C$7),OR(클레임조회!$C$8="",$E975=클레임조회!$C$8),OR(클레임조회!$C$9="",$F975=클레임조회!$C$9),OR(클레임조회!$C$10="",ISNUMBER(SEARCH(클레임조회!$C$10,$C975&amp;" "&amp;$F975&amp;" "&amp;$G975&amp;" "&amp;$H975)))),COUNT(O$1:O974)+1,"")</f>
        <v/>
      </c>
      <c r="P975" s="0" t="str">
        <f aca="false">IF(AND(TRIM(C975)&lt;&gt;"",COUNTIF(C$2:C975,C975)=1),MAX(P$1:P974)+1,"")</f>
        <v/>
      </c>
      <c r="Q975" s="0" t="str">
        <f aca="false">IF(AND(TRIM(F975)&lt;&gt;"",COUNTIF(F$2:F975,F975)=1),MAX(Q$1:Q974)+1,"")</f>
        <v/>
      </c>
    </row>
    <row r="976" customFormat="false" ht="15" hidden="false" customHeight="false" outlineLevel="0" collapsed="false">
      <c r="A976" s="9"/>
      <c r="B976" s="10"/>
      <c r="C976" s="11"/>
      <c r="D976" s="11"/>
      <c r="E976" s="11"/>
      <c r="F976" s="11"/>
      <c r="G976" s="12"/>
      <c r="H976" s="12"/>
      <c r="I976" s="10"/>
      <c r="J976" s="12"/>
      <c r="K976" s="13" t="str">
        <f aca="false">IF(ISNUMBER(B976),YEAR(B976),"")</f>
        <v/>
      </c>
      <c r="L976" s="13" t="str">
        <f aca="false">IF(ISNUMBER(B976),MONTH(B976),"")</f>
        <v/>
      </c>
      <c r="M976" s="13" t="str">
        <f aca="false">IF(AND(ISNUMBER(B976),ISNUMBER(I976)),B976-I976+1,"")</f>
        <v/>
      </c>
      <c r="N976" s="14" t="str">
        <f aca="false">IF(B976="","",IF(M976="","시작일 미입력",IF(M976&lt;1,"시작일 이전(확인)",IF(M976=1,"1일째",IF(M976=2,"2일째",IF(M976=3,"3일째",IF(M976&lt;=7,"일주일 이내",IF(M976&lt;=14,"이주일 이내","15일 이후"))))))))</f>
        <v/>
      </c>
      <c r="O976" s="0" t="str">
        <f aca="false">IF(AND(COUNTA($A976:$J976)&gt;0,OR(클레임조회!$C$4="",AND(ISNUMBER($B976),$B976&gt;=클레임조회!$C$4)),OR(클레임조회!$C$5="",AND(ISNUMBER($B976),$B976&lt;=클레임조회!$C$5)),OR(클레임조회!$C$6="",$C976=클레임조회!$C$6),OR(클레임조회!$C$7="",$D976=클레임조회!$C$7),OR(클레임조회!$C$8="",$E976=클레임조회!$C$8),OR(클레임조회!$C$9="",$F976=클레임조회!$C$9),OR(클레임조회!$C$10="",ISNUMBER(SEARCH(클레임조회!$C$10,$C976&amp;" "&amp;$F976&amp;" "&amp;$G976&amp;" "&amp;$H976)))),COUNT(O$1:O975)+1,"")</f>
        <v/>
      </c>
      <c r="P976" s="0" t="str">
        <f aca="false">IF(AND(TRIM(C976)&lt;&gt;"",COUNTIF(C$2:C976,C976)=1),MAX(P$1:P975)+1,"")</f>
        <v/>
      </c>
      <c r="Q976" s="0" t="str">
        <f aca="false">IF(AND(TRIM(F976)&lt;&gt;"",COUNTIF(F$2:F976,F976)=1),MAX(Q$1:Q975)+1,"")</f>
        <v/>
      </c>
    </row>
    <row r="977" customFormat="false" ht="15" hidden="false" customHeight="false" outlineLevel="0" collapsed="false">
      <c r="A977" s="9"/>
      <c r="B977" s="10"/>
      <c r="C977" s="11"/>
      <c r="D977" s="11"/>
      <c r="E977" s="11"/>
      <c r="F977" s="11"/>
      <c r="G977" s="12"/>
      <c r="H977" s="12"/>
      <c r="I977" s="10"/>
      <c r="J977" s="12"/>
      <c r="K977" s="13" t="str">
        <f aca="false">IF(ISNUMBER(B977),YEAR(B977),"")</f>
        <v/>
      </c>
      <c r="L977" s="13" t="str">
        <f aca="false">IF(ISNUMBER(B977),MONTH(B977),"")</f>
        <v/>
      </c>
      <c r="M977" s="13" t="str">
        <f aca="false">IF(AND(ISNUMBER(B977),ISNUMBER(I977)),B977-I977+1,"")</f>
        <v/>
      </c>
      <c r="N977" s="14" t="str">
        <f aca="false">IF(B977="","",IF(M977="","시작일 미입력",IF(M977&lt;1,"시작일 이전(확인)",IF(M977=1,"1일째",IF(M977=2,"2일째",IF(M977=3,"3일째",IF(M977&lt;=7,"일주일 이내",IF(M977&lt;=14,"이주일 이내","15일 이후"))))))))</f>
        <v/>
      </c>
      <c r="O977" s="0" t="str">
        <f aca="false">IF(AND(COUNTA($A977:$J977)&gt;0,OR(클레임조회!$C$4="",AND(ISNUMBER($B977),$B977&gt;=클레임조회!$C$4)),OR(클레임조회!$C$5="",AND(ISNUMBER($B977),$B977&lt;=클레임조회!$C$5)),OR(클레임조회!$C$6="",$C977=클레임조회!$C$6),OR(클레임조회!$C$7="",$D977=클레임조회!$C$7),OR(클레임조회!$C$8="",$E977=클레임조회!$C$8),OR(클레임조회!$C$9="",$F977=클레임조회!$C$9),OR(클레임조회!$C$10="",ISNUMBER(SEARCH(클레임조회!$C$10,$C977&amp;" "&amp;$F977&amp;" "&amp;$G977&amp;" "&amp;$H977)))),COUNT(O$1:O976)+1,"")</f>
        <v/>
      </c>
      <c r="P977" s="0" t="str">
        <f aca="false">IF(AND(TRIM(C977)&lt;&gt;"",COUNTIF(C$2:C977,C977)=1),MAX(P$1:P976)+1,"")</f>
        <v/>
      </c>
      <c r="Q977" s="0" t="str">
        <f aca="false">IF(AND(TRIM(F977)&lt;&gt;"",COUNTIF(F$2:F977,F977)=1),MAX(Q$1:Q976)+1,"")</f>
        <v/>
      </c>
    </row>
    <row r="978" customFormat="false" ht="15" hidden="false" customHeight="false" outlineLevel="0" collapsed="false">
      <c r="A978" s="9"/>
      <c r="B978" s="10"/>
      <c r="C978" s="11"/>
      <c r="D978" s="11"/>
      <c r="E978" s="11"/>
      <c r="F978" s="11"/>
      <c r="G978" s="12"/>
      <c r="H978" s="12"/>
      <c r="I978" s="10"/>
      <c r="J978" s="12"/>
      <c r="K978" s="13" t="str">
        <f aca="false">IF(ISNUMBER(B978),YEAR(B978),"")</f>
        <v/>
      </c>
      <c r="L978" s="13" t="str">
        <f aca="false">IF(ISNUMBER(B978),MONTH(B978),"")</f>
        <v/>
      </c>
      <c r="M978" s="13" t="str">
        <f aca="false">IF(AND(ISNUMBER(B978),ISNUMBER(I978)),B978-I978+1,"")</f>
        <v/>
      </c>
      <c r="N978" s="14" t="str">
        <f aca="false">IF(B978="","",IF(M978="","시작일 미입력",IF(M978&lt;1,"시작일 이전(확인)",IF(M978=1,"1일째",IF(M978=2,"2일째",IF(M978=3,"3일째",IF(M978&lt;=7,"일주일 이내",IF(M978&lt;=14,"이주일 이내","15일 이후"))))))))</f>
        <v/>
      </c>
      <c r="O978" s="0" t="str">
        <f aca="false">IF(AND(COUNTA($A978:$J978)&gt;0,OR(클레임조회!$C$4="",AND(ISNUMBER($B978),$B978&gt;=클레임조회!$C$4)),OR(클레임조회!$C$5="",AND(ISNUMBER($B978),$B978&lt;=클레임조회!$C$5)),OR(클레임조회!$C$6="",$C978=클레임조회!$C$6),OR(클레임조회!$C$7="",$D978=클레임조회!$C$7),OR(클레임조회!$C$8="",$E978=클레임조회!$C$8),OR(클레임조회!$C$9="",$F978=클레임조회!$C$9),OR(클레임조회!$C$10="",ISNUMBER(SEARCH(클레임조회!$C$10,$C978&amp;" "&amp;$F978&amp;" "&amp;$G978&amp;" "&amp;$H978)))),COUNT(O$1:O977)+1,"")</f>
        <v/>
      </c>
      <c r="P978" s="0" t="str">
        <f aca="false">IF(AND(TRIM(C978)&lt;&gt;"",COUNTIF(C$2:C978,C978)=1),MAX(P$1:P977)+1,"")</f>
        <v/>
      </c>
      <c r="Q978" s="0" t="str">
        <f aca="false">IF(AND(TRIM(F978)&lt;&gt;"",COUNTIF(F$2:F978,F978)=1),MAX(Q$1:Q977)+1,"")</f>
        <v/>
      </c>
    </row>
    <row r="979" customFormat="false" ht="15" hidden="false" customHeight="false" outlineLevel="0" collapsed="false">
      <c r="A979" s="9"/>
      <c r="B979" s="10"/>
      <c r="C979" s="11"/>
      <c r="D979" s="11"/>
      <c r="E979" s="11"/>
      <c r="F979" s="11"/>
      <c r="G979" s="12"/>
      <c r="H979" s="12"/>
      <c r="I979" s="10"/>
      <c r="J979" s="12"/>
      <c r="K979" s="13" t="str">
        <f aca="false">IF(ISNUMBER(B979),YEAR(B979),"")</f>
        <v/>
      </c>
      <c r="L979" s="13" t="str">
        <f aca="false">IF(ISNUMBER(B979),MONTH(B979),"")</f>
        <v/>
      </c>
      <c r="M979" s="13" t="str">
        <f aca="false">IF(AND(ISNUMBER(B979),ISNUMBER(I979)),B979-I979+1,"")</f>
        <v/>
      </c>
      <c r="N979" s="14" t="str">
        <f aca="false">IF(B979="","",IF(M979="","시작일 미입력",IF(M979&lt;1,"시작일 이전(확인)",IF(M979=1,"1일째",IF(M979=2,"2일째",IF(M979=3,"3일째",IF(M979&lt;=7,"일주일 이내",IF(M979&lt;=14,"이주일 이내","15일 이후"))))))))</f>
        <v/>
      </c>
      <c r="O979" s="0" t="str">
        <f aca="false">IF(AND(COUNTA($A979:$J979)&gt;0,OR(클레임조회!$C$4="",AND(ISNUMBER($B979),$B979&gt;=클레임조회!$C$4)),OR(클레임조회!$C$5="",AND(ISNUMBER($B979),$B979&lt;=클레임조회!$C$5)),OR(클레임조회!$C$6="",$C979=클레임조회!$C$6),OR(클레임조회!$C$7="",$D979=클레임조회!$C$7),OR(클레임조회!$C$8="",$E979=클레임조회!$C$8),OR(클레임조회!$C$9="",$F979=클레임조회!$C$9),OR(클레임조회!$C$10="",ISNUMBER(SEARCH(클레임조회!$C$10,$C979&amp;" "&amp;$F979&amp;" "&amp;$G979&amp;" "&amp;$H979)))),COUNT(O$1:O978)+1,"")</f>
        <v/>
      </c>
      <c r="P979" s="0" t="str">
        <f aca="false">IF(AND(TRIM(C979)&lt;&gt;"",COUNTIF(C$2:C979,C979)=1),MAX(P$1:P978)+1,"")</f>
        <v/>
      </c>
      <c r="Q979" s="0" t="str">
        <f aca="false">IF(AND(TRIM(F979)&lt;&gt;"",COUNTIF(F$2:F979,F979)=1),MAX(Q$1:Q978)+1,"")</f>
        <v/>
      </c>
    </row>
    <row r="980" customFormat="false" ht="15" hidden="false" customHeight="false" outlineLevel="0" collapsed="false">
      <c r="A980" s="9"/>
      <c r="B980" s="10"/>
      <c r="C980" s="11"/>
      <c r="D980" s="11"/>
      <c r="E980" s="11"/>
      <c r="F980" s="11"/>
      <c r="G980" s="12"/>
      <c r="H980" s="12"/>
      <c r="I980" s="10"/>
      <c r="J980" s="12"/>
      <c r="K980" s="13" t="str">
        <f aca="false">IF(ISNUMBER(B980),YEAR(B980),"")</f>
        <v/>
      </c>
      <c r="L980" s="13" t="str">
        <f aca="false">IF(ISNUMBER(B980),MONTH(B980),"")</f>
        <v/>
      </c>
      <c r="M980" s="13" t="str">
        <f aca="false">IF(AND(ISNUMBER(B980),ISNUMBER(I980)),B980-I980+1,"")</f>
        <v/>
      </c>
      <c r="N980" s="14" t="str">
        <f aca="false">IF(B980="","",IF(M980="","시작일 미입력",IF(M980&lt;1,"시작일 이전(확인)",IF(M980=1,"1일째",IF(M980=2,"2일째",IF(M980=3,"3일째",IF(M980&lt;=7,"일주일 이내",IF(M980&lt;=14,"이주일 이내","15일 이후"))))))))</f>
        <v/>
      </c>
      <c r="O980" s="0" t="str">
        <f aca="false">IF(AND(COUNTA($A980:$J980)&gt;0,OR(클레임조회!$C$4="",AND(ISNUMBER($B980),$B980&gt;=클레임조회!$C$4)),OR(클레임조회!$C$5="",AND(ISNUMBER($B980),$B980&lt;=클레임조회!$C$5)),OR(클레임조회!$C$6="",$C980=클레임조회!$C$6),OR(클레임조회!$C$7="",$D980=클레임조회!$C$7),OR(클레임조회!$C$8="",$E980=클레임조회!$C$8),OR(클레임조회!$C$9="",$F980=클레임조회!$C$9),OR(클레임조회!$C$10="",ISNUMBER(SEARCH(클레임조회!$C$10,$C980&amp;" "&amp;$F980&amp;" "&amp;$G980&amp;" "&amp;$H980)))),COUNT(O$1:O979)+1,"")</f>
        <v/>
      </c>
      <c r="P980" s="0" t="str">
        <f aca="false">IF(AND(TRIM(C980)&lt;&gt;"",COUNTIF(C$2:C980,C980)=1),MAX(P$1:P979)+1,"")</f>
        <v/>
      </c>
      <c r="Q980" s="0" t="str">
        <f aca="false">IF(AND(TRIM(F980)&lt;&gt;"",COUNTIF(F$2:F980,F980)=1),MAX(Q$1:Q979)+1,"")</f>
        <v/>
      </c>
    </row>
    <row r="981" customFormat="false" ht="15" hidden="false" customHeight="false" outlineLevel="0" collapsed="false">
      <c r="A981" s="9"/>
      <c r="B981" s="10"/>
      <c r="C981" s="11"/>
      <c r="D981" s="11"/>
      <c r="E981" s="11"/>
      <c r="F981" s="11"/>
      <c r="G981" s="12"/>
      <c r="H981" s="12"/>
      <c r="I981" s="10"/>
      <c r="J981" s="12"/>
      <c r="K981" s="13" t="str">
        <f aca="false">IF(ISNUMBER(B981),YEAR(B981),"")</f>
        <v/>
      </c>
      <c r="L981" s="13" t="str">
        <f aca="false">IF(ISNUMBER(B981),MONTH(B981),"")</f>
        <v/>
      </c>
      <c r="M981" s="13" t="str">
        <f aca="false">IF(AND(ISNUMBER(B981),ISNUMBER(I981)),B981-I981+1,"")</f>
        <v/>
      </c>
      <c r="N981" s="14" t="str">
        <f aca="false">IF(B981="","",IF(M981="","시작일 미입력",IF(M981&lt;1,"시작일 이전(확인)",IF(M981=1,"1일째",IF(M981=2,"2일째",IF(M981=3,"3일째",IF(M981&lt;=7,"일주일 이내",IF(M981&lt;=14,"이주일 이내","15일 이후"))))))))</f>
        <v/>
      </c>
      <c r="O981" s="0" t="str">
        <f aca="false">IF(AND(COUNTA($A981:$J981)&gt;0,OR(클레임조회!$C$4="",AND(ISNUMBER($B981),$B981&gt;=클레임조회!$C$4)),OR(클레임조회!$C$5="",AND(ISNUMBER($B981),$B981&lt;=클레임조회!$C$5)),OR(클레임조회!$C$6="",$C981=클레임조회!$C$6),OR(클레임조회!$C$7="",$D981=클레임조회!$C$7),OR(클레임조회!$C$8="",$E981=클레임조회!$C$8),OR(클레임조회!$C$9="",$F981=클레임조회!$C$9),OR(클레임조회!$C$10="",ISNUMBER(SEARCH(클레임조회!$C$10,$C981&amp;" "&amp;$F981&amp;" "&amp;$G981&amp;" "&amp;$H981)))),COUNT(O$1:O980)+1,"")</f>
        <v/>
      </c>
      <c r="P981" s="0" t="str">
        <f aca="false">IF(AND(TRIM(C981)&lt;&gt;"",COUNTIF(C$2:C981,C981)=1),MAX(P$1:P980)+1,"")</f>
        <v/>
      </c>
      <c r="Q981" s="0" t="str">
        <f aca="false">IF(AND(TRIM(F981)&lt;&gt;"",COUNTIF(F$2:F981,F981)=1),MAX(Q$1:Q980)+1,"")</f>
        <v/>
      </c>
    </row>
    <row r="982" customFormat="false" ht="15" hidden="false" customHeight="false" outlineLevel="0" collapsed="false">
      <c r="A982" s="9"/>
      <c r="B982" s="10"/>
      <c r="C982" s="11"/>
      <c r="D982" s="11"/>
      <c r="E982" s="11"/>
      <c r="F982" s="11"/>
      <c r="G982" s="12"/>
      <c r="H982" s="12"/>
      <c r="I982" s="10"/>
      <c r="J982" s="12"/>
      <c r="K982" s="13" t="str">
        <f aca="false">IF(ISNUMBER(B982),YEAR(B982),"")</f>
        <v/>
      </c>
      <c r="L982" s="13" t="str">
        <f aca="false">IF(ISNUMBER(B982),MONTH(B982),"")</f>
        <v/>
      </c>
      <c r="M982" s="13" t="str">
        <f aca="false">IF(AND(ISNUMBER(B982),ISNUMBER(I982)),B982-I982+1,"")</f>
        <v/>
      </c>
      <c r="N982" s="14" t="str">
        <f aca="false">IF(B982="","",IF(M982="","시작일 미입력",IF(M982&lt;1,"시작일 이전(확인)",IF(M982=1,"1일째",IF(M982=2,"2일째",IF(M982=3,"3일째",IF(M982&lt;=7,"일주일 이내",IF(M982&lt;=14,"이주일 이내","15일 이후"))))))))</f>
        <v/>
      </c>
      <c r="O982" s="0" t="str">
        <f aca="false">IF(AND(COUNTA($A982:$J982)&gt;0,OR(클레임조회!$C$4="",AND(ISNUMBER($B982),$B982&gt;=클레임조회!$C$4)),OR(클레임조회!$C$5="",AND(ISNUMBER($B982),$B982&lt;=클레임조회!$C$5)),OR(클레임조회!$C$6="",$C982=클레임조회!$C$6),OR(클레임조회!$C$7="",$D982=클레임조회!$C$7),OR(클레임조회!$C$8="",$E982=클레임조회!$C$8),OR(클레임조회!$C$9="",$F982=클레임조회!$C$9),OR(클레임조회!$C$10="",ISNUMBER(SEARCH(클레임조회!$C$10,$C982&amp;" "&amp;$F982&amp;" "&amp;$G982&amp;" "&amp;$H982)))),COUNT(O$1:O981)+1,"")</f>
        <v/>
      </c>
      <c r="P982" s="0" t="str">
        <f aca="false">IF(AND(TRIM(C982)&lt;&gt;"",COUNTIF(C$2:C982,C982)=1),MAX(P$1:P981)+1,"")</f>
        <v/>
      </c>
      <c r="Q982" s="0" t="str">
        <f aca="false">IF(AND(TRIM(F982)&lt;&gt;"",COUNTIF(F$2:F982,F982)=1),MAX(Q$1:Q981)+1,"")</f>
        <v/>
      </c>
    </row>
    <row r="983" customFormat="false" ht="15" hidden="false" customHeight="false" outlineLevel="0" collapsed="false">
      <c r="A983" s="9"/>
      <c r="B983" s="10"/>
      <c r="C983" s="11"/>
      <c r="D983" s="11"/>
      <c r="E983" s="11"/>
      <c r="F983" s="11"/>
      <c r="G983" s="12"/>
      <c r="H983" s="12"/>
      <c r="I983" s="10"/>
      <c r="J983" s="12"/>
      <c r="K983" s="13" t="str">
        <f aca="false">IF(ISNUMBER(B983),YEAR(B983),"")</f>
        <v/>
      </c>
      <c r="L983" s="13" t="str">
        <f aca="false">IF(ISNUMBER(B983),MONTH(B983),"")</f>
        <v/>
      </c>
      <c r="M983" s="13" t="str">
        <f aca="false">IF(AND(ISNUMBER(B983),ISNUMBER(I983)),B983-I983+1,"")</f>
        <v/>
      </c>
      <c r="N983" s="14" t="str">
        <f aca="false">IF(B983="","",IF(M983="","시작일 미입력",IF(M983&lt;1,"시작일 이전(확인)",IF(M983=1,"1일째",IF(M983=2,"2일째",IF(M983=3,"3일째",IF(M983&lt;=7,"일주일 이내",IF(M983&lt;=14,"이주일 이내","15일 이후"))))))))</f>
        <v/>
      </c>
      <c r="O983" s="0" t="str">
        <f aca="false">IF(AND(COUNTA($A983:$J983)&gt;0,OR(클레임조회!$C$4="",AND(ISNUMBER($B983),$B983&gt;=클레임조회!$C$4)),OR(클레임조회!$C$5="",AND(ISNUMBER($B983),$B983&lt;=클레임조회!$C$5)),OR(클레임조회!$C$6="",$C983=클레임조회!$C$6),OR(클레임조회!$C$7="",$D983=클레임조회!$C$7),OR(클레임조회!$C$8="",$E983=클레임조회!$C$8),OR(클레임조회!$C$9="",$F983=클레임조회!$C$9),OR(클레임조회!$C$10="",ISNUMBER(SEARCH(클레임조회!$C$10,$C983&amp;" "&amp;$F983&amp;" "&amp;$G983&amp;" "&amp;$H983)))),COUNT(O$1:O982)+1,"")</f>
        <v/>
      </c>
      <c r="P983" s="0" t="str">
        <f aca="false">IF(AND(TRIM(C983)&lt;&gt;"",COUNTIF(C$2:C983,C983)=1),MAX(P$1:P982)+1,"")</f>
        <v/>
      </c>
      <c r="Q983" s="0" t="str">
        <f aca="false">IF(AND(TRIM(F983)&lt;&gt;"",COUNTIF(F$2:F983,F983)=1),MAX(Q$1:Q982)+1,"")</f>
        <v/>
      </c>
    </row>
    <row r="984" customFormat="false" ht="15" hidden="false" customHeight="false" outlineLevel="0" collapsed="false">
      <c r="A984" s="9"/>
      <c r="B984" s="10"/>
      <c r="C984" s="11"/>
      <c r="D984" s="11"/>
      <c r="E984" s="11"/>
      <c r="F984" s="11"/>
      <c r="G984" s="12"/>
      <c r="H984" s="12"/>
      <c r="I984" s="10"/>
      <c r="J984" s="12"/>
      <c r="K984" s="13" t="str">
        <f aca="false">IF(ISNUMBER(B984),YEAR(B984),"")</f>
        <v/>
      </c>
      <c r="L984" s="13" t="str">
        <f aca="false">IF(ISNUMBER(B984),MONTH(B984),"")</f>
        <v/>
      </c>
      <c r="M984" s="13" t="str">
        <f aca="false">IF(AND(ISNUMBER(B984),ISNUMBER(I984)),B984-I984+1,"")</f>
        <v/>
      </c>
      <c r="N984" s="14" t="str">
        <f aca="false">IF(B984="","",IF(M984="","시작일 미입력",IF(M984&lt;1,"시작일 이전(확인)",IF(M984=1,"1일째",IF(M984=2,"2일째",IF(M984=3,"3일째",IF(M984&lt;=7,"일주일 이내",IF(M984&lt;=14,"이주일 이내","15일 이후"))))))))</f>
        <v/>
      </c>
      <c r="O984" s="0" t="str">
        <f aca="false">IF(AND(COUNTA($A984:$J984)&gt;0,OR(클레임조회!$C$4="",AND(ISNUMBER($B984),$B984&gt;=클레임조회!$C$4)),OR(클레임조회!$C$5="",AND(ISNUMBER($B984),$B984&lt;=클레임조회!$C$5)),OR(클레임조회!$C$6="",$C984=클레임조회!$C$6),OR(클레임조회!$C$7="",$D984=클레임조회!$C$7),OR(클레임조회!$C$8="",$E984=클레임조회!$C$8),OR(클레임조회!$C$9="",$F984=클레임조회!$C$9),OR(클레임조회!$C$10="",ISNUMBER(SEARCH(클레임조회!$C$10,$C984&amp;" "&amp;$F984&amp;" "&amp;$G984&amp;" "&amp;$H984)))),COUNT(O$1:O983)+1,"")</f>
        <v/>
      </c>
      <c r="P984" s="0" t="str">
        <f aca="false">IF(AND(TRIM(C984)&lt;&gt;"",COUNTIF(C$2:C984,C984)=1),MAX(P$1:P983)+1,"")</f>
        <v/>
      </c>
      <c r="Q984" s="0" t="str">
        <f aca="false">IF(AND(TRIM(F984)&lt;&gt;"",COUNTIF(F$2:F984,F984)=1),MAX(Q$1:Q983)+1,"")</f>
        <v/>
      </c>
    </row>
    <row r="985" customFormat="false" ht="15" hidden="false" customHeight="false" outlineLevel="0" collapsed="false">
      <c r="A985" s="9"/>
      <c r="B985" s="10"/>
      <c r="C985" s="11"/>
      <c r="D985" s="11"/>
      <c r="E985" s="11"/>
      <c r="F985" s="11"/>
      <c r="G985" s="12"/>
      <c r="H985" s="12"/>
      <c r="I985" s="10"/>
      <c r="J985" s="12"/>
      <c r="K985" s="13" t="str">
        <f aca="false">IF(ISNUMBER(B985),YEAR(B985),"")</f>
        <v/>
      </c>
      <c r="L985" s="13" t="str">
        <f aca="false">IF(ISNUMBER(B985),MONTH(B985),"")</f>
        <v/>
      </c>
      <c r="M985" s="13" t="str">
        <f aca="false">IF(AND(ISNUMBER(B985),ISNUMBER(I985)),B985-I985+1,"")</f>
        <v/>
      </c>
      <c r="N985" s="14" t="str">
        <f aca="false">IF(B985="","",IF(M985="","시작일 미입력",IF(M985&lt;1,"시작일 이전(확인)",IF(M985=1,"1일째",IF(M985=2,"2일째",IF(M985=3,"3일째",IF(M985&lt;=7,"일주일 이내",IF(M985&lt;=14,"이주일 이내","15일 이후"))))))))</f>
        <v/>
      </c>
      <c r="O985" s="0" t="str">
        <f aca="false">IF(AND(COUNTA($A985:$J985)&gt;0,OR(클레임조회!$C$4="",AND(ISNUMBER($B985),$B985&gt;=클레임조회!$C$4)),OR(클레임조회!$C$5="",AND(ISNUMBER($B985),$B985&lt;=클레임조회!$C$5)),OR(클레임조회!$C$6="",$C985=클레임조회!$C$6),OR(클레임조회!$C$7="",$D985=클레임조회!$C$7),OR(클레임조회!$C$8="",$E985=클레임조회!$C$8),OR(클레임조회!$C$9="",$F985=클레임조회!$C$9),OR(클레임조회!$C$10="",ISNUMBER(SEARCH(클레임조회!$C$10,$C985&amp;" "&amp;$F985&amp;" "&amp;$G985&amp;" "&amp;$H985)))),COUNT(O$1:O984)+1,"")</f>
        <v/>
      </c>
      <c r="P985" s="0" t="str">
        <f aca="false">IF(AND(TRIM(C985)&lt;&gt;"",COUNTIF(C$2:C985,C985)=1),MAX(P$1:P984)+1,"")</f>
        <v/>
      </c>
      <c r="Q985" s="0" t="str">
        <f aca="false">IF(AND(TRIM(F985)&lt;&gt;"",COUNTIF(F$2:F985,F985)=1),MAX(Q$1:Q984)+1,"")</f>
        <v/>
      </c>
    </row>
    <row r="986" customFormat="false" ht="15" hidden="false" customHeight="false" outlineLevel="0" collapsed="false">
      <c r="A986" s="9"/>
      <c r="B986" s="10"/>
      <c r="C986" s="11"/>
      <c r="D986" s="11"/>
      <c r="E986" s="11"/>
      <c r="F986" s="11"/>
      <c r="G986" s="12"/>
      <c r="H986" s="12"/>
      <c r="I986" s="10"/>
      <c r="J986" s="12"/>
      <c r="K986" s="13" t="str">
        <f aca="false">IF(ISNUMBER(B986),YEAR(B986),"")</f>
        <v/>
      </c>
      <c r="L986" s="13" t="str">
        <f aca="false">IF(ISNUMBER(B986),MONTH(B986),"")</f>
        <v/>
      </c>
      <c r="M986" s="13" t="str">
        <f aca="false">IF(AND(ISNUMBER(B986),ISNUMBER(I986)),B986-I986+1,"")</f>
        <v/>
      </c>
      <c r="N986" s="14" t="str">
        <f aca="false">IF(B986="","",IF(M986="","시작일 미입력",IF(M986&lt;1,"시작일 이전(확인)",IF(M986=1,"1일째",IF(M986=2,"2일째",IF(M986=3,"3일째",IF(M986&lt;=7,"일주일 이내",IF(M986&lt;=14,"이주일 이내","15일 이후"))))))))</f>
        <v/>
      </c>
      <c r="O986" s="0" t="str">
        <f aca="false">IF(AND(COUNTA($A986:$J986)&gt;0,OR(클레임조회!$C$4="",AND(ISNUMBER($B986),$B986&gt;=클레임조회!$C$4)),OR(클레임조회!$C$5="",AND(ISNUMBER($B986),$B986&lt;=클레임조회!$C$5)),OR(클레임조회!$C$6="",$C986=클레임조회!$C$6),OR(클레임조회!$C$7="",$D986=클레임조회!$C$7),OR(클레임조회!$C$8="",$E986=클레임조회!$C$8),OR(클레임조회!$C$9="",$F986=클레임조회!$C$9),OR(클레임조회!$C$10="",ISNUMBER(SEARCH(클레임조회!$C$10,$C986&amp;" "&amp;$F986&amp;" "&amp;$G986&amp;" "&amp;$H986)))),COUNT(O$1:O985)+1,"")</f>
        <v/>
      </c>
      <c r="P986" s="0" t="str">
        <f aca="false">IF(AND(TRIM(C986)&lt;&gt;"",COUNTIF(C$2:C986,C986)=1),MAX(P$1:P985)+1,"")</f>
        <v/>
      </c>
      <c r="Q986" s="0" t="str">
        <f aca="false">IF(AND(TRIM(F986)&lt;&gt;"",COUNTIF(F$2:F986,F986)=1),MAX(Q$1:Q985)+1,"")</f>
        <v/>
      </c>
    </row>
    <row r="987" customFormat="false" ht="15" hidden="false" customHeight="false" outlineLevel="0" collapsed="false">
      <c r="A987" s="9"/>
      <c r="B987" s="10"/>
      <c r="C987" s="11"/>
      <c r="D987" s="11"/>
      <c r="E987" s="11"/>
      <c r="F987" s="11"/>
      <c r="G987" s="12"/>
      <c r="H987" s="12"/>
      <c r="I987" s="10"/>
      <c r="J987" s="12"/>
      <c r="K987" s="13" t="str">
        <f aca="false">IF(ISNUMBER(B987),YEAR(B987),"")</f>
        <v/>
      </c>
      <c r="L987" s="13" t="str">
        <f aca="false">IF(ISNUMBER(B987),MONTH(B987),"")</f>
        <v/>
      </c>
      <c r="M987" s="13" t="str">
        <f aca="false">IF(AND(ISNUMBER(B987),ISNUMBER(I987)),B987-I987+1,"")</f>
        <v/>
      </c>
      <c r="N987" s="14" t="str">
        <f aca="false">IF(B987="","",IF(M987="","시작일 미입력",IF(M987&lt;1,"시작일 이전(확인)",IF(M987=1,"1일째",IF(M987=2,"2일째",IF(M987=3,"3일째",IF(M987&lt;=7,"일주일 이내",IF(M987&lt;=14,"이주일 이내","15일 이후"))))))))</f>
        <v/>
      </c>
      <c r="O987" s="0" t="str">
        <f aca="false">IF(AND(COUNTA($A987:$J987)&gt;0,OR(클레임조회!$C$4="",AND(ISNUMBER($B987),$B987&gt;=클레임조회!$C$4)),OR(클레임조회!$C$5="",AND(ISNUMBER($B987),$B987&lt;=클레임조회!$C$5)),OR(클레임조회!$C$6="",$C987=클레임조회!$C$6),OR(클레임조회!$C$7="",$D987=클레임조회!$C$7),OR(클레임조회!$C$8="",$E987=클레임조회!$C$8),OR(클레임조회!$C$9="",$F987=클레임조회!$C$9),OR(클레임조회!$C$10="",ISNUMBER(SEARCH(클레임조회!$C$10,$C987&amp;" "&amp;$F987&amp;" "&amp;$G987&amp;" "&amp;$H987)))),COUNT(O$1:O986)+1,"")</f>
        <v/>
      </c>
      <c r="P987" s="0" t="str">
        <f aca="false">IF(AND(TRIM(C987)&lt;&gt;"",COUNTIF(C$2:C987,C987)=1),MAX(P$1:P986)+1,"")</f>
        <v/>
      </c>
      <c r="Q987" s="0" t="str">
        <f aca="false">IF(AND(TRIM(F987)&lt;&gt;"",COUNTIF(F$2:F987,F987)=1),MAX(Q$1:Q986)+1,"")</f>
        <v/>
      </c>
    </row>
    <row r="988" customFormat="false" ht="15" hidden="false" customHeight="false" outlineLevel="0" collapsed="false">
      <c r="A988" s="9"/>
      <c r="B988" s="10"/>
      <c r="C988" s="11"/>
      <c r="D988" s="11"/>
      <c r="E988" s="11"/>
      <c r="F988" s="11"/>
      <c r="G988" s="12"/>
      <c r="H988" s="12"/>
      <c r="I988" s="10"/>
      <c r="J988" s="12"/>
      <c r="K988" s="13" t="str">
        <f aca="false">IF(ISNUMBER(B988),YEAR(B988),"")</f>
        <v/>
      </c>
      <c r="L988" s="13" t="str">
        <f aca="false">IF(ISNUMBER(B988),MONTH(B988),"")</f>
        <v/>
      </c>
      <c r="M988" s="13" t="str">
        <f aca="false">IF(AND(ISNUMBER(B988),ISNUMBER(I988)),B988-I988+1,"")</f>
        <v/>
      </c>
      <c r="N988" s="14" t="str">
        <f aca="false">IF(B988="","",IF(M988="","시작일 미입력",IF(M988&lt;1,"시작일 이전(확인)",IF(M988=1,"1일째",IF(M988=2,"2일째",IF(M988=3,"3일째",IF(M988&lt;=7,"일주일 이내",IF(M988&lt;=14,"이주일 이내","15일 이후"))))))))</f>
        <v/>
      </c>
      <c r="O988" s="0" t="str">
        <f aca="false">IF(AND(COUNTA($A988:$J988)&gt;0,OR(클레임조회!$C$4="",AND(ISNUMBER($B988),$B988&gt;=클레임조회!$C$4)),OR(클레임조회!$C$5="",AND(ISNUMBER($B988),$B988&lt;=클레임조회!$C$5)),OR(클레임조회!$C$6="",$C988=클레임조회!$C$6),OR(클레임조회!$C$7="",$D988=클레임조회!$C$7),OR(클레임조회!$C$8="",$E988=클레임조회!$C$8),OR(클레임조회!$C$9="",$F988=클레임조회!$C$9),OR(클레임조회!$C$10="",ISNUMBER(SEARCH(클레임조회!$C$10,$C988&amp;" "&amp;$F988&amp;" "&amp;$G988&amp;" "&amp;$H988)))),COUNT(O$1:O987)+1,"")</f>
        <v/>
      </c>
      <c r="P988" s="0" t="str">
        <f aca="false">IF(AND(TRIM(C988)&lt;&gt;"",COUNTIF(C$2:C988,C988)=1),MAX(P$1:P987)+1,"")</f>
        <v/>
      </c>
      <c r="Q988" s="0" t="str">
        <f aca="false">IF(AND(TRIM(F988)&lt;&gt;"",COUNTIF(F$2:F988,F988)=1),MAX(Q$1:Q987)+1,"")</f>
        <v/>
      </c>
    </row>
    <row r="989" customFormat="false" ht="15" hidden="false" customHeight="false" outlineLevel="0" collapsed="false">
      <c r="A989" s="9"/>
      <c r="B989" s="10"/>
      <c r="C989" s="11"/>
      <c r="D989" s="11"/>
      <c r="E989" s="11"/>
      <c r="F989" s="11"/>
      <c r="G989" s="12"/>
      <c r="H989" s="12"/>
      <c r="I989" s="10"/>
      <c r="J989" s="12"/>
      <c r="K989" s="13" t="str">
        <f aca="false">IF(ISNUMBER(B989),YEAR(B989),"")</f>
        <v/>
      </c>
      <c r="L989" s="13" t="str">
        <f aca="false">IF(ISNUMBER(B989),MONTH(B989),"")</f>
        <v/>
      </c>
      <c r="M989" s="13" t="str">
        <f aca="false">IF(AND(ISNUMBER(B989),ISNUMBER(I989)),B989-I989+1,"")</f>
        <v/>
      </c>
      <c r="N989" s="14" t="str">
        <f aca="false">IF(B989="","",IF(M989="","시작일 미입력",IF(M989&lt;1,"시작일 이전(확인)",IF(M989=1,"1일째",IF(M989=2,"2일째",IF(M989=3,"3일째",IF(M989&lt;=7,"일주일 이내",IF(M989&lt;=14,"이주일 이내","15일 이후"))))))))</f>
        <v/>
      </c>
      <c r="O989" s="0" t="str">
        <f aca="false">IF(AND(COUNTA($A989:$J989)&gt;0,OR(클레임조회!$C$4="",AND(ISNUMBER($B989),$B989&gt;=클레임조회!$C$4)),OR(클레임조회!$C$5="",AND(ISNUMBER($B989),$B989&lt;=클레임조회!$C$5)),OR(클레임조회!$C$6="",$C989=클레임조회!$C$6),OR(클레임조회!$C$7="",$D989=클레임조회!$C$7),OR(클레임조회!$C$8="",$E989=클레임조회!$C$8),OR(클레임조회!$C$9="",$F989=클레임조회!$C$9),OR(클레임조회!$C$10="",ISNUMBER(SEARCH(클레임조회!$C$10,$C989&amp;" "&amp;$F989&amp;" "&amp;$G989&amp;" "&amp;$H989)))),COUNT(O$1:O988)+1,"")</f>
        <v/>
      </c>
      <c r="P989" s="0" t="str">
        <f aca="false">IF(AND(TRIM(C989)&lt;&gt;"",COUNTIF(C$2:C989,C989)=1),MAX(P$1:P988)+1,"")</f>
        <v/>
      </c>
      <c r="Q989" s="0" t="str">
        <f aca="false">IF(AND(TRIM(F989)&lt;&gt;"",COUNTIF(F$2:F989,F989)=1),MAX(Q$1:Q988)+1,"")</f>
        <v/>
      </c>
    </row>
    <row r="990" customFormat="false" ht="15" hidden="false" customHeight="false" outlineLevel="0" collapsed="false">
      <c r="A990" s="9"/>
      <c r="B990" s="10"/>
      <c r="C990" s="11"/>
      <c r="D990" s="11"/>
      <c r="E990" s="11"/>
      <c r="F990" s="11"/>
      <c r="G990" s="12"/>
      <c r="H990" s="12"/>
      <c r="I990" s="10"/>
      <c r="J990" s="12"/>
      <c r="K990" s="13" t="str">
        <f aca="false">IF(ISNUMBER(B990),YEAR(B990),"")</f>
        <v/>
      </c>
      <c r="L990" s="13" t="str">
        <f aca="false">IF(ISNUMBER(B990),MONTH(B990),"")</f>
        <v/>
      </c>
      <c r="M990" s="13" t="str">
        <f aca="false">IF(AND(ISNUMBER(B990),ISNUMBER(I990)),B990-I990+1,"")</f>
        <v/>
      </c>
      <c r="N990" s="14" t="str">
        <f aca="false">IF(B990="","",IF(M990="","시작일 미입력",IF(M990&lt;1,"시작일 이전(확인)",IF(M990=1,"1일째",IF(M990=2,"2일째",IF(M990=3,"3일째",IF(M990&lt;=7,"일주일 이내",IF(M990&lt;=14,"이주일 이내","15일 이후"))))))))</f>
        <v/>
      </c>
      <c r="O990" s="0" t="str">
        <f aca="false">IF(AND(COUNTA($A990:$J990)&gt;0,OR(클레임조회!$C$4="",AND(ISNUMBER($B990),$B990&gt;=클레임조회!$C$4)),OR(클레임조회!$C$5="",AND(ISNUMBER($B990),$B990&lt;=클레임조회!$C$5)),OR(클레임조회!$C$6="",$C990=클레임조회!$C$6),OR(클레임조회!$C$7="",$D990=클레임조회!$C$7),OR(클레임조회!$C$8="",$E990=클레임조회!$C$8),OR(클레임조회!$C$9="",$F990=클레임조회!$C$9),OR(클레임조회!$C$10="",ISNUMBER(SEARCH(클레임조회!$C$10,$C990&amp;" "&amp;$F990&amp;" "&amp;$G990&amp;" "&amp;$H990)))),COUNT(O$1:O989)+1,"")</f>
        <v/>
      </c>
      <c r="P990" s="0" t="str">
        <f aca="false">IF(AND(TRIM(C990)&lt;&gt;"",COUNTIF(C$2:C990,C990)=1),MAX(P$1:P989)+1,"")</f>
        <v/>
      </c>
      <c r="Q990" s="0" t="str">
        <f aca="false">IF(AND(TRIM(F990)&lt;&gt;"",COUNTIF(F$2:F990,F990)=1),MAX(Q$1:Q989)+1,"")</f>
        <v/>
      </c>
    </row>
    <row r="991" customFormat="false" ht="15" hidden="false" customHeight="false" outlineLevel="0" collapsed="false">
      <c r="A991" s="9"/>
      <c r="B991" s="10"/>
      <c r="C991" s="11"/>
      <c r="D991" s="11"/>
      <c r="E991" s="11"/>
      <c r="F991" s="11"/>
      <c r="G991" s="12"/>
      <c r="H991" s="12"/>
      <c r="I991" s="10"/>
      <c r="J991" s="12"/>
      <c r="K991" s="13" t="str">
        <f aca="false">IF(ISNUMBER(B991),YEAR(B991),"")</f>
        <v/>
      </c>
      <c r="L991" s="13" t="str">
        <f aca="false">IF(ISNUMBER(B991),MONTH(B991),"")</f>
        <v/>
      </c>
      <c r="M991" s="13" t="str">
        <f aca="false">IF(AND(ISNUMBER(B991),ISNUMBER(I991)),B991-I991+1,"")</f>
        <v/>
      </c>
      <c r="N991" s="14" t="str">
        <f aca="false">IF(B991="","",IF(M991="","시작일 미입력",IF(M991&lt;1,"시작일 이전(확인)",IF(M991=1,"1일째",IF(M991=2,"2일째",IF(M991=3,"3일째",IF(M991&lt;=7,"일주일 이내",IF(M991&lt;=14,"이주일 이내","15일 이후"))))))))</f>
        <v/>
      </c>
      <c r="O991" s="0" t="str">
        <f aca="false">IF(AND(COUNTA($A991:$J991)&gt;0,OR(클레임조회!$C$4="",AND(ISNUMBER($B991),$B991&gt;=클레임조회!$C$4)),OR(클레임조회!$C$5="",AND(ISNUMBER($B991),$B991&lt;=클레임조회!$C$5)),OR(클레임조회!$C$6="",$C991=클레임조회!$C$6),OR(클레임조회!$C$7="",$D991=클레임조회!$C$7),OR(클레임조회!$C$8="",$E991=클레임조회!$C$8),OR(클레임조회!$C$9="",$F991=클레임조회!$C$9),OR(클레임조회!$C$10="",ISNUMBER(SEARCH(클레임조회!$C$10,$C991&amp;" "&amp;$F991&amp;" "&amp;$G991&amp;" "&amp;$H991)))),COUNT(O$1:O990)+1,"")</f>
        <v/>
      </c>
      <c r="P991" s="0" t="str">
        <f aca="false">IF(AND(TRIM(C991)&lt;&gt;"",COUNTIF(C$2:C991,C991)=1),MAX(P$1:P990)+1,"")</f>
        <v/>
      </c>
      <c r="Q991" s="0" t="str">
        <f aca="false">IF(AND(TRIM(F991)&lt;&gt;"",COUNTIF(F$2:F991,F991)=1),MAX(Q$1:Q990)+1,"")</f>
        <v/>
      </c>
    </row>
    <row r="992" customFormat="false" ht="15" hidden="false" customHeight="false" outlineLevel="0" collapsed="false">
      <c r="A992" s="9"/>
      <c r="B992" s="10"/>
      <c r="C992" s="11"/>
      <c r="D992" s="11"/>
      <c r="E992" s="11"/>
      <c r="F992" s="11"/>
      <c r="G992" s="12"/>
      <c r="H992" s="12"/>
      <c r="I992" s="10"/>
      <c r="J992" s="12"/>
      <c r="K992" s="13" t="str">
        <f aca="false">IF(ISNUMBER(B992),YEAR(B992),"")</f>
        <v/>
      </c>
      <c r="L992" s="13" t="str">
        <f aca="false">IF(ISNUMBER(B992),MONTH(B992),"")</f>
        <v/>
      </c>
      <c r="M992" s="13" t="str">
        <f aca="false">IF(AND(ISNUMBER(B992),ISNUMBER(I992)),B992-I992+1,"")</f>
        <v/>
      </c>
      <c r="N992" s="14" t="str">
        <f aca="false">IF(B992="","",IF(M992="","시작일 미입력",IF(M992&lt;1,"시작일 이전(확인)",IF(M992=1,"1일째",IF(M992=2,"2일째",IF(M992=3,"3일째",IF(M992&lt;=7,"일주일 이내",IF(M992&lt;=14,"이주일 이내","15일 이후"))))))))</f>
        <v/>
      </c>
      <c r="O992" s="0" t="str">
        <f aca="false">IF(AND(COUNTA($A992:$J992)&gt;0,OR(클레임조회!$C$4="",AND(ISNUMBER($B992),$B992&gt;=클레임조회!$C$4)),OR(클레임조회!$C$5="",AND(ISNUMBER($B992),$B992&lt;=클레임조회!$C$5)),OR(클레임조회!$C$6="",$C992=클레임조회!$C$6),OR(클레임조회!$C$7="",$D992=클레임조회!$C$7),OR(클레임조회!$C$8="",$E992=클레임조회!$C$8),OR(클레임조회!$C$9="",$F992=클레임조회!$C$9),OR(클레임조회!$C$10="",ISNUMBER(SEARCH(클레임조회!$C$10,$C992&amp;" "&amp;$F992&amp;" "&amp;$G992&amp;" "&amp;$H992)))),COUNT(O$1:O991)+1,"")</f>
        <v/>
      </c>
      <c r="P992" s="0" t="str">
        <f aca="false">IF(AND(TRIM(C992)&lt;&gt;"",COUNTIF(C$2:C992,C992)=1),MAX(P$1:P991)+1,"")</f>
        <v/>
      </c>
      <c r="Q992" s="0" t="str">
        <f aca="false">IF(AND(TRIM(F992)&lt;&gt;"",COUNTIF(F$2:F992,F992)=1),MAX(Q$1:Q991)+1,"")</f>
        <v/>
      </c>
    </row>
    <row r="993" customFormat="false" ht="15" hidden="false" customHeight="false" outlineLevel="0" collapsed="false">
      <c r="A993" s="9"/>
      <c r="B993" s="10"/>
      <c r="C993" s="11"/>
      <c r="D993" s="11"/>
      <c r="E993" s="11"/>
      <c r="F993" s="11"/>
      <c r="G993" s="12"/>
      <c r="H993" s="12"/>
      <c r="I993" s="10"/>
      <c r="J993" s="12"/>
      <c r="K993" s="13" t="str">
        <f aca="false">IF(ISNUMBER(B993),YEAR(B993),"")</f>
        <v/>
      </c>
      <c r="L993" s="13" t="str">
        <f aca="false">IF(ISNUMBER(B993),MONTH(B993),"")</f>
        <v/>
      </c>
      <c r="M993" s="13" t="str">
        <f aca="false">IF(AND(ISNUMBER(B993),ISNUMBER(I993)),B993-I993+1,"")</f>
        <v/>
      </c>
      <c r="N993" s="14" t="str">
        <f aca="false">IF(B993="","",IF(M993="","시작일 미입력",IF(M993&lt;1,"시작일 이전(확인)",IF(M993=1,"1일째",IF(M993=2,"2일째",IF(M993=3,"3일째",IF(M993&lt;=7,"일주일 이내",IF(M993&lt;=14,"이주일 이내","15일 이후"))))))))</f>
        <v/>
      </c>
      <c r="O993" s="0" t="str">
        <f aca="false">IF(AND(COUNTA($A993:$J993)&gt;0,OR(클레임조회!$C$4="",AND(ISNUMBER($B993),$B993&gt;=클레임조회!$C$4)),OR(클레임조회!$C$5="",AND(ISNUMBER($B993),$B993&lt;=클레임조회!$C$5)),OR(클레임조회!$C$6="",$C993=클레임조회!$C$6),OR(클레임조회!$C$7="",$D993=클레임조회!$C$7),OR(클레임조회!$C$8="",$E993=클레임조회!$C$8),OR(클레임조회!$C$9="",$F993=클레임조회!$C$9),OR(클레임조회!$C$10="",ISNUMBER(SEARCH(클레임조회!$C$10,$C993&amp;" "&amp;$F993&amp;" "&amp;$G993&amp;" "&amp;$H993)))),COUNT(O$1:O992)+1,"")</f>
        <v/>
      </c>
      <c r="P993" s="0" t="str">
        <f aca="false">IF(AND(TRIM(C993)&lt;&gt;"",COUNTIF(C$2:C993,C993)=1),MAX(P$1:P992)+1,"")</f>
        <v/>
      </c>
      <c r="Q993" s="0" t="str">
        <f aca="false">IF(AND(TRIM(F993)&lt;&gt;"",COUNTIF(F$2:F993,F993)=1),MAX(Q$1:Q992)+1,"")</f>
        <v/>
      </c>
    </row>
    <row r="994" customFormat="false" ht="15" hidden="false" customHeight="false" outlineLevel="0" collapsed="false">
      <c r="A994" s="9"/>
      <c r="B994" s="10"/>
      <c r="C994" s="11"/>
      <c r="D994" s="11"/>
      <c r="E994" s="11"/>
      <c r="F994" s="11"/>
      <c r="G994" s="12"/>
      <c r="H994" s="12"/>
      <c r="I994" s="10"/>
      <c r="J994" s="12"/>
      <c r="K994" s="13" t="str">
        <f aca="false">IF(ISNUMBER(B994),YEAR(B994),"")</f>
        <v/>
      </c>
      <c r="L994" s="13" t="str">
        <f aca="false">IF(ISNUMBER(B994),MONTH(B994),"")</f>
        <v/>
      </c>
      <c r="M994" s="13" t="str">
        <f aca="false">IF(AND(ISNUMBER(B994),ISNUMBER(I994)),B994-I994+1,"")</f>
        <v/>
      </c>
      <c r="N994" s="14" t="str">
        <f aca="false">IF(B994="","",IF(M994="","시작일 미입력",IF(M994&lt;1,"시작일 이전(확인)",IF(M994=1,"1일째",IF(M994=2,"2일째",IF(M994=3,"3일째",IF(M994&lt;=7,"일주일 이내",IF(M994&lt;=14,"이주일 이내","15일 이후"))))))))</f>
        <v/>
      </c>
      <c r="O994" s="0" t="str">
        <f aca="false">IF(AND(COUNTA($A994:$J994)&gt;0,OR(클레임조회!$C$4="",AND(ISNUMBER($B994),$B994&gt;=클레임조회!$C$4)),OR(클레임조회!$C$5="",AND(ISNUMBER($B994),$B994&lt;=클레임조회!$C$5)),OR(클레임조회!$C$6="",$C994=클레임조회!$C$6),OR(클레임조회!$C$7="",$D994=클레임조회!$C$7),OR(클레임조회!$C$8="",$E994=클레임조회!$C$8),OR(클레임조회!$C$9="",$F994=클레임조회!$C$9),OR(클레임조회!$C$10="",ISNUMBER(SEARCH(클레임조회!$C$10,$C994&amp;" "&amp;$F994&amp;" "&amp;$G994&amp;" "&amp;$H994)))),COUNT(O$1:O993)+1,"")</f>
        <v/>
      </c>
      <c r="P994" s="0" t="str">
        <f aca="false">IF(AND(TRIM(C994)&lt;&gt;"",COUNTIF(C$2:C994,C994)=1),MAX(P$1:P993)+1,"")</f>
        <v/>
      </c>
      <c r="Q994" s="0" t="str">
        <f aca="false">IF(AND(TRIM(F994)&lt;&gt;"",COUNTIF(F$2:F994,F994)=1),MAX(Q$1:Q993)+1,"")</f>
        <v/>
      </c>
    </row>
    <row r="995" customFormat="false" ht="15" hidden="false" customHeight="false" outlineLevel="0" collapsed="false">
      <c r="A995" s="9"/>
      <c r="B995" s="10"/>
      <c r="C995" s="11"/>
      <c r="D995" s="11"/>
      <c r="E995" s="11"/>
      <c r="F995" s="11"/>
      <c r="G995" s="12"/>
      <c r="H995" s="12"/>
      <c r="I995" s="10"/>
      <c r="J995" s="12"/>
      <c r="K995" s="13" t="str">
        <f aca="false">IF(ISNUMBER(B995),YEAR(B995),"")</f>
        <v/>
      </c>
      <c r="L995" s="13" t="str">
        <f aca="false">IF(ISNUMBER(B995),MONTH(B995),"")</f>
        <v/>
      </c>
      <c r="M995" s="13" t="str">
        <f aca="false">IF(AND(ISNUMBER(B995),ISNUMBER(I995)),B995-I995+1,"")</f>
        <v/>
      </c>
      <c r="N995" s="14" t="str">
        <f aca="false">IF(B995="","",IF(M995="","시작일 미입력",IF(M995&lt;1,"시작일 이전(확인)",IF(M995=1,"1일째",IF(M995=2,"2일째",IF(M995=3,"3일째",IF(M995&lt;=7,"일주일 이내",IF(M995&lt;=14,"이주일 이내","15일 이후"))))))))</f>
        <v/>
      </c>
      <c r="O995" s="0" t="str">
        <f aca="false">IF(AND(COUNTA($A995:$J995)&gt;0,OR(클레임조회!$C$4="",AND(ISNUMBER($B995),$B995&gt;=클레임조회!$C$4)),OR(클레임조회!$C$5="",AND(ISNUMBER($B995),$B995&lt;=클레임조회!$C$5)),OR(클레임조회!$C$6="",$C995=클레임조회!$C$6),OR(클레임조회!$C$7="",$D995=클레임조회!$C$7),OR(클레임조회!$C$8="",$E995=클레임조회!$C$8),OR(클레임조회!$C$9="",$F995=클레임조회!$C$9),OR(클레임조회!$C$10="",ISNUMBER(SEARCH(클레임조회!$C$10,$C995&amp;" "&amp;$F995&amp;" "&amp;$G995&amp;" "&amp;$H995)))),COUNT(O$1:O994)+1,"")</f>
        <v/>
      </c>
      <c r="P995" s="0" t="str">
        <f aca="false">IF(AND(TRIM(C995)&lt;&gt;"",COUNTIF(C$2:C995,C995)=1),MAX(P$1:P994)+1,"")</f>
        <v/>
      </c>
      <c r="Q995" s="0" t="str">
        <f aca="false">IF(AND(TRIM(F995)&lt;&gt;"",COUNTIF(F$2:F995,F995)=1),MAX(Q$1:Q994)+1,"")</f>
        <v/>
      </c>
    </row>
    <row r="996" customFormat="false" ht="15" hidden="false" customHeight="false" outlineLevel="0" collapsed="false">
      <c r="A996" s="9"/>
      <c r="B996" s="10"/>
      <c r="C996" s="11"/>
      <c r="D996" s="11"/>
      <c r="E996" s="11"/>
      <c r="F996" s="11"/>
      <c r="G996" s="12"/>
      <c r="H996" s="12"/>
      <c r="I996" s="10"/>
      <c r="J996" s="12"/>
      <c r="K996" s="13" t="str">
        <f aca="false">IF(ISNUMBER(B996),YEAR(B996),"")</f>
        <v/>
      </c>
      <c r="L996" s="13" t="str">
        <f aca="false">IF(ISNUMBER(B996),MONTH(B996),"")</f>
        <v/>
      </c>
      <c r="M996" s="13" t="str">
        <f aca="false">IF(AND(ISNUMBER(B996),ISNUMBER(I996)),B996-I996+1,"")</f>
        <v/>
      </c>
      <c r="N996" s="14" t="str">
        <f aca="false">IF(B996="","",IF(M996="","시작일 미입력",IF(M996&lt;1,"시작일 이전(확인)",IF(M996=1,"1일째",IF(M996=2,"2일째",IF(M996=3,"3일째",IF(M996&lt;=7,"일주일 이내",IF(M996&lt;=14,"이주일 이내","15일 이후"))))))))</f>
        <v/>
      </c>
      <c r="O996" s="0" t="str">
        <f aca="false">IF(AND(COUNTA($A996:$J996)&gt;0,OR(클레임조회!$C$4="",AND(ISNUMBER($B996),$B996&gt;=클레임조회!$C$4)),OR(클레임조회!$C$5="",AND(ISNUMBER($B996),$B996&lt;=클레임조회!$C$5)),OR(클레임조회!$C$6="",$C996=클레임조회!$C$6),OR(클레임조회!$C$7="",$D996=클레임조회!$C$7),OR(클레임조회!$C$8="",$E996=클레임조회!$C$8),OR(클레임조회!$C$9="",$F996=클레임조회!$C$9),OR(클레임조회!$C$10="",ISNUMBER(SEARCH(클레임조회!$C$10,$C996&amp;" "&amp;$F996&amp;" "&amp;$G996&amp;" "&amp;$H996)))),COUNT(O$1:O995)+1,"")</f>
        <v/>
      </c>
      <c r="P996" s="0" t="str">
        <f aca="false">IF(AND(TRIM(C996)&lt;&gt;"",COUNTIF(C$2:C996,C996)=1),MAX(P$1:P995)+1,"")</f>
        <v/>
      </c>
      <c r="Q996" s="0" t="str">
        <f aca="false">IF(AND(TRIM(F996)&lt;&gt;"",COUNTIF(F$2:F996,F996)=1),MAX(Q$1:Q995)+1,"")</f>
        <v/>
      </c>
    </row>
    <row r="997" customFormat="false" ht="15" hidden="false" customHeight="false" outlineLevel="0" collapsed="false">
      <c r="A997" s="9"/>
      <c r="B997" s="10"/>
      <c r="C997" s="11"/>
      <c r="D997" s="11"/>
      <c r="E997" s="11"/>
      <c r="F997" s="11"/>
      <c r="G997" s="12"/>
      <c r="H997" s="12"/>
      <c r="I997" s="10"/>
      <c r="J997" s="12"/>
      <c r="K997" s="13" t="str">
        <f aca="false">IF(ISNUMBER(B997),YEAR(B997),"")</f>
        <v/>
      </c>
      <c r="L997" s="13" t="str">
        <f aca="false">IF(ISNUMBER(B997),MONTH(B997),"")</f>
        <v/>
      </c>
      <c r="M997" s="13" t="str">
        <f aca="false">IF(AND(ISNUMBER(B997),ISNUMBER(I997)),B997-I997+1,"")</f>
        <v/>
      </c>
      <c r="N997" s="14" t="str">
        <f aca="false">IF(B997="","",IF(M997="","시작일 미입력",IF(M997&lt;1,"시작일 이전(확인)",IF(M997=1,"1일째",IF(M997=2,"2일째",IF(M997=3,"3일째",IF(M997&lt;=7,"일주일 이내",IF(M997&lt;=14,"이주일 이내","15일 이후"))))))))</f>
        <v/>
      </c>
      <c r="O997" s="0" t="str">
        <f aca="false">IF(AND(COUNTA($A997:$J997)&gt;0,OR(클레임조회!$C$4="",AND(ISNUMBER($B997),$B997&gt;=클레임조회!$C$4)),OR(클레임조회!$C$5="",AND(ISNUMBER($B997),$B997&lt;=클레임조회!$C$5)),OR(클레임조회!$C$6="",$C997=클레임조회!$C$6),OR(클레임조회!$C$7="",$D997=클레임조회!$C$7),OR(클레임조회!$C$8="",$E997=클레임조회!$C$8),OR(클레임조회!$C$9="",$F997=클레임조회!$C$9),OR(클레임조회!$C$10="",ISNUMBER(SEARCH(클레임조회!$C$10,$C997&amp;" "&amp;$F997&amp;" "&amp;$G997&amp;" "&amp;$H997)))),COUNT(O$1:O996)+1,"")</f>
        <v/>
      </c>
      <c r="P997" s="0" t="str">
        <f aca="false">IF(AND(TRIM(C997)&lt;&gt;"",COUNTIF(C$2:C997,C997)=1),MAX(P$1:P996)+1,"")</f>
        <v/>
      </c>
      <c r="Q997" s="0" t="str">
        <f aca="false">IF(AND(TRIM(F997)&lt;&gt;"",COUNTIF(F$2:F997,F997)=1),MAX(Q$1:Q996)+1,"")</f>
        <v/>
      </c>
    </row>
    <row r="998" customFormat="false" ht="15" hidden="false" customHeight="false" outlineLevel="0" collapsed="false">
      <c r="A998" s="9"/>
      <c r="B998" s="10"/>
      <c r="C998" s="11"/>
      <c r="D998" s="11"/>
      <c r="E998" s="11"/>
      <c r="F998" s="11"/>
      <c r="G998" s="12"/>
      <c r="H998" s="12"/>
      <c r="I998" s="10"/>
      <c r="J998" s="12"/>
      <c r="K998" s="13" t="str">
        <f aca="false">IF(ISNUMBER(B998),YEAR(B998),"")</f>
        <v/>
      </c>
      <c r="L998" s="13" t="str">
        <f aca="false">IF(ISNUMBER(B998),MONTH(B998),"")</f>
        <v/>
      </c>
      <c r="M998" s="13" t="str">
        <f aca="false">IF(AND(ISNUMBER(B998),ISNUMBER(I998)),B998-I998+1,"")</f>
        <v/>
      </c>
      <c r="N998" s="14" t="str">
        <f aca="false">IF(B998="","",IF(M998="","시작일 미입력",IF(M998&lt;1,"시작일 이전(확인)",IF(M998=1,"1일째",IF(M998=2,"2일째",IF(M998=3,"3일째",IF(M998&lt;=7,"일주일 이내",IF(M998&lt;=14,"이주일 이내","15일 이후"))))))))</f>
        <v/>
      </c>
      <c r="O998" s="0" t="str">
        <f aca="false">IF(AND(COUNTA($A998:$J998)&gt;0,OR(클레임조회!$C$4="",AND(ISNUMBER($B998),$B998&gt;=클레임조회!$C$4)),OR(클레임조회!$C$5="",AND(ISNUMBER($B998),$B998&lt;=클레임조회!$C$5)),OR(클레임조회!$C$6="",$C998=클레임조회!$C$6),OR(클레임조회!$C$7="",$D998=클레임조회!$C$7),OR(클레임조회!$C$8="",$E998=클레임조회!$C$8),OR(클레임조회!$C$9="",$F998=클레임조회!$C$9),OR(클레임조회!$C$10="",ISNUMBER(SEARCH(클레임조회!$C$10,$C998&amp;" "&amp;$F998&amp;" "&amp;$G998&amp;" "&amp;$H998)))),COUNT(O$1:O997)+1,"")</f>
        <v/>
      </c>
      <c r="P998" s="0" t="str">
        <f aca="false">IF(AND(TRIM(C998)&lt;&gt;"",COUNTIF(C$2:C998,C998)=1),MAX(P$1:P997)+1,"")</f>
        <v/>
      </c>
      <c r="Q998" s="0" t="str">
        <f aca="false">IF(AND(TRIM(F998)&lt;&gt;"",COUNTIF(F$2:F998,F998)=1),MAX(Q$1:Q997)+1,"")</f>
        <v/>
      </c>
    </row>
    <row r="999" customFormat="false" ht="15" hidden="false" customHeight="false" outlineLevel="0" collapsed="false">
      <c r="A999" s="9"/>
      <c r="B999" s="10"/>
      <c r="C999" s="11"/>
      <c r="D999" s="11"/>
      <c r="E999" s="11"/>
      <c r="F999" s="11"/>
      <c r="G999" s="12"/>
      <c r="H999" s="12"/>
      <c r="I999" s="10"/>
      <c r="J999" s="12"/>
      <c r="K999" s="13" t="str">
        <f aca="false">IF(ISNUMBER(B999),YEAR(B999),"")</f>
        <v/>
      </c>
      <c r="L999" s="13" t="str">
        <f aca="false">IF(ISNUMBER(B999),MONTH(B999),"")</f>
        <v/>
      </c>
      <c r="M999" s="13" t="str">
        <f aca="false">IF(AND(ISNUMBER(B999),ISNUMBER(I999)),B999-I999+1,"")</f>
        <v/>
      </c>
      <c r="N999" s="14" t="str">
        <f aca="false">IF(B999="","",IF(M999="","시작일 미입력",IF(M999&lt;1,"시작일 이전(확인)",IF(M999=1,"1일째",IF(M999=2,"2일째",IF(M999=3,"3일째",IF(M999&lt;=7,"일주일 이내",IF(M999&lt;=14,"이주일 이내","15일 이후"))))))))</f>
        <v/>
      </c>
      <c r="O999" s="0" t="str">
        <f aca="false">IF(AND(COUNTA($A999:$J999)&gt;0,OR(클레임조회!$C$4="",AND(ISNUMBER($B999),$B999&gt;=클레임조회!$C$4)),OR(클레임조회!$C$5="",AND(ISNUMBER($B999),$B999&lt;=클레임조회!$C$5)),OR(클레임조회!$C$6="",$C999=클레임조회!$C$6),OR(클레임조회!$C$7="",$D999=클레임조회!$C$7),OR(클레임조회!$C$8="",$E999=클레임조회!$C$8),OR(클레임조회!$C$9="",$F999=클레임조회!$C$9),OR(클레임조회!$C$10="",ISNUMBER(SEARCH(클레임조회!$C$10,$C999&amp;" "&amp;$F999&amp;" "&amp;$G999&amp;" "&amp;$H999)))),COUNT(O$1:O998)+1,"")</f>
        <v/>
      </c>
      <c r="P999" s="0" t="str">
        <f aca="false">IF(AND(TRIM(C999)&lt;&gt;"",COUNTIF(C$2:C999,C999)=1),MAX(P$1:P998)+1,"")</f>
        <v/>
      </c>
      <c r="Q999" s="0" t="str">
        <f aca="false">IF(AND(TRIM(F999)&lt;&gt;"",COUNTIF(F$2:F999,F999)=1),MAX(Q$1:Q998)+1,"")</f>
        <v/>
      </c>
    </row>
    <row r="1000" customFormat="false" ht="15" hidden="false" customHeight="false" outlineLevel="0" collapsed="false">
      <c r="A1000" s="9"/>
      <c r="B1000" s="10"/>
      <c r="C1000" s="11"/>
      <c r="D1000" s="11"/>
      <c r="E1000" s="11"/>
      <c r="F1000" s="11"/>
      <c r="G1000" s="12"/>
      <c r="H1000" s="12"/>
      <c r="I1000" s="10"/>
      <c r="J1000" s="12"/>
      <c r="K1000" s="13" t="str">
        <f aca="false">IF(ISNUMBER(B1000),YEAR(B1000),"")</f>
        <v/>
      </c>
      <c r="L1000" s="13" t="str">
        <f aca="false">IF(ISNUMBER(B1000),MONTH(B1000),"")</f>
        <v/>
      </c>
      <c r="M1000" s="13" t="str">
        <f aca="false">IF(AND(ISNUMBER(B1000),ISNUMBER(I1000)),B1000-I1000+1,"")</f>
        <v/>
      </c>
      <c r="N1000" s="14" t="str">
        <f aca="false">IF(B1000="","",IF(M1000="","시작일 미입력",IF(M1000&lt;1,"시작일 이전(확인)",IF(M1000=1,"1일째",IF(M1000=2,"2일째",IF(M1000=3,"3일째",IF(M1000&lt;=7,"일주일 이내",IF(M1000&lt;=14,"이주일 이내","15일 이후"))))))))</f>
        <v/>
      </c>
      <c r="O1000" s="0" t="str">
        <f aca="false">IF(AND(COUNTA($A1000:$J1000)&gt;0,OR(클레임조회!$C$4="",AND(ISNUMBER($B1000),$B1000&gt;=클레임조회!$C$4)),OR(클레임조회!$C$5="",AND(ISNUMBER($B1000),$B1000&lt;=클레임조회!$C$5)),OR(클레임조회!$C$6="",$C1000=클레임조회!$C$6),OR(클레임조회!$C$7="",$D1000=클레임조회!$C$7),OR(클레임조회!$C$8="",$E1000=클레임조회!$C$8),OR(클레임조회!$C$9="",$F1000=클레임조회!$C$9),OR(클레임조회!$C$10="",ISNUMBER(SEARCH(클레임조회!$C$10,$C1000&amp;" "&amp;$F1000&amp;" "&amp;$G1000&amp;" "&amp;$H1000)))),COUNT(O$1:O999)+1,"")</f>
        <v/>
      </c>
      <c r="P1000" s="0" t="str">
        <f aca="false">IF(AND(TRIM(C1000)&lt;&gt;"",COUNTIF(C$2:C1000,C1000)=1),MAX(P$1:P999)+1,"")</f>
        <v/>
      </c>
      <c r="Q1000" s="0" t="str">
        <f aca="false">IF(AND(TRIM(F1000)&lt;&gt;"",COUNTIF(F$2:F1000,F1000)=1),MAX(Q$1:Q999)+1,"")</f>
        <v/>
      </c>
    </row>
    <row r="1001" customFormat="false" ht="15" hidden="false" customHeight="false" outlineLevel="0" collapsed="false">
      <c r="A1001" s="9"/>
      <c r="B1001" s="10"/>
      <c r="C1001" s="11"/>
      <c r="D1001" s="11"/>
      <c r="E1001" s="11"/>
      <c r="F1001" s="11"/>
      <c r="G1001" s="12"/>
      <c r="H1001" s="12"/>
      <c r="I1001" s="10"/>
      <c r="J1001" s="12"/>
      <c r="K1001" s="13" t="str">
        <f aca="false">IF(ISNUMBER(B1001),YEAR(B1001),"")</f>
        <v/>
      </c>
      <c r="L1001" s="13" t="str">
        <f aca="false">IF(ISNUMBER(B1001),MONTH(B1001),"")</f>
        <v/>
      </c>
      <c r="M1001" s="13" t="str">
        <f aca="false">IF(AND(ISNUMBER(B1001),ISNUMBER(I1001)),B1001-I1001+1,"")</f>
        <v/>
      </c>
      <c r="N1001" s="14" t="str">
        <f aca="false">IF(B1001="","",IF(M1001="","시작일 미입력",IF(M1001&lt;1,"시작일 이전(확인)",IF(M1001=1,"1일째",IF(M1001=2,"2일째",IF(M1001=3,"3일째",IF(M1001&lt;=7,"일주일 이내",IF(M1001&lt;=14,"이주일 이내","15일 이후"))))))))</f>
        <v/>
      </c>
      <c r="O1001" s="0" t="str">
        <f aca="false">IF(AND(COUNTA($A1001:$J1001)&gt;0,OR(클레임조회!$C$4="",AND(ISNUMBER($B1001),$B1001&gt;=클레임조회!$C$4)),OR(클레임조회!$C$5="",AND(ISNUMBER($B1001),$B1001&lt;=클레임조회!$C$5)),OR(클레임조회!$C$6="",$C1001=클레임조회!$C$6),OR(클레임조회!$C$7="",$D1001=클레임조회!$C$7),OR(클레임조회!$C$8="",$E1001=클레임조회!$C$8),OR(클레임조회!$C$9="",$F1001=클레임조회!$C$9),OR(클레임조회!$C$10="",ISNUMBER(SEARCH(클레임조회!$C$10,$C1001&amp;" "&amp;$F1001&amp;" "&amp;$G1001&amp;" "&amp;$H1001)))),COUNT(O$1:O1000)+1,"")</f>
        <v/>
      </c>
      <c r="P1001" s="0" t="str">
        <f aca="false">IF(AND(TRIM(C1001)&lt;&gt;"",COUNTIF(C$2:C1001,C1001)=1),MAX(P$1:P1000)+1,"")</f>
        <v/>
      </c>
      <c r="Q1001" s="0" t="str">
        <f aca="false">IF(AND(TRIM(F1001)&lt;&gt;"",COUNTIF(F$2:F1001,F1001)=1),MAX(Q$1:Q1000)+1,"")</f>
        <v/>
      </c>
    </row>
    <row r="1002" customFormat="false" ht="15" hidden="false" customHeight="false" outlineLevel="0" collapsed="false">
      <c r="A1002" s="9"/>
      <c r="B1002" s="10"/>
      <c r="C1002" s="11"/>
      <c r="D1002" s="11"/>
      <c r="E1002" s="11"/>
      <c r="F1002" s="11"/>
      <c r="G1002" s="12"/>
      <c r="H1002" s="12"/>
      <c r="I1002" s="10"/>
      <c r="J1002" s="12"/>
      <c r="K1002" s="13" t="str">
        <f aca="false">IF(ISNUMBER(B1002),YEAR(B1002),"")</f>
        <v/>
      </c>
      <c r="L1002" s="13" t="str">
        <f aca="false">IF(ISNUMBER(B1002),MONTH(B1002),"")</f>
        <v/>
      </c>
      <c r="M1002" s="13" t="str">
        <f aca="false">IF(AND(ISNUMBER(B1002),ISNUMBER(I1002)),B1002-I1002+1,"")</f>
        <v/>
      </c>
      <c r="N1002" s="14" t="str">
        <f aca="false">IF(B1002="","",IF(M1002="","시작일 미입력",IF(M1002&lt;1,"시작일 이전(확인)",IF(M1002=1,"1일째",IF(M1002=2,"2일째",IF(M1002=3,"3일째",IF(M1002&lt;=7,"일주일 이내",IF(M1002&lt;=14,"이주일 이내","15일 이후"))))))))</f>
        <v/>
      </c>
      <c r="O1002" s="0" t="str">
        <f aca="false">IF(AND(COUNTA($A1002:$J1002)&gt;0,OR(클레임조회!$C$4="",AND(ISNUMBER($B1002),$B1002&gt;=클레임조회!$C$4)),OR(클레임조회!$C$5="",AND(ISNUMBER($B1002),$B1002&lt;=클레임조회!$C$5)),OR(클레임조회!$C$6="",$C1002=클레임조회!$C$6),OR(클레임조회!$C$7="",$D1002=클레임조회!$C$7),OR(클레임조회!$C$8="",$E1002=클레임조회!$C$8),OR(클레임조회!$C$9="",$F1002=클레임조회!$C$9),OR(클레임조회!$C$10="",ISNUMBER(SEARCH(클레임조회!$C$10,$C1002&amp;" "&amp;$F1002&amp;" "&amp;$G1002&amp;" "&amp;$H1002)))),COUNT(O$1:O1001)+1,"")</f>
        <v/>
      </c>
      <c r="P1002" s="0" t="str">
        <f aca="false">IF(AND(TRIM(C1002)&lt;&gt;"",COUNTIF(C$2:C1002,C1002)=1),MAX(P$1:P1001)+1,"")</f>
        <v/>
      </c>
      <c r="Q1002" s="0" t="str">
        <f aca="false">IF(AND(TRIM(F1002)&lt;&gt;"",COUNTIF(F$2:F1002,F1002)=1),MAX(Q$1:Q1001)+1,"")</f>
        <v/>
      </c>
    </row>
    <row r="1003" customFormat="false" ht="15" hidden="false" customHeight="false" outlineLevel="0" collapsed="false">
      <c r="A1003" s="9"/>
      <c r="B1003" s="10"/>
      <c r="C1003" s="11"/>
      <c r="D1003" s="11"/>
      <c r="E1003" s="11"/>
      <c r="F1003" s="11"/>
      <c r="G1003" s="12"/>
      <c r="H1003" s="12"/>
      <c r="I1003" s="10"/>
      <c r="J1003" s="12"/>
      <c r="K1003" s="13" t="str">
        <f aca="false">IF(ISNUMBER(B1003),YEAR(B1003),"")</f>
        <v/>
      </c>
      <c r="L1003" s="13" t="str">
        <f aca="false">IF(ISNUMBER(B1003),MONTH(B1003),"")</f>
        <v/>
      </c>
      <c r="M1003" s="13" t="str">
        <f aca="false">IF(AND(ISNUMBER(B1003),ISNUMBER(I1003)),B1003-I1003+1,"")</f>
        <v/>
      </c>
      <c r="N1003" s="14" t="str">
        <f aca="false">IF(B1003="","",IF(M1003="","시작일 미입력",IF(M1003&lt;1,"시작일 이전(확인)",IF(M1003=1,"1일째",IF(M1003=2,"2일째",IF(M1003=3,"3일째",IF(M1003&lt;=7,"일주일 이내",IF(M1003&lt;=14,"이주일 이내","15일 이후"))))))))</f>
        <v/>
      </c>
      <c r="O1003" s="0" t="str">
        <f aca="false">IF(AND(COUNTA($A1003:$J1003)&gt;0,OR(클레임조회!$C$4="",AND(ISNUMBER($B1003),$B1003&gt;=클레임조회!$C$4)),OR(클레임조회!$C$5="",AND(ISNUMBER($B1003),$B1003&lt;=클레임조회!$C$5)),OR(클레임조회!$C$6="",$C1003=클레임조회!$C$6),OR(클레임조회!$C$7="",$D1003=클레임조회!$C$7),OR(클레임조회!$C$8="",$E1003=클레임조회!$C$8),OR(클레임조회!$C$9="",$F1003=클레임조회!$C$9),OR(클레임조회!$C$10="",ISNUMBER(SEARCH(클레임조회!$C$10,$C1003&amp;" "&amp;$F1003&amp;" "&amp;$G1003&amp;" "&amp;$H1003)))),COUNT(O$1:O1002)+1,"")</f>
        <v/>
      </c>
      <c r="P1003" s="0" t="str">
        <f aca="false">IF(AND(TRIM(C1003)&lt;&gt;"",COUNTIF(C$2:C1003,C1003)=1),MAX(P$1:P1002)+1,"")</f>
        <v/>
      </c>
      <c r="Q1003" s="0" t="str">
        <f aca="false">IF(AND(TRIM(F1003)&lt;&gt;"",COUNTIF(F$2:F1003,F1003)=1),MAX(Q$1:Q1002)+1,"")</f>
        <v/>
      </c>
    </row>
    <row r="1004" customFormat="false" ht="15" hidden="false" customHeight="false" outlineLevel="0" collapsed="false">
      <c r="A1004" s="9"/>
      <c r="B1004" s="10"/>
      <c r="C1004" s="11"/>
      <c r="D1004" s="11"/>
      <c r="E1004" s="11"/>
      <c r="F1004" s="11"/>
      <c r="G1004" s="12"/>
      <c r="H1004" s="12"/>
      <c r="I1004" s="10"/>
      <c r="J1004" s="12"/>
      <c r="K1004" s="13" t="str">
        <f aca="false">IF(ISNUMBER(B1004),YEAR(B1004),"")</f>
        <v/>
      </c>
      <c r="L1004" s="13" t="str">
        <f aca="false">IF(ISNUMBER(B1004),MONTH(B1004),"")</f>
        <v/>
      </c>
      <c r="M1004" s="13" t="str">
        <f aca="false">IF(AND(ISNUMBER(B1004),ISNUMBER(I1004)),B1004-I1004+1,"")</f>
        <v/>
      </c>
      <c r="N1004" s="14" t="str">
        <f aca="false">IF(B1004="","",IF(M1004="","시작일 미입력",IF(M1004&lt;1,"시작일 이전(확인)",IF(M1004=1,"1일째",IF(M1004=2,"2일째",IF(M1004=3,"3일째",IF(M1004&lt;=7,"일주일 이내",IF(M1004&lt;=14,"이주일 이내","15일 이후"))))))))</f>
        <v/>
      </c>
      <c r="O1004" s="0" t="str">
        <f aca="false">IF(AND(COUNTA($A1004:$J1004)&gt;0,OR(클레임조회!$C$4="",AND(ISNUMBER($B1004),$B1004&gt;=클레임조회!$C$4)),OR(클레임조회!$C$5="",AND(ISNUMBER($B1004),$B1004&lt;=클레임조회!$C$5)),OR(클레임조회!$C$6="",$C1004=클레임조회!$C$6),OR(클레임조회!$C$7="",$D1004=클레임조회!$C$7),OR(클레임조회!$C$8="",$E1004=클레임조회!$C$8),OR(클레임조회!$C$9="",$F1004=클레임조회!$C$9),OR(클레임조회!$C$10="",ISNUMBER(SEARCH(클레임조회!$C$10,$C1004&amp;" "&amp;$F1004&amp;" "&amp;$G1004&amp;" "&amp;$H1004)))),COUNT(O$1:O1003)+1,"")</f>
        <v/>
      </c>
      <c r="P1004" s="0" t="str">
        <f aca="false">IF(AND(TRIM(C1004)&lt;&gt;"",COUNTIF(C$2:C1004,C1004)=1),MAX(P$1:P1003)+1,"")</f>
        <v/>
      </c>
      <c r="Q1004" s="0" t="str">
        <f aca="false">IF(AND(TRIM(F1004)&lt;&gt;"",COUNTIF(F$2:F1004,F1004)=1),MAX(Q$1:Q1003)+1,"")</f>
        <v/>
      </c>
    </row>
    <row r="1005" customFormat="false" ht="15" hidden="false" customHeight="false" outlineLevel="0" collapsed="false">
      <c r="A1005" s="9"/>
      <c r="B1005" s="10"/>
      <c r="C1005" s="11"/>
      <c r="D1005" s="11"/>
      <c r="E1005" s="11"/>
      <c r="F1005" s="11"/>
      <c r="G1005" s="12"/>
      <c r="H1005" s="12"/>
      <c r="I1005" s="10"/>
      <c r="J1005" s="12"/>
      <c r="K1005" s="13" t="str">
        <f aca="false">IF(ISNUMBER(B1005),YEAR(B1005),"")</f>
        <v/>
      </c>
      <c r="L1005" s="13" t="str">
        <f aca="false">IF(ISNUMBER(B1005),MONTH(B1005),"")</f>
        <v/>
      </c>
      <c r="M1005" s="13" t="str">
        <f aca="false">IF(AND(ISNUMBER(B1005),ISNUMBER(I1005)),B1005-I1005+1,"")</f>
        <v/>
      </c>
      <c r="N1005" s="14" t="str">
        <f aca="false">IF(B1005="","",IF(M1005="","시작일 미입력",IF(M1005&lt;1,"시작일 이전(확인)",IF(M1005=1,"1일째",IF(M1005=2,"2일째",IF(M1005=3,"3일째",IF(M1005&lt;=7,"일주일 이내",IF(M1005&lt;=14,"이주일 이내","15일 이후"))))))))</f>
        <v/>
      </c>
      <c r="O1005" s="0" t="str">
        <f aca="false">IF(AND(COUNTA($A1005:$J1005)&gt;0,OR(클레임조회!$C$4="",AND(ISNUMBER($B1005),$B1005&gt;=클레임조회!$C$4)),OR(클레임조회!$C$5="",AND(ISNUMBER($B1005),$B1005&lt;=클레임조회!$C$5)),OR(클레임조회!$C$6="",$C1005=클레임조회!$C$6),OR(클레임조회!$C$7="",$D1005=클레임조회!$C$7),OR(클레임조회!$C$8="",$E1005=클레임조회!$C$8),OR(클레임조회!$C$9="",$F1005=클레임조회!$C$9),OR(클레임조회!$C$10="",ISNUMBER(SEARCH(클레임조회!$C$10,$C1005&amp;" "&amp;$F1005&amp;" "&amp;$G1005&amp;" "&amp;$H1005)))),COUNT(O$1:O1004)+1,"")</f>
        <v/>
      </c>
      <c r="P1005" s="0" t="str">
        <f aca="false">IF(AND(TRIM(C1005)&lt;&gt;"",COUNTIF(C$2:C1005,C1005)=1),MAX(P$1:P1004)+1,"")</f>
        <v/>
      </c>
      <c r="Q1005" s="0" t="str">
        <f aca="false">IF(AND(TRIM(F1005)&lt;&gt;"",COUNTIF(F$2:F1005,F1005)=1),MAX(Q$1:Q1004)+1,"")</f>
        <v/>
      </c>
    </row>
    <row r="1006" customFormat="false" ht="15" hidden="false" customHeight="false" outlineLevel="0" collapsed="false">
      <c r="A1006" s="9"/>
      <c r="B1006" s="10"/>
      <c r="C1006" s="11"/>
      <c r="D1006" s="11"/>
      <c r="E1006" s="11"/>
      <c r="F1006" s="11"/>
      <c r="G1006" s="12"/>
      <c r="H1006" s="12"/>
      <c r="I1006" s="10"/>
      <c r="J1006" s="12"/>
      <c r="K1006" s="13" t="str">
        <f aca="false">IF(ISNUMBER(B1006),YEAR(B1006),"")</f>
        <v/>
      </c>
      <c r="L1006" s="13" t="str">
        <f aca="false">IF(ISNUMBER(B1006),MONTH(B1006),"")</f>
        <v/>
      </c>
      <c r="M1006" s="13" t="str">
        <f aca="false">IF(AND(ISNUMBER(B1006),ISNUMBER(I1006)),B1006-I1006+1,"")</f>
        <v/>
      </c>
      <c r="N1006" s="14" t="str">
        <f aca="false">IF(B1006="","",IF(M1006="","시작일 미입력",IF(M1006&lt;1,"시작일 이전(확인)",IF(M1006=1,"1일째",IF(M1006=2,"2일째",IF(M1006=3,"3일째",IF(M1006&lt;=7,"일주일 이내",IF(M1006&lt;=14,"이주일 이내","15일 이후"))))))))</f>
        <v/>
      </c>
      <c r="O1006" s="0" t="str">
        <f aca="false">IF(AND(COUNTA($A1006:$J1006)&gt;0,OR(클레임조회!$C$4="",AND(ISNUMBER($B1006),$B1006&gt;=클레임조회!$C$4)),OR(클레임조회!$C$5="",AND(ISNUMBER($B1006),$B1006&lt;=클레임조회!$C$5)),OR(클레임조회!$C$6="",$C1006=클레임조회!$C$6),OR(클레임조회!$C$7="",$D1006=클레임조회!$C$7),OR(클레임조회!$C$8="",$E1006=클레임조회!$C$8),OR(클레임조회!$C$9="",$F1006=클레임조회!$C$9),OR(클레임조회!$C$10="",ISNUMBER(SEARCH(클레임조회!$C$10,$C1006&amp;" "&amp;$F1006&amp;" "&amp;$G1006&amp;" "&amp;$H1006)))),COUNT(O$1:O1005)+1,"")</f>
        <v/>
      </c>
      <c r="P1006" s="0" t="str">
        <f aca="false">IF(AND(TRIM(C1006)&lt;&gt;"",COUNTIF(C$2:C1006,C1006)=1),MAX(P$1:P1005)+1,"")</f>
        <v/>
      </c>
      <c r="Q1006" s="0" t="str">
        <f aca="false">IF(AND(TRIM(F1006)&lt;&gt;"",COUNTIF(F$2:F1006,F1006)=1),MAX(Q$1:Q1005)+1,"")</f>
        <v/>
      </c>
    </row>
    <row r="1007" customFormat="false" ht="15" hidden="false" customHeight="false" outlineLevel="0" collapsed="false">
      <c r="A1007" s="9"/>
      <c r="B1007" s="10"/>
      <c r="C1007" s="11"/>
      <c r="D1007" s="11"/>
      <c r="E1007" s="11"/>
      <c r="F1007" s="11"/>
      <c r="G1007" s="12"/>
      <c r="H1007" s="12"/>
      <c r="I1007" s="10"/>
      <c r="J1007" s="12"/>
      <c r="K1007" s="13" t="str">
        <f aca="false">IF(ISNUMBER(B1007),YEAR(B1007),"")</f>
        <v/>
      </c>
      <c r="L1007" s="13" t="str">
        <f aca="false">IF(ISNUMBER(B1007),MONTH(B1007),"")</f>
        <v/>
      </c>
      <c r="M1007" s="13" t="str">
        <f aca="false">IF(AND(ISNUMBER(B1007),ISNUMBER(I1007)),B1007-I1007+1,"")</f>
        <v/>
      </c>
      <c r="N1007" s="14" t="str">
        <f aca="false">IF(B1007="","",IF(M1007="","시작일 미입력",IF(M1007&lt;1,"시작일 이전(확인)",IF(M1007=1,"1일째",IF(M1007=2,"2일째",IF(M1007=3,"3일째",IF(M1007&lt;=7,"일주일 이내",IF(M1007&lt;=14,"이주일 이내","15일 이후"))))))))</f>
        <v/>
      </c>
      <c r="O1007" s="0" t="str">
        <f aca="false">IF(AND(COUNTA($A1007:$J1007)&gt;0,OR(클레임조회!$C$4="",AND(ISNUMBER($B1007),$B1007&gt;=클레임조회!$C$4)),OR(클레임조회!$C$5="",AND(ISNUMBER($B1007),$B1007&lt;=클레임조회!$C$5)),OR(클레임조회!$C$6="",$C1007=클레임조회!$C$6),OR(클레임조회!$C$7="",$D1007=클레임조회!$C$7),OR(클레임조회!$C$8="",$E1007=클레임조회!$C$8),OR(클레임조회!$C$9="",$F1007=클레임조회!$C$9),OR(클레임조회!$C$10="",ISNUMBER(SEARCH(클레임조회!$C$10,$C1007&amp;" "&amp;$F1007&amp;" "&amp;$G1007&amp;" "&amp;$H1007)))),COUNT(O$1:O1006)+1,"")</f>
        <v/>
      </c>
      <c r="P1007" s="0" t="str">
        <f aca="false">IF(AND(TRIM(C1007)&lt;&gt;"",COUNTIF(C$2:C1007,C1007)=1),MAX(P$1:P1006)+1,"")</f>
        <v/>
      </c>
      <c r="Q1007" s="0" t="str">
        <f aca="false">IF(AND(TRIM(F1007)&lt;&gt;"",COUNTIF(F$2:F1007,F1007)=1),MAX(Q$1:Q1006)+1,"")</f>
        <v/>
      </c>
    </row>
    <row r="1008" customFormat="false" ht="15" hidden="false" customHeight="false" outlineLevel="0" collapsed="false">
      <c r="A1008" s="9"/>
      <c r="B1008" s="10"/>
      <c r="C1008" s="11"/>
      <c r="D1008" s="11"/>
      <c r="E1008" s="11"/>
      <c r="F1008" s="11"/>
      <c r="G1008" s="12"/>
      <c r="H1008" s="12"/>
      <c r="I1008" s="10"/>
      <c r="J1008" s="12"/>
      <c r="K1008" s="13" t="str">
        <f aca="false">IF(ISNUMBER(B1008),YEAR(B1008),"")</f>
        <v/>
      </c>
      <c r="L1008" s="13" t="str">
        <f aca="false">IF(ISNUMBER(B1008),MONTH(B1008),"")</f>
        <v/>
      </c>
      <c r="M1008" s="13" t="str">
        <f aca="false">IF(AND(ISNUMBER(B1008),ISNUMBER(I1008)),B1008-I1008+1,"")</f>
        <v/>
      </c>
      <c r="N1008" s="14" t="str">
        <f aca="false">IF(B1008="","",IF(M1008="","시작일 미입력",IF(M1008&lt;1,"시작일 이전(확인)",IF(M1008=1,"1일째",IF(M1008=2,"2일째",IF(M1008=3,"3일째",IF(M1008&lt;=7,"일주일 이내",IF(M1008&lt;=14,"이주일 이내","15일 이후"))))))))</f>
        <v/>
      </c>
      <c r="O1008" s="0" t="str">
        <f aca="false">IF(AND(COUNTA($A1008:$J1008)&gt;0,OR(클레임조회!$C$4="",AND(ISNUMBER($B1008),$B1008&gt;=클레임조회!$C$4)),OR(클레임조회!$C$5="",AND(ISNUMBER($B1008),$B1008&lt;=클레임조회!$C$5)),OR(클레임조회!$C$6="",$C1008=클레임조회!$C$6),OR(클레임조회!$C$7="",$D1008=클레임조회!$C$7),OR(클레임조회!$C$8="",$E1008=클레임조회!$C$8),OR(클레임조회!$C$9="",$F1008=클레임조회!$C$9),OR(클레임조회!$C$10="",ISNUMBER(SEARCH(클레임조회!$C$10,$C1008&amp;" "&amp;$F1008&amp;" "&amp;$G1008&amp;" "&amp;$H1008)))),COUNT(O$1:O1007)+1,"")</f>
        <v/>
      </c>
      <c r="P1008" s="0" t="str">
        <f aca="false">IF(AND(TRIM(C1008)&lt;&gt;"",COUNTIF(C$2:C1008,C1008)=1),MAX(P$1:P1007)+1,"")</f>
        <v/>
      </c>
      <c r="Q1008" s="0" t="str">
        <f aca="false">IF(AND(TRIM(F1008)&lt;&gt;"",COUNTIF(F$2:F1008,F1008)=1),MAX(Q$1:Q1007)+1,"")</f>
        <v/>
      </c>
    </row>
    <row r="1009" customFormat="false" ht="15" hidden="false" customHeight="false" outlineLevel="0" collapsed="false">
      <c r="A1009" s="9"/>
      <c r="B1009" s="10"/>
      <c r="C1009" s="11"/>
      <c r="D1009" s="11"/>
      <c r="E1009" s="11"/>
      <c r="F1009" s="11"/>
      <c r="G1009" s="12"/>
      <c r="H1009" s="12"/>
      <c r="I1009" s="10"/>
      <c r="J1009" s="12"/>
      <c r="K1009" s="13" t="str">
        <f aca="false">IF(ISNUMBER(B1009),YEAR(B1009),"")</f>
        <v/>
      </c>
      <c r="L1009" s="13" t="str">
        <f aca="false">IF(ISNUMBER(B1009),MONTH(B1009),"")</f>
        <v/>
      </c>
      <c r="M1009" s="13" t="str">
        <f aca="false">IF(AND(ISNUMBER(B1009),ISNUMBER(I1009)),B1009-I1009+1,"")</f>
        <v/>
      </c>
      <c r="N1009" s="14" t="str">
        <f aca="false">IF(B1009="","",IF(M1009="","시작일 미입력",IF(M1009&lt;1,"시작일 이전(확인)",IF(M1009=1,"1일째",IF(M1009=2,"2일째",IF(M1009=3,"3일째",IF(M1009&lt;=7,"일주일 이내",IF(M1009&lt;=14,"이주일 이내","15일 이후"))))))))</f>
        <v/>
      </c>
      <c r="O1009" s="0" t="str">
        <f aca="false">IF(AND(COUNTA($A1009:$J1009)&gt;0,OR(클레임조회!$C$4="",AND(ISNUMBER($B1009),$B1009&gt;=클레임조회!$C$4)),OR(클레임조회!$C$5="",AND(ISNUMBER($B1009),$B1009&lt;=클레임조회!$C$5)),OR(클레임조회!$C$6="",$C1009=클레임조회!$C$6),OR(클레임조회!$C$7="",$D1009=클레임조회!$C$7),OR(클레임조회!$C$8="",$E1009=클레임조회!$C$8),OR(클레임조회!$C$9="",$F1009=클레임조회!$C$9),OR(클레임조회!$C$10="",ISNUMBER(SEARCH(클레임조회!$C$10,$C1009&amp;" "&amp;$F1009&amp;" "&amp;$G1009&amp;" "&amp;$H1009)))),COUNT(O$1:O1008)+1,"")</f>
        <v/>
      </c>
      <c r="P1009" s="0" t="str">
        <f aca="false">IF(AND(TRIM(C1009)&lt;&gt;"",COUNTIF(C$2:C1009,C1009)=1),MAX(P$1:P1008)+1,"")</f>
        <v/>
      </c>
      <c r="Q1009" s="0" t="str">
        <f aca="false">IF(AND(TRIM(F1009)&lt;&gt;"",COUNTIF(F$2:F1009,F1009)=1),MAX(Q$1:Q1008)+1,"")</f>
        <v/>
      </c>
    </row>
    <row r="1010" customFormat="false" ht="15" hidden="false" customHeight="false" outlineLevel="0" collapsed="false">
      <c r="A1010" s="9"/>
      <c r="B1010" s="10"/>
      <c r="C1010" s="11"/>
      <c r="D1010" s="11"/>
      <c r="E1010" s="11"/>
      <c r="F1010" s="11"/>
      <c r="G1010" s="12"/>
      <c r="H1010" s="12"/>
      <c r="I1010" s="10"/>
      <c r="J1010" s="12"/>
      <c r="K1010" s="13" t="str">
        <f aca="false">IF(ISNUMBER(B1010),YEAR(B1010),"")</f>
        <v/>
      </c>
      <c r="L1010" s="13" t="str">
        <f aca="false">IF(ISNUMBER(B1010),MONTH(B1010),"")</f>
        <v/>
      </c>
      <c r="M1010" s="13" t="str">
        <f aca="false">IF(AND(ISNUMBER(B1010),ISNUMBER(I1010)),B1010-I1010+1,"")</f>
        <v/>
      </c>
      <c r="N1010" s="14" t="str">
        <f aca="false">IF(B1010="","",IF(M1010="","시작일 미입력",IF(M1010&lt;1,"시작일 이전(확인)",IF(M1010=1,"1일째",IF(M1010=2,"2일째",IF(M1010=3,"3일째",IF(M1010&lt;=7,"일주일 이내",IF(M1010&lt;=14,"이주일 이내","15일 이후"))))))))</f>
        <v/>
      </c>
      <c r="O1010" s="0" t="str">
        <f aca="false">IF(AND(COUNTA($A1010:$J1010)&gt;0,OR(클레임조회!$C$4="",AND(ISNUMBER($B1010),$B1010&gt;=클레임조회!$C$4)),OR(클레임조회!$C$5="",AND(ISNUMBER($B1010),$B1010&lt;=클레임조회!$C$5)),OR(클레임조회!$C$6="",$C1010=클레임조회!$C$6),OR(클레임조회!$C$7="",$D1010=클레임조회!$C$7),OR(클레임조회!$C$8="",$E1010=클레임조회!$C$8),OR(클레임조회!$C$9="",$F1010=클레임조회!$C$9),OR(클레임조회!$C$10="",ISNUMBER(SEARCH(클레임조회!$C$10,$C1010&amp;" "&amp;$F1010&amp;" "&amp;$G1010&amp;" "&amp;$H1010)))),COUNT(O$1:O1009)+1,"")</f>
        <v/>
      </c>
      <c r="P1010" s="0" t="str">
        <f aca="false">IF(AND(TRIM(C1010)&lt;&gt;"",COUNTIF(C$2:C1010,C1010)=1),MAX(P$1:P1009)+1,"")</f>
        <v/>
      </c>
      <c r="Q1010" s="0" t="str">
        <f aca="false">IF(AND(TRIM(F1010)&lt;&gt;"",COUNTIF(F$2:F1010,F1010)=1),MAX(Q$1:Q1009)+1,"")</f>
        <v/>
      </c>
    </row>
    <row r="1011" customFormat="false" ht="15" hidden="false" customHeight="false" outlineLevel="0" collapsed="false">
      <c r="A1011" s="9"/>
      <c r="B1011" s="10"/>
      <c r="C1011" s="11"/>
      <c r="D1011" s="11"/>
      <c r="E1011" s="11"/>
      <c r="F1011" s="11"/>
      <c r="G1011" s="12"/>
      <c r="H1011" s="12"/>
      <c r="I1011" s="10"/>
      <c r="J1011" s="12"/>
      <c r="K1011" s="13" t="str">
        <f aca="false">IF(ISNUMBER(B1011),YEAR(B1011),"")</f>
        <v/>
      </c>
      <c r="L1011" s="13" t="str">
        <f aca="false">IF(ISNUMBER(B1011),MONTH(B1011),"")</f>
        <v/>
      </c>
      <c r="M1011" s="13" t="str">
        <f aca="false">IF(AND(ISNUMBER(B1011),ISNUMBER(I1011)),B1011-I1011+1,"")</f>
        <v/>
      </c>
      <c r="N1011" s="14" t="str">
        <f aca="false">IF(B1011="","",IF(M1011="","시작일 미입력",IF(M1011&lt;1,"시작일 이전(확인)",IF(M1011=1,"1일째",IF(M1011=2,"2일째",IF(M1011=3,"3일째",IF(M1011&lt;=7,"일주일 이내",IF(M1011&lt;=14,"이주일 이내","15일 이후"))))))))</f>
        <v/>
      </c>
      <c r="O1011" s="0" t="str">
        <f aca="false">IF(AND(COUNTA($A1011:$J1011)&gt;0,OR(클레임조회!$C$4="",AND(ISNUMBER($B1011),$B1011&gt;=클레임조회!$C$4)),OR(클레임조회!$C$5="",AND(ISNUMBER($B1011),$B1011&lt;=클레임조회!$C$5)),OR(클레임조회!$C$6="",$C1011=클레임조회!$C$6),OR(클레임조회!$C$7="",$D1011=클레임조회!$C$7),OR(클레임조회!$C$8="",$E1011=클레임조회!$C$8),OR(클레임조회!$C$9="",$F1011=클레임조회!$C$9),OR(클레임조회!$C$10="",ISNUMBER(SEARCH(클레임조회!$C$10,$C1011&amp;" "&amp;$F1011&amp;" "&amp;$G1011&amp;" "&amp;$H1011)))),COUNT(O$1:O1010)+1,"")</f>
        <v/>
      </c>
      <c r="P1011" s="0" t="str">
        <f aca="false">IF(AND(TRIM(C1011)&lt;&gt;"",COUNTIF(C$2:C1011,C1011)=1),MAX(P$1:P1010)+1,"")</f>
        <v/>
      </c>
      <c r="Q1011" s="0" t="str">
        <f aca="false">IF(AND(TRIM(F1011)&lt;&gt;"",COUNTIF(F$2:F1011,F1011)=1),MAX(Q$1:Q1010)+1,"")</f>
        <v/>
      </c>
    </row>
    <row r="1012" customFormat="false" ht="15" hidden="false" customHeight="false" outlineLevel="0" collapsed="false">
      <c r="A1012" s="9"/>
      <c r="B1012" s="10"/>
      <c r="C1012" s="11"/>
      <c r="D1012" s="11"/>
      <c r="E1012" s="11"/>
      <c r="F1012" s="11"/>
      <c r="G1012" s="12"/>
      <c r="H1012" s="12"/>
      <c r="I1012" s="10"/>
      <c r="J1012" s="12"/>
      <c r="K1012" s="13" t="str">
        <f aca="false">IF(ISNUMBER(B1012),YEAR(B1012),"")</f>
        <v/>
      </c>
      <c r="L1012" s="13" t="str">
        <f aca="false">IF(ISNUMBER(B1012),MONTH(B1012),"")</f>
        <v/>
      </c>
      <c r="M1012" s="13" t="str">
        <f aca="false">IF(AND(ISNUMBER(B1012),ISNUMBER(I1012)),B1012-I1012+1,"")</f>
        <v/>
      </c>
      <c r="N1012" s="14" t="str">
        <f aca="false">IF(B1012="","",IF(M1012="","시작일 미입력",IF(M1012&lt;1,"시작일 이전(확인)",IF(M1012=1,"1일째",IF(M1012=2,"2일째",IF(M1012=3,"3일째",IF(M1012&lt;=7,"일주일 이내",IF(M1012&lt;=14,"이주일 이내","15일 이후"))))))))</f>
        <v/>
      </c>
      <c r="O1012" s="0" t="str">
        <f aca="false">IF(AND(COUNTA($A1012:$J1012)&gt;0,OR(클레임조회!$C$4="",AND(ISNUMBER($B1012),$B1012&gt;=클레임조회!$C$4)),OR(클레임조회!$C$5="",AND(ISNUMBER($B1012),$B1012&lt;=클레임조회!$C$5)),OR(클레임조회!$C$6="",$C1012=클레임조회!$C$6),OR(클레임조회!$C$7="",$D1012=클레임조회!$C$7),OR(클레임조회!$C$8="",$E1012=클레임조회!$C$8),OR(클레임조회!$C$9="",$F1012=클레임조회!$C$9),OR(클레임조회!$C$10="",ISNUMBER(SEARCH(클레임조회!$C$10,$C1012&amp;" "&amp;$F1012&amp;" "&amp;$G1012&amp;" "&amp;$H1012)))),COUNT(O$1:O1011)+1,"")</f>
        <v/>
      </c>
      <c r="P1012" s="0" t="str">
        <f aca="false">IF(AND(TRIM(C1012)&lt;&gt;"",COUNTIF(C$2:C1012,C1012)=1),MAX(P$1:P1011)+1,"")</f>
        <v/>
      </c>
      <c r="Q1012" s="0" t="str">
        <f aca="false">IF(AND(TRIM(F1012)&lt;&gt;"",COUNTIF(F$2:F1012,F1012)=1),MAX(Q$1:Q1011)+1,"")</f>
        <v/>
      </c>
    </row>
    <row r="1013" customFormat="false" ht="15" hidden="false" customHeight="false" outlineLevel="0" collapsed="false">
      <c r="A1013" s="9"/>
      <c r="B1013" s="10"/>
      <c r="C1013" s="11"/>
      <c r="D1013" s="11"/>
      <c r="E1013" s="11"/>
      <c r="F1013" s="11"/>
      <c r="G1013" s="12"/>
      <c r="H1013" s="12"/>
      <c r="I1013" s="10"/>
      <c r="J1013" s="12"/>
      <c r="K1013" s="13" t="str">
        <f aca="false">IF(ISNUMBER(B1013),YEAR(B1013),"")</f>
        <v/>
      </c>
      <c r="L1013" s="13" t="str">
        <f aca="false">IF(ISNUMBER(B1013),MONTH(B1013),"")</f>
        <v/>
      </c>
      <c r="M1013" s="13" t="str">
        <f aca="false">IF(AND(ISNUMBER(B1013),ISNUMBER(I1013)),B1013-I1013+1,"")</f>
        <v/>
      </c>
      <c r="N1013" s="14" t="str">
        <f aca="false">IF(B1013="","",IF(M1013="","시작일 미입력",IF(M1013&lt;1,"시작일 이전(확인)",IF(M1013=1,"1일째",IF(M1013=2,"2일째",IF(M1013=3,"3일째",IF(M1013&lt;=7,"일주일 이내",IF(M1013&lt;=14,"이주일 이내","15일 이후"))))))))</f>
        <v/>
      </c>
      <c r="O1013" s="0" t="str">
        <f aca="false">IF(AND(COUNTA($A1013:$J1013)&gt;0,OR(클레임조회!$C$4="",AND(ISNUMBER($B1013),$B1013&gt;=클레임조회!$C$4)),OR(클레임조회!$C$5="",AND(ISNUMBER($B1013),$B1013&lt;=클레임조회!$C$5)),OR(클레임조회!$C$6="",$C1013=클레임조회!$C$6),OR(클레임조회!$C$7="",$D1013=클레임조회!$C$7),OR(클레임조회!$C$8="",$E1013=클레임조회!$C$8),OR(클레임조회!$C$9="",$F1013=클레임조회!$C$9),OR(클레임조회!$C$10="",ISNUMBER(SEARCH(클레임조회!$C$10,$C1013&amp;" "&amp;$F1013&amp;" "&amp;$G1013&amp;" "&amp;$H1013)))),COUNT(O$1:O1012)+1,"")</f>
        <v/>
      </c>
      <c r="P1013" s="0" t="str">
        <f aca="false">IF(AND(TRIM(C1013)&lt;&gt;"",COUNTIF(C$2:C1013,C1013)=1),MAX(P$1:P1012)+1,"")</f>
        <v/>
      </c>
      <c r="Q1013" s="0" t="str">
        <f aca="false">IF(AND(TRIM(F1013)&lt;&gt;"",COUNTIF(F$2:F1013,F1013)=1),MAX(Q$1:Q1012)+1,"")</f>
        <v/>
      </c>
    </row>
    <row r="1014" customFormat="false" ht="15" hidden="false" customHeight="false" outlineLevel="0" collapsed="false">
      <c r="A1014" s="9"/>
      <c r="B1014" s="10"/>
      <c r="C1014" s="11"/>
      <c r="D1014" s="11"/>
      <c r="E1014" s="11"/>
      <c r="F1014" s="11"/>
      <c r="G1014" s="12"/>
      <c r="H1014" s="12"/>
      <c r="I1014" s="10"/>
      <c r="J1014" s="12"/>
      <c r="K1014" s="13" t="str">
        <f aca="false">IF(ISNUMBER(B1014),YEAR(B1014),"")</f>
        <v/>
      </c>
      <c r="L1014" s="13" t="str">
        <f aca="false">IF(ISNUMBER(B1014),MONTH(B1014),"")</f>
        <v/>
      </c>
      <c r="M1014" s="13" t="str">
        <f aca="false">IF(AND(ISNUMBER(B1014),ISNUMBER(I1014)),B1014-I1014+1,"")</f>
        <v/>
      </c>
      <c r="N1014" s="14" t="str">
        <f aca="false">IF(B1014="","",IF(M1014="","시작일 미입력",IF(M1014&lt;1,"시작일 이전(확인)",IF(M1014=1,"1일째",IF(M1014=2,"2일째",IF(M1014=3,"3일째",IF(M1014&lt;=7,"일주일 이내",IF(M1014&lt;=14,"이주일 이내","15일 이후"))))))))</f>
        <v/>
      </c>
      <c r="O1014" s="0" t="str">
        <f aca="false">IF(AND(COUNTA($A1014:$J1014)&gt;0,OR(클레임조회!$C$4="",AND(ISNUMBER($B1014),$B1014&gt;=클레임조회!$C$4)),OR(클레임조회!$C$5="",AND(ISNUMBER($B1014),$B1014&lt;=클레임조회!$C$5)),OR(클레임조회!$C$6="",$C1014=클레임조회!$C$6),OR(클레임조회!$C$7="",$D1014=클레임조회!$C$7),OR(클레임조회!$C$8="",$E1014=클레임조회!$C$8),OR(클레임조회!$C$9="",$F1014=클레임조회!$C$9),OR(클레임조회!$C$10="",ISNUMBER(SEARCH(클레임조회!$C$10,$C1014&amp;" "&amp;$F1014&amp;" "&amp;$G1014&amp;" "&amp;$H1014)))),COUNT(O$1:O1013)+1,"")</f>
        <v/>
      </c>
      <c r="P1014" s="0" t="str">
        <f aca="false">IF(AND(TRIM(C1014)&lt;&gt;"",COUNTIF(C$2:C1014,C1014)=1),MAX(P$1:P1013)+1,"")</f>
        <v/>
      </c>
      <c r="Q1014" s="0" t="str">
        <f aca="false">IF(AND(TRIM(F1014)&lt;&gt;"",COUNTIF(F$2:F1014,F1014)=1),MAX(Q$1:Q1013)+1,"")</f>
        <v/>
      </c>
    </row>
    <row r="1015" customFormat="false" ht="15" hidden="false" customHeight="false" outlineLevel="0" collapsed="false">
      <c r="A1015" s="9"/>
      <c r="B1015" s="10"/>
      <c r="C1015" s="11"/>
      <c r="D1015" s="11"/>
      <c r="E1015" s="11"/>
      <c r="F1015" s="11"/>
      <c r="G1015" s="12"/>
      <c r="H1015" s="12"/>
      <c r="I1015" s="10"/>
      <c r="J1015" s="12"/>
      <c r="K1015" s="13" t="str">
        <f aca="false">IF(ISNUMBER(B1015),YEAR(B1015),"")</f>
        <v/>
      </c>
      <c r="L1015" s="13" t="str">
        <f aca="false">IF(ISNUMBER(B1015),MONTH(B1015),"")</f>
        <v/>
      </c>
      <c r="M1015" s="13" t="str">
        <f aca="false">IF(AND(ISNUMBER(B1015),ISNUMBER(I1015)),B1015-I1015+1,"")</f>
        <v/>
      </c>
      <c r="N1015" s="14" t="str">
        <f aca="false">IF(B1015="","",IF(M1015="","시작일 미입력",IF(M1015&lt;1,"시작일 이전(확인)",IF(M1015=1,"1일째",IF(M1015=2,"2일째",IF(M1015=3,"3일째",IF(M1015&lt;=7,"일주일 이내",IF(M1015&lt;=14,"이주일 이내","15일 이후"))))))))</f>
        <v/>
      </c>
      <c r="O1015" s="0" t="str">
        <f aca="false">IF(AND(COUNTA($A1015:$J1015)&gt;0,OR(클레임조회!$C$4="",AND(ISNUMBER($B1015),$B1015&gt;=클레임조회!$C$4)),OR(클레임조회!$C$5="",AND(ISNUMBER($B1015),$B1015&lt;=클레임조회!$C$5)),OR(클레임조회!$C$6="",$C1015=클레임조회!$C$6),OR(클레임조회!$C$7="",$D1015=클레임조회!$C$7),OR(클레임조회!$C$8="",$E1015=클레임조회!$C$8),OR(클레임조회!$C$9="",$F1015=클레임조회!$C$9),OR(클레임조회!$C$10="",ISNUMBER(SEARCH(클레임조회!$C$10,$C1015&amp;" "&amp;$F1015&amp;" "&amp;$G1015&amp;" "&amp;$H1015)))),COUNT(O$1:O1014)+1,"")</f>
        <v/>
      </c>
      <c r="P1015" s="0" t="str">
        <f aca="false">IF(AND(TRIM(C1015)&lt;&gt;"",COUNTIF(C$2:C1015,C1015)=1),MAX(P$1:P1014)+1,"")</f>
        <v/>
      </c>
      <c r="Q1015" s="0" t="str">
        <f aca="false">IF(AND(TRIM(F1015)&lt;&gt;"",COUNTIF(F$2:F1015,F1015)=1),MAX(Q$1:Q1014)+1,"")</f>
        <v/>
      </c>
    </row>
    <row r="1016" customFormat="false" ht="15" hidden="false" customHeight="false" outlineLevel="0" collapsed="false">
      <c r="A1016" s="9"/>
      <c r="B1016" s="10"/>
      <c r="C1016" s="11"/>
      <c r="D1016" s="11"/>
      <c r="E1016" s="11"/>
      <c r="F1016" s="11"/>
      <c r="G1016" s="12"/>
      <c r="H1016" s="12"/>
      <c r="I1016" s="10"/>
      <c r="J1016" s="12"/>
      <c r="K1016" s="13" t="str">
        <f aca="false">IF(ISNUMBER(B1016),YEAR(B1016),"")</f>
        <v/>
      </c>
      <c r="L1016" s="13" t="str">
        <f aca="false">IF(ISNUMBER(B1016),MONTH(B1016),"")</f>
        <v/>
      </c>
      <c r="M1016" s="13" t="str">
        <f aca="false">IF(AND(ISNUMBER(B1016),ISNUMBER(I1016)),B1016-I1016+1,"")</f>
        <v/>
      </c>
      <c r="N1016" s="14" t="str">
        <f aca="false">IF(B1016="","",IF(M1016="","시작일 미입력",IF(M1016&lt;1,"시작일 이전(확인)",IF(M1016=1,"1일째",IF(M1016=2,"2일째",IF(M1016=3,"3일째",IF(M1016&lt;=7,"일주일 이내",IF(M1016&lt;=14,"이주일 이내","15일 이후"))))))))</f>
        <v/>
      </c>
      <c r="O1016" s="0" t="str">
        <f aca="false">IF(AND(COUNTA($A1016:$J1016)&gt;0,OR(클레임조회!$C$4="",AND(ISNUMBER($B1016),$B1016&gt;=클레임조회!$C$4)),OR(클레임조회!$C$5="",AND(ISNUMBER($B1016),$B1016&lt;=클레임조회!$C$5)),OR(클레임조회!$C$6="",$C1016=클레임조회!$C$6),OR(클레임조회!$C$7="",$D1016=클레임조회!$C$7),OR(클레임조회!$C$8="",$E1016=클레임조회!$C$8),OR(클레임조회!$C$9="",$F1016=클레임조회!$C$9),OR(클레임조회!$C$10="",ISNUMBER(SEARCH(클레임조회!$C$10,$C1016&amp;" "&amp;$F1016&amp;" "&amp;$G1016&amp;" "&amp;$H1016)))),COUNT(O$1:O1015)+1,"")</f>
        <v/>
      </c>
      <c r="P1016" s="0" t="str">
        <f aca="false">IF(AND(TRIM(C1016)&lt;&gt;"",COUNTIF(C$2:C1016,C1016)=1),MAX(P$1:P1015)+1,"")</f>
        <v/>
      </c>
      <c r="Q1016" s="0" t="str">
        <f aca="false">IF(AND(TRIM(F1016)&lt;&gt;"",COUNTIF(F$2:F1016,F1016)=1),MAX(Q$1:Q1015)+1,"")</f>
        <v/>
      </c>
    </row>
    <row r="1017" customFormat="false" ht="15" hidden="false" customHeight="false" outlineLevel="0" collapsed="false">
      <c r="A1017" s="9"/>
      <c r="B1017" s="10"/>
      <c r="C1017" s="11"/>
      <c r="D1017" s="11"/>
      <c r="E1017" s="11"/>
      <c r="F1017" s="11"/>
      <c r="G1017" s="12"/>
      <c r="H1017" s="12"/>
      <c r="I1017" s="10"/>
      <c r="J1017" s="12"/>
      <c r="K1017" s="13" t="str">
        <f aca="false">IF(ISNUMBER(B1017),YEAR(B1017),"")</f>
        <v/>
      </c>
      <c r="L1017" s="13" t="str">
        <f aca="false">IF(ISNUMBER(B1017),MONTH(B1017),"")</f>
        <v/>
      </c>
      <c r="M1017" s="13" t="str">
        <f aca="false">IF(AND(ISNUMBER(B1017),ISNUMBER(I1017)),B1017-I1017+1,"")</f>
        <v/>
      </c>
      <c r="N1017" s="14" t="str">
        <f aca="false">IF(B1017="","",IF(M1017="","시작일 미입력",IF(M1017&lt;1,"시작일 이전(확인)",IF(M1017=1,"1일째",IF(M1017=2,"2일째",IF(M1017=3,"3일째",IF(M1017&lt;=7,"일주일 이내",IF(M1017&lt;=14,"이주일 이내","15일 이후"))))))))</f>
        <v/>
      </c>
      <c r="O1017" s="0" t="str">
        <f aca="false">IF(AND(COUNTA($A1017:$J1017)&gt;0,OR(클레임조회!$C$4="",AND(ISNUMBER($B1017),$B1017&gt;=클레임조회!$C$4)),OR(클레임조회!$C$5="",AND(ISNUMBER($B1017),$B1017&lt;=클레임조회!$C$5)),OR(클레임조회!$C$6="",$C1017=클레임조회!$C$6),OR(클레임조회!$C$7="",$D1017=클레임조회!$C$7),OR(클레임조회!$C$8="",$E1017=클레임조회!$C$8),OR(클레임조회!$C$9="",$F1017=클레임조회!$C$9),OR(클레임조회!$C$10="",ISNUMBER(SEARCH(클레임조회!$C$10,$C1017&amp;" "&amp;$F1017&amp;" "&amp;$G1017&amp;" "&amp;$H1017)))),COUNT(O$1:O1016)+1,"")</f>
        <v/>
      </c>
      <c r="P1017" s="0" t="str">
        <f aca="false">IF(AND(TRIM(C1017)&lt;&gt;"",COUNTIF(C$2:C1017,C1017)=1),MAX(P$1:P1016)+1,"")</f>
        <v/>
      </c>
      <c r="Q1017" s="0" t="str">
        <f aca="false">IF(AND(TRIM(F1017)&lt;&gt;"",COUNTIF(F$2:F1017,F1017)=1),MAX(Q$1:Q1016)+1,"")</f>
        <v/>
      </c>
    </row>
    <row r="1018" customFormat="false" ht="15" hidden="false" customHeight="false" outlineLevel="0" collapsed="false">
      <c r="A1018" s="9"/>
      <c r="B1018" s="10"/>
      <c r="C1018" s="11"/>
      <c r="D1018" s="11"/>
      <c r="E1018" s="11"/>
      <c r="F1018" s="11"/>
      <c r="G1018" s="12"/>
      <c r="H1018" s="12"/>
      <c r="I1018" s="10"/>
      <c r="J1018" s="12"/>
      <c r="K1018" s="13" t="str">
        <f aca="false">IF(ISNUMBER(B1018),YEAR(B1018),"")</f>
        <v/>
      </c>
      <c r="L1018" s="13" t="str">
        <f aca="false">IF(ISNUMBER(B1018),MONTH(B1018),"")</f>
        <v/>
      </c>
      <c r="M1018" s="13" t="str">
        <f aca="false">IF(AND(ISNUMBER(B1018),ISNUMBER(I1018)),B1018-I1018+1,"")</f>
        <v/>
      </c>
      <c r="N1018" s="14" t="str">
        <f aca="false">IF(B1018="","",IF(M1018="","시작일 미입력",IF(M1018&lt;1,"시작일 이전(확인)",IF(M1018=1,"1일째",IF(M1018=2,"2일째",IF(M1018=3,"3일째",IF(M1018&lt;=7,"일주일 이내",IF(M1018&lt;=14,"이주일 이내","15일 이후"))))))))</f>
        <v/>
      </c>
      <c r="O1018" s="0" t="str">
        <f aca="false">IF(AND(COUNTA($A1018:$J1018)&gt;0,OR(클레임조회!$C$4="",AND(ISNUMBER($B1018),$B1018&gt;=클레임조회!$C$4)),OR(클레임조회!$C$5="",AND(ISNUMBER($B1018),$B1018&lt;=클레임조회!$C$5)),OR(클레임조회!$C$6="",$C1018=클레임조회!$C$6),OR(클레임조회!$C$7="",$D1018=클레임조회!$C$7),OR(클레임조회!$C$8="",$E1018=클레임조회!$C$8),OR(클레임조회!$C$9="",$F1018=클레임조회!$C$9),OR(클레임조회!$C$10="",ISNUMBER(SEARCH(클레임조회!$C$10,$C1018&amp;" "&amp;$F1018&amp;" "&amp;$G1018&amp;" "&amp;$H1018)))),COUNT(O$1:O1017)+1,"")</f>
        <v/>
      </c>
      <c r="P1018" s="0" t="str">
        <f aca="false">IF(AND(TRIM(C1018)&lt;&gt;"",COUNTIF(C$2:C1018,C1018)=1),MAX(P$1:P1017)+1,"")</f>
        <v/>
      </c>
      <c r="Q1018" s="0" t="str">
        <f aca="false">IF(AND(TRIM(F1018)&lt;&gt;"",COUNTIF(F$2:F1018,F1018)=1),MAX(Q$1:Q1017)+1,"")</f>
        <v/>
      </c>
    </row>
    <row r="1019" customFormat="false" ht="15" hidden="false" customHeight="false" outlineLevel="0" collapsed="false">
      <c r="A1019" s="9"/>
      <c r="B1019" s="10"/>
      <c r="C1019" s="11"/>
      <c r="D1019" s="11"/>
      <c r="E1019" s="11"/>
      <c r="F1019" s="11"/>
      <c r="G1019" s="12"/>
      <c r="H1019" s="12"/>
      <c r="I1019" s="10"/>
      <c r="J1019" s="12"/>
      <c r="K1019" s="13" t="str">
        <f aca="false">IF(ISNUMBER(B1019),YEAR(B1019),"")</f>
        <v/>
      </c>
      <c r="L1019" s="13" t="str">
        <f aca="false">IF(ISNUMBER(B1019),MONTH(B1019),"")</f>
        <v/>
      </c>
      <c r="M1019" s="13" t="str">
        <f aca="false">IF(AND(ISNUMBER(B1019),ISNUMBER(I1019)),B1019-I1019+1,"")</f>
        <v/>
      </c>
      <c r="N1019" s="14" t="str">
        <f aca="false">IF(B1019="","",IF(M1019="","시작일 미입력",IF(M1019&lt;1,"시작일 이전(확인)",IF(M1019=1,"1일째",IF(M1019=2,"2일째",IF(M1019=3,"3일째",IF(M1019&lt;=7,"일주일 이내",IF(M1019&lt;=14,"이주일 이내","15일 이후"))))))))</f>
        <v/>
      </c>
      <c r="O1019" s="0" t="str">
        <f aca="false">IF(AND(COUNTA($A1019:$J1019)&gt;0,OR(클레임조회!$C$4="",AND(ISNUMBER($B1019),$B1019&gt;=클레임조회!$C$4)),OR(클레임조회!$C$5="",AND(ISNUMBER($B1019),$B1019&lt;=클레임조회!$C$5)),OR(클레임조회!$C$6="",$C1019=클레임조회!$C$6),OR(클레임조회!$C$7="",$D1019=클레임조회!$C$7),OR(클레임조회!$C$8="",$E1019=클레임조회!$C$8),OR(클레임조회!$C$9="",$F1019=클레임조회!$C$9),OR(클레임조회!$C$10="",ISNUMBER(SEARCH(클레임조회!$C$10,$C1019&amp;" "&amp;$F1019&amp;" "&amp;$G1019&amp;" "&amp;$H1019)))),COUNT(O$1:O1018)+1,"")</f>
        <v/>
      </c>
      <c r="P1019" s="0" t="str">
        <f aca="false">IF(AND(TRIM(C1019)&lt;&gt;"",COUNTIF(C$2:C1019,C1019)=1),MAX(P$1:P1018)+1,"")</f>
        <v/>
      </c>
      <c r="Q1019" s="0" t="str">
        <f aca="false">IF(AND(TRIM(F1019)&lt;&gt;"",COUNTIF(F$2:F1019,F1019)=1),MAX(Q$1:Q1018)+1,"")</f>
        <v/>
      </c>
    </row>
    <row r="1020" customFormat="false" ht="15" hidden="false" customHeight="false" outlineLevel="0" collapsed="false">
      <c r="A1020" s="9"/>
      <c r="B1020" s="10"/>
      <c r="C1020" s="11"/>
      <c r="D1020" s="11"/>
      <c r="E1020" s="11"/>
      <c r="F1020" s="11"/>
      <c r="G1020" s="12"/>
      <c r="H1020" s="12"/>
      <c r="I1020" s="10"/>
      <c r="J1020" s="12"/>
      <c r="K1020" s="13" t="str">
        <f aca="false">IF(ISNUMBER(B1020),YEAR(B1020),"")</f>
        <v/>
      </c>
      <c r="L1020" s="13" t="str">
        <f aca="false">IF(ISNUMBER(B1020),MONTH(B1020),"")</f>
        <v/>
      </c>
      <c r="M1020" s="13" t="str">
        <f aca="false">IF(AND(ISNUMBER(B1020),ISNUMBER(I1020)),B1020-I1020+1,"")</f>
        <v/>
      </c>
      <c r="N1020" s="14" t="str">
        <f aca="false">IF(B1020="","",IF(M1020="","시작일 미입력",IF(M1020&lt;1,"시작일 이전(확인)",IF(M1020=1,"1일째",IF(M1020=2,"2일째",IF(M1020=3,"3일째",IF(M1020&lt;=7,"일주일 이내",IF(M1020&lt;=14,"이주일 이내","15일 이후"))))))))</f>
        <v/>
      </c>
      <c r="O1020" s="0" t="str">
        <f aca="false">IF(AND(COUNTA($A1020:$J1020)&gt;0,OR(클레임조회!$C$4="",AND(ISNUMBER($B1020),$B1020&gt;=클레임조회!$C$4)),OR(클레임조회!$C$5="",AND(ISNUMBER($B1020),$B1020&lt;=클레임조회!$C$5)),OR(클레임조회!$C$6="",$C1020=클레임조회!$C$6),OR(클레임조회!$C$7="",$D1020=클레임조회!$C$7),OR(클레임조회!$C$8="",$E1020=클레임조회!$C$8),OR(클레임조회!$C$9="",$F1020=클레임조회!$C$9),OR(클레임조회!$C$10="",ISNUMBER(SEARCH(클레임조회!$C$10,$C1020&amp;" "&amp;$F1020&amp;" "&amp;$G1020&amp;" "&amp;$H1020)))),COUNT(O$1:O1019)+1,"")</f>
        <v/>
      </c>
      <c r="P1020" s="0" t="str">
        <f aca="false">IF(AND(TRIM(C1020)&lt;&gt;"",COUNTIF(C$2:C1020,C1020)=1),MAX(P$1:P1019)+1,"")</f>
        <v/>
      </c>
      <c r="Q1020" s="0" t="str">
        <f aca="false">IF(AND(TRIM(F1020)&lt;&gt;"",COUNTIF(F$2:F1020,F1020)=1),MAX(Q$1:Q1019)+1,"")</f>
        <v/>
      </c>
    </row>
    <row r="1021" customFormat="false" ht="15" hidden="false" customHeight="false" outlineLevel="0" collapsed="false">
      <c r="A1021" s="9"/>
      <c r="B1021" s="10"/>
      <c r="C1021" s="11"/>
      <c r="D1021" s="11"/>
      <c r="E1021" s="11"/>
      <c r="F1021" s="11"/>
      <c r="G1021" s="12"/>
      <c r="H1021" s="12"/>
      <c r="I1021" s="10"/>
      <c r="J1021" s="12"/>
      <c r="K1021" s="13" t="str">
        <f aca="false">IF(ISNUMBER(B1021),YEAR(B1021),"")</f>
        <v/>
      </c>
      <c r="L1021" s="13" t="str">
        <f aca="false">IF(ISNUMBER(B1021),MONTH(B1021),"")</f>
        <v/>
      </c>
      <c r="M1021" s="13" t="str">
        <f aca="false">IF(AND(ISNUMBER(B1021),ISNUMBER(I1021)),B1021-I1021+1,"")</f>
        <v/>
      </c>
      <c r="N1021" s="14" t="str">
        <f aca="false">IF(B1021="","",IF(M1021="","시작일 미입력",IF(M1021&lt;1,"시작일 이전(확인)",IF(M1021=1,"1일째",IF(M1021=2,"2일째",IF(M1021=3,"3일째",IF(M1021&lt;=7,"일주일 이내",IF(M1021&lt;=14,"이주일 이내","15일 이후"))))))))</f>
        <v/>
      </c>
      <c r="O1021" s="0" t="str">
        <f aca="false">IF(AND(COUNTA($A1021:$J1021)&gt;0,OR(클레임조회!$C$4="",AND(ISNUMBER($B1021),$B1021&gt;=클레임조회!$C$4)),OR(클레임조회!$C$5="",AND(ISNUMBER($B1021),$B1021&lt;=클레임조회!$C$5)),OR(클레임조회!$C$6="",$C1021=클레임조회!$C$6),OR(클레임조회!$C$7="",$D1021=클레임조회!$C$7),OR(클레임조회!$C$8="",$E1021=클레임조회!$C$8),OR(클레임조회!$C$9="",$F1021=클레임조회!$C$9),OR(클레임조회!$C$10="",ISNUMBER(SEARCH(클레임조회!$C$10,$C1021&amp;" "&amp;$F1021&amp;" "&amp;$G1021&amp;" "&amp;$H1021)))),COUNT(O$1:O1020)+1,"")</f>
        <v/>
      </c>
      <c r="P1021" s="0" t="str">
        <f aca="false">IF(AND(TRIM(C1021)&lt;&gt;"",COUNTIF(C$2:C1021,C1021)=1),MAX(P$1:P1020)+1,"")</f>
        <v/>
      </c>
      <c r="Q1021" s="0" t="str">
        <f aca="false">IF(AND(TRIM(F1021)&lt;&gt;"",COUNTIF(F$2:F1021,F1021)=1),MAX(Q$1:Q1020)+1,"")</f>
        <v/>
      </c>
    </row>
    <row r="1022" customFormat="false" ht="15" hidden="false" customHeight="false" outlineLevel="0" collapsed="false">
      <c r="A1022" s="9"/>
      <c r="B1022" s="10"/>
      <c r="C1022" s="11"/>
      <c r="D1022" s="11"/>
      <c r="E1022" s="11"/>
      <c r="F1022" s="11"/>
      <c r="G1022" s="12"/>
      <c r="H1022" s="12"/>
      <c r="I1022" s="10"/>
      <c r="J1022" s="12"/>
      <c r="K1022" s="13" t="str">
        <f aca="false">IF(ISNUMBER(B1022),YEAR(B1022),"")</f>
        <v/>
      </c>
      <c r="L1022" s="13" t="str">
        <f aca="false">IF(ISNUMBER(B1022),MONTH(B1022),"")</f>
        <v/>
      </c>
      <c r="M1022" s="13" t="str">
        <f aca="false">IF(AND(ISNUMBER(B1022),ISNUMBER(I1022)),B1022-I1022+1,"")</f>
        <v/>
      </c>
      <c r="N1022" s="14" t="str">
        <f aca="false">IF(B1022="","",IF(M1022="","시작일 미입력",IF(M1022&lt;1,"시작일 이전(확인)",IF(M1022=1,"1일째",IF(M1022=2,"2일째",IF(M1022=3,"3일째",IF(M1022&lt;=7,"일주일 이내",IF(M1022&lt;=14,"이주일 이내","15일 이후"))))))))</f>
        <v/>
      </c>
      <c r="O1022" s="0" t="str">
        <f aca="false">IF(AND(COUNTA($A1022:$J1022)&gt;0,OR(클레임조회!$C$4="",AND(ISNUMBER($B1022),$B1022&gt;=클레임조회!$C$4)),OR(클레임조회!$C$5="",AND(ISNUMBER($B1022),$B1022&lt;=클레임조회!$C$5)),OR(클레임조회!$C$6="",$C1022=클레임조회!$C$6),OR(클레임조회!$C$7="",$D1022=클레임조회!$C$7),OR(클레임조회!$C$8="",$E1022=클레임조회!$C$8),OR(클레임조회!$C$9="",$F1022=클레임조회!$C$9),OR(클레임조회!$C$10="",ISNUMBER(SEARCH(클레임조회!$C$10,$C1022&amp;" "&amp;$F1022&amp;" "&amp;$G1022&amp;" "&amp;$H1022)))),COUNT(O$1:O1021)+1,"")</f>
        <v/>
      </c>
      <c r="P1022" s="0" t="str">
        <f aca="false">IF(AND(TRIM(C1022)&lt;&gt;"",COUNTIF(C$2:C1022,C1022)=1),MAX(P$1:P1021)+1,"")</f>
        <v/>
      </c>
      <c r="Q1022" s="0" t="str">
        <f aca="false">IF(AND(TRIM(F1022)&lt;&gt;"",COUNTIF(F$2:F1022,F1022)=1),MAX(Q$1:Q1021)+1,"")</f>
        <v/>
      </c>
    </row>
    <row r="1023" customFormat="false" ht="15" hidden="false" customHeight="false" outlineLevel="0" collapsed="false">
      <c r="A1023" s="9"/>
      <c r="B1023" s="10"/>
      <c r="C1023" s="11"/>
      <c r="D1023" s="11"/>
      <c r="E1023" s="11"/>
      <c r="F1023" s="11"/>
      <c r="G1023" s="12"/>
      <c r="H1023" s="12"/>
      <c r="I1023" s="10"/>
      <c r="J1023" s="12"/>
      <c r="K1023" s="13" t="str">
        <f aca="false">IF(ISNUMBER(B1023),YEAR(B1023),"")</f>
        <v/>
      </c>
      <c r="L1023" s="13" t="str">
        <f aca="false">IF(ISNUMBER(B1023),MONTH(B1023),"")</f>
        <v/>
      </c>
      <c r="M1023" s="13" t="str">
        <f aca="false">IF(AND(ISNUMBER(B1023),ISNUMBER(I1023)),B1023-I1023+1,"")</f>
        <v/>
      </c>
      <c r="N1023" s="14" t="str">
        <f aca="false">IF(B1023="","",IF(M1023="","시작일 미입력",IF(M1023&lt;1,"시작일 이전(확인)",IF(M1023=1,"1일째",IF(M1023=2,"2일째",IF(M1023=3,"3일째",IF(M1023&lt;=7,"일주일 이내",IF(M1023&lt;=14,"이주일 이내","15일 이후"))))))))</f>
        <v/>
      </c>
      <c r="O1023" s="0" t="str">
        <f aca="false">IF(AND(COUNTA($A1023:$J1023)&gt;0,OR(클레임조회!$C$4="",AND(ISNUMBER($B1023),$B1023&gt;=클레임조회!$C$4)),OR(클레임조회!$C$5="",AND(ISNUMBER($B1023),$B1023&lt;=클레임조회!$C$5)),OR(클레임조회!$C$6="",$C1023=클레임조회!$C$6),OR(클레임조회!$C$7="",$D1023=클레임조회!$C$7),OR(클레임조회!$C$8="",$E1023=클레임조회!$C$8),OR(클레임조회!$C$9="",$F1023=클레임조회!$C$9),OR(클레임조회!$C$10="",ISNUMBER(SEARCH(클레임조회!$C$10,$C1023&amp;" "&amp;$F1023&amp;" "&amp;$G1023&amp;" "&amp;$H1023)))),COUNT(O$1:O1022)+1,"")</f>
        <v/>
      </c>
      <c r="P1023" s="0" t="str">
        <f aca="false">IF(AND(TRIM(C1023)&lt;&gt;"",COUNTIF(C$2:C1023,C1023)=1),MAX(P$1:P1022)+1,"")</f>
        <v/>
      </c>
      <c r="Q1023" s="0" t="str">
        <f aca="false">IF(AND(TRIM(F1023)&lt;&gt;"",COUNTIF(F$2:F1023,F1023)=1),MAX(Q$1:Q1022)+1,"")</f>
        <v/>
      </c>
    </row>
    <row r="1024" customFormat="false" ht="15" hidden="false" customHeight="false" outlineLevel="0" collapsed="false">
      <c r="A1024" s="9"/>
      <c r="B1024" s="10"/>
      <c r="C1024" s="11"/>
      <c r="D1024" s="11"/>
      <c r="E1024" s="11"/>
      <c r="F1024" s="11"/>
      <c r="G1024" s="12"/>
      <c r="H1024" s="12"/>
      <c r="I1024" s="10"/>
      <c r="J1024" s="12"/>
      <c r="K1024" s="13" t="str">
        <f aca="false">IF(ISNUMBER(B1024),YEAR(B1024),"")</f>
        <v/>
      </c>
      <c r="L1024" s="13" t="str">
        <f aca="false">IF(ISNUMBER(B1024),MONTH(B1024),"")</f>
        <v/>
      </c>
      <c r="M1024" s="13" t="str">
        <f aca="false">IF(AND(ISNUMBER(B1024),ISNUMBER(I1024)),B1024-I1024+1,"")</f>
        <v/>
      </c>
      <c r="N1024" s="14" t="str">
        <f aca="false">IF(B1024="","",IF(M1024="","시작일 미입력",IF(M1024&lt;1,"시작일 이전(확인)",IF(M1024=1,"1일째",IF(M1024=2,"2일째",IF(M1024=3,"3일째",IF(M1024&lt;=7,"일주일 이내",IF(M1024&lt;=14,"이주일 이내","15일 이후"))))))))</f>
        <v/>
      </c>
      <c r="O1024" s="0" t="str">
        <f aca="false">IF(AND(COUNTA($A1024:$J1024)&gt;0,OR(클레임조회!$C$4="",AND(ISNUMBER($B1024),$B1024&gt;=클레임조회!$C$4)),OR(클레임조회!$C$5="",AND(ISNUMBER($B1024),$B1024&lt;=클레임조회!$C$5)),OR(클레임조회!$C$6="",$C1024=클레임조회!$C$6),OR(클레임조회!$C$7="",$D1024=클레임조회!$C$7),OR(클레임조회!$C$8="",$E1024=클레임조회!$C$8),OR(클레임조회!$C$9="",$F1024=클레임조회!$C$9),OR(클레임조회!$C$10="",ISNUMBER(SEARCH(클레임조회!$C$10,$C1024&amp;" "&amp;$F1024&amp;" "&amp;$G1024&amp;" "&amp;$H1024)))),COUNT(O$1:O1023)+1,"")</f>
        <v/>
      </c>
      <c r="P1024" s="0" t="str">
        <f aca="false">IF(AND(TRIM(C1024)&lt;&gt;"",COUNTIF(C$2:C1024,C1024)=1),MAX(P$1:P1023)+1,"")</f>
        <v/>
      </c>
      <c r="Q1024" s="0" t="str">
        <f aca="false">IF(AND(TRIM(F1024)&lt;&gt;"",COUNTIF(F$2:F1024,F1024)=1),MAX(Q$1:Q1023)+1,"")</f>
        <v/>
      </c>
    </row>
    <row r="1025" customFormat="false" ht="15" hidden="false" customHeight="false" outlineLevel="0" collapsed="false">
      <c r="A1025" s="9"/>
      <c r="B1025" s="10"/>
      <c r="C1025" s="11"/>
      <c r="D1025" s="11"/>
      <c r="E1025" s="11"/>
      <c r="F1025" s="11"/>
      <c r="G1025" s="12"/>
      <c r="H1025" s="12"/>
      <c r="I1025" s="10"/>
      <c r="J1025" s="12"/>
      <c r="K1025" s="13" t="str">
        <f aca="false">IF(ISNUMBER(B1025),YEAR(B1025),"")</f>
        <v/>
      </c>
      <c r="L1025" s="13" t="str">
        <f aca="false">IF(ISNUMBER(B1025),MONTH(B1025),"")</f>
        <v/>
      </c>
      <c r="M1025" s="13" t="str">
        <f aca="false">IF(AND(ISNUMBER(B1025),ISNUMBER(I1025)),B1025-I1025+1,"")</f>
        <v/>
      </c>
      <c r="N1025" s="14" t="str">
        <f aca="false">IF(B1025="","",IF(M1025="","시작일 미입력",IF(M1025&lt;1,"시작일 이전(확인)",IF(M1025=1,"1일째",IF(M1025=2,"2일째",IF(M1025=3,"3일째",IF(M1025&lt;=7,"일주일 이내",IF(M1025&lt;=14,"이주일 이내","15일 이후"))))))))</f>
        <v/>
      </c>
      <c r="O1025" s="0" t="str">
        <f aca="false">IF(AND(COUNTA($A1025:$J1025)&gt;0,OR(클레임조회!$C$4="",AND(ISNUMBER($B1025),$B1025&gt;=클레임조회!$C$4)),OR(클레임조회!$C$5="",AND(ISNUMBER($B1025),$B1025&lt;=클레임조회!$C$5)),OR(클레임조회!$C$6="",$C1025=클레임조회!$C$6),OR(클레임조회!$C$7="",$D1025=클레임조회!$C$7),OR(클레임조회!$C$8="",$E1025=클레임조회!$C$8),OR(클레임조회!$C$9="",$F1025=클레임조회!$C$9),OR(클레임조회!$C$10="",ISNUMBER(SEARCH(클레임조회!$C$10,$C1025&amp;" "&amp;$F1025&amp;" "&amp;$G1025&amp;" "&amp;$H1025)))),COUNT(O$1:O1024)+1,"")</f>
        <v/>
      </c>
      <c r="P1025" s="0" t="str">
        <f aca="false">IF(AND(TRIM(C1025)&lt;&gt;"",COUNTIF(C$2:C1025,C1025)=1),MAX(P$1:P1024)+1,"")</f>
        <v/>
      </c>
      <c r="Q1025" s="0" t="str">
        <f aca="false">IF(AND(TRIM(F1025)&lt;&gt;"",COUNTIF(F$2:F1025,F1025)=1),MAX(Q$1:Q1024)+1,"")</f>
        <v/>
      </c>
    </row>
    <row r="1026" customFormat="false" ht="15" hidden="false" customHeight="false" outlineLevel="0" collapsed="false">
      <c r="A1026" s="9"/>
      <c r="B1026" s="10"/>
      <c r="C1026" s="11"/>
      <c r="D1026" s="11"/>
      <c r="E1026" s="11"/>
      <c r="F1026" s="11"/>
      <c r="G1026" s="12"/>
      <c r="H1026" s="12"/>
      <c r="I1026" s="10"/>
      <c r="J1026" s="12"/>
      <c r="K1026" s="13" t="str">
        <f aca="false">IF(ISNUMBER(B1026),YEAR(B1026),"")</f>
        <v/>
      </c>
      <c r="L1026" s="13" t="str">
        <f aca="false">IF(ISNUMBER(B1026),MONTH(B1026),"")</f>
        <v/>
      </c>
      <c r="M1026" s="13" t="str">
        <f aca="false">IF(AND(ISNUMBER(B1026),ISNUMBER(I1026)),B1026-I1026+1,"")</f>
        <v/>
      </c>
      <c r="N1026" s="14" t="str">
        <f aca="false">IF(B1026="","",IF(M1026="","시작일 미입력",IF(M1026&lt;1,"시작일 이전(확인)",IF(M1026=1,"1일째",IF(M1026=2,"2일째",IF(M1026=3,"3일째",IF(M1026&lt;=7,"일주일 이내",IF(M1026&lt;=14,"이주일 이내","15일 이후"))))))))</f>
        <v/>
      </c>
      <c r="O1026" s="0" t="str">
        <f aca="false">IF(AND(COUNTA($A1026:$J1026)&gt;0,OR(클레임조회!$C$4="",AND(ISNUMBER($B1026),$B1026&gt;=클레임조회!$C$4)),OR(클레임조회!$C$5="",AND(ISNUMBER($B1026),$B1026&lt;=클레임조회!$C$5)),OR(클레임조회!$C$6="",$C1026=클레임조회!$C$6),OR(클레임조회!$C$7="",$D1026=클레임조회!$C$7),OR(클레임조회!$C$8="",$E1026=클레임조회!$C$8),OR(클레임조회!$C$9="",$F1026=클레임조회!$C$9),OR(클레임조회!$C$10="",ISNUMBER(SEARCH(클레임조회!$C$10,$C1026&amp;" "&amp;$F1026&amp;" "&amp;$G1026&amp;" "&amp;$H1026)))),COUNT(O$1:O1025)+1,"")</f>
        <v/>
      </c>
      <c r="P1026" s="0" t="str">
        <f aca="false">IF(AND(TRIM(C1026)&lt;&gt;"",COUNTIF(C$2:C1026,C1026)=1),MAX(P$1:P1025)+1,"")</f>
        <v/>
      </c>
      <c r="Q1026" s="0" t="str">
        <f aca="false">IF(AND(TRIM(F1026)&lt;&gt;"",COUNTIF(F$2:F1026,F1026)=1),MAX(Q$1:Q1025)+1,"")</f>
        <v/>
      </c>
    </row>
    <row r="1027" customFormat="false" ht="15" hidden="false" customHeight="false" outlineLevel="0" collapsed="false">
      <c r="A1027" s="9"/>
      <c r="B1027" s="10"/>
      <c r="C1027" s="11"/>
      <c r="D1027" s="11"/>
      <c r="E1027" s="11"/>
      <c r="F1027" s="11"/>
      <c r="G1027" s="12"/>
      <c r="H1027" s="12"/>
      <c r="I1027" s="10"/>
      <c r="J1027" s="12"/>
      <c r="K1027" s="13" t="str">
        <f aca="false">IF(ISNUMBER(B1027),YEAR(B1027),"")</f>
        <v/>
      </c>
      <c r="L1027" s="13" t="str">
        <f aca="false">IF(ISNUMBER(B1027),MONTH(B1027),"")</f>
        <v/>
      </c>
      <c r="M1027" s="13" t="str">
        <f aca="false">IF(AND(ISNUMBER(B1027),ISNUMBER(I1027)),B1027-I1027+1,"")</f>
        <v/>
      </c>
      <c r="N1027" s="14" t="str">
        <f aca="false">IF(B1027="","",IF(M1027="","시작일 미입력",IF(M1027&lt;1,"시작일 이전(확인)",IF(M1027=1,"1일째",IF(M1027=2,"2일째",IF(M1027=3,"3일째",IF(M1027&lt;=7,"일주일 이내",IF(M1027&lt;=14,"이주일 이내","15일 이후"))))))))</f>
        <v/>
      </c>
      <c r="O1027" s="0" t="str">
        <f aca="false">IF(AND(COUNTA($A1027:$J1027)&gt;0,OR(클레임조회!$C$4="",AND(ISNUMBER($B1027),$B1027&gt;=클레임조회!$C$4)),OR(클레임조회!$C$5="",AND(ISNUMBER($B1027),$B1027&lt;=클레임조회!$C$5)),OR(클레임조회!$C$6="",$C1027=클레임조회!$C$6),OR(클레임조회!$C$7="",$D1027=클레임조회!$C$7),OR(클레임조회!$C$8="",$E1027=클레임조회!$C$8),OR(클레임조회!$C$9="",$F1027=클레임조회!$C$9),OR(클레임조회!$C$10="",ISNUMBER(SEARCH(클레임조회!$C$10,$C1027&amp;" "&amp;$F1027&amp;" "&amp;$G1027&amp;" "&amp;$H1027)))),COUNT(O$1:O1026)+1,"")</f>
        <v/>
      </c>
      <c r="P1027" s="0" t="str">
        <f aca="false">IF(AND(TRIM(C1027)&lt;&gt;"",COUNTIF(C$2:C1027,C1027)=1),MAX(P$1:P1026)+1,"")</f>
        <v/>
      </c>
      <c r="Q1027" s="0" t="str">
        <f aca="false">IF(AND(TRIM(F1027)&lt;&gt;"",COUNTIF(F$2:F1027,F1027)=1),MAX(Q$1:Q1026)+1,"")</f>
        <v/>
      </c>
    </row>
    <row r="1028" customFormat="false" ht="15" hidden="false" customHeight="false" outlineLevel="0" collapsed="false">
      <c r="A1028" s="9"/>
      <c r="B1028" s="10"/>
      <c r="C1028" s="11"/>
      <c r="D1028" s="11"/>
      <c r="E1028" s="11"/>
      <c r="F1028" s="11"/>
      <c r="G1028" s="12"/>
      <c r="H1028" s="12"/>
      <c r="I1028" s="10"/>
      <c r="J1028" s="12"/>
      <c r="K1028" s="13" t="str">
        <f aca="false">IF(ISNUMBER(B1028),YEAR(B1028),"")</f>
        <v/>
      </c>
      <c r="L1028" s="13" t="str">
        <f aca="false">IF(ISNUMBER(B1028),MONTH(B1028),"")</f>
        <v/>
      </c>
      <c r="M1028" s="13" t="str">
        <f aca="false">IF(AND(ISNUMBER(B1028),ISNUMBER(I1028)),B1028-I1028+1,"")</f>
        <v/>
      </c>
      <c r="N1028" s="14" t="str">
        <f aca="false">IF(B1028="","",IF(M1028="","시작일 미입력",IF(M1028&lt;1,"시작일 이전(확인)",IF(M1028=1,"1일째",IF(M1028=2,"2일째",IF(M1028=3,"3일째",IF(M1028&lt;=7,"일주일 이내",IF(M1028&lt;=14,"이주일 이내","15일 이후"))))))))</f>
        <v/>
      </c>
      <c r="O1028" s="0" t="str">
        <f aca="false">IF(AND(COUNTA($A1028:$J1028)&gt;0,OR(클레임조회!$C$4="",AND(ISNUMBER($B1028),$B1028&gt;=클레임조회!$C$4)),OR(클레임조회!$C$5="",AND(ISNUMBER($B1028),$B1028&lt;=클레임조회!$C$5)),OR(클레임조회!$C$6="",$C1028=클레임조회!$C$6),OR(클레임조회!$C$7="",$D1028=클레임조회!$C$7),OR(클레임조회!$C$8="",$E1028=클레임조회!$C$8),OR(클레임조회!$C$9="",$F1028=클레임조회!$C$9),OR(클레임조회!$C$10="",ISNUMBER(SEARCH(클레임조회!$C$10,$C1028&amp;" "&amp;$F1028&amp;" "&amp;$G1028&amp;" "&amp;$H1028)))),COUNT(O$1:O1027)+1,"")</f>
        <v/>
      </c>
      <c r="P1028" s="0" t="str">
        <f aca="false">IF(AND(TRIM(C1028)&lt;&gt;"",COUNTIF(C$2:C1028,C1028)=1),MAX(P$1:P1027)+1,"")</f>
        <v/>
      </c>
      <c r="Q1028" s="0" t="str">
        <f aca="false">IF(AND(TRIM(F1028)&lt;&gt;"",COUNTIF(F$2:F1028,F1028)=1),MAX(Q$1:Q1027)+1,"")</f>
        <v/>
      </c>
    </row>
    <row r="1029" customFormat="false" ht="15" hidden="false" customHeight="false" outlineLevel="0" collapsed="false">
      <c r="A1029" s="9"/>
      <c r="B1029" s="10"/>
      <c r="C1029" s="11"/>
      <c r="D1029" s="11"/>
      <c r="E1029" s="11"/>
      <c r="F1029" s="11"/>
      <c r="G1029" s="12"/>
      <c r="H1029" s="12"/>
      <c r="I1029" s="10"/>
      <c r="J1029" s="12"/>
      <c r="K1029" s="13" t="str">
        <f aca="false">IF(ISNUMBER(B1029),YEAR(B1029),"")</f>
        <v/>
      </c>
      <c r="L1029" s="13" t="str">
        <f aca="false">IF(ISNUMBER(B1029),MONTH(B1029),"")</f>
        <v/>
      </c>
      <c r="M1029" s="13" t="str">
        <f aca="false">IF(AND(ISNUMBER(B1029),ISNUMBER(I1029)),B1029-I1029+1,"")</f>
        <v/>
      </c>
      <c r="N1029" s="14" t="str">
        <f aca="false">IF(B1029="","",IF(M1029="","시작일 미입력",IF(M1029&lt;1,"시작일 이전(확인)",IF(M1029=1,"1일째",IF(M1029=2,"2일째",IF(M1029=3,"3일째",IF(M1029&lt;=7,"일주일 이내",IF(M1029&lt;=14,"이주일 이내","15일 이후"))))))))</f>
        <v/>
      </c>
      <c r="O1029" s="0" t="str">
        <f aca="false">IF(AND(COUNTA($A1029:$J1029)&gt;0,OR(클레임조회!$C$4="",AND(ISNUMBER($B1029),$B1029&gt;=클레임조회!$C$4)),OR(클레임조회!$C$5="",AND(ISNUMBER($B1029),$B1029&lt;=클레임조회!$C$5)),OR(클레임조회!$C$6="",$C1029=클레임조회!$C$6),OR(클레임조회!$C$7="",$D1029=클레임조회!$C$7),OR(클레임조회!$C$8="",$E1029=클레임조회!$C$8),OR(클레임조회!$C$9="",$F1029=클레임조회!$C$9),OR(클레임조회!$C$10="",ISNUMBER(SEARCH(클레임조회!$C$10,$C1029&amp;" "&amp;$F1029&amp;" "&amp;$G1029&amp;" "&amp;$H1029)))),COUNT(O$1:O1028)+1,"")</f>
        <v/>
      </c>
      <c r="P1029" s="0" t="str">
        <f aca="false">IF(AND(TRIM(C1029)&lt;&gt;"",COUNTIF(C$2:C1029,C1029)=1),MAX(P$1:P1028)+1,"")</f>
        <v/>
      </c>
      <c r="Q1029" s="0" t="str">
        <f aca="false">IF(AND(TRIM(F1029)&lt;&gt;"",COUNTIF(F$2:F1029,F1029)=1),MAX(Q$1:Q1028)+1,"")</f>
        <v/>
      </c>
    </row>
    <row r="1030" customFormat="false" ht="15" hidden="false" customHeight="false" outlineLevel="0" collapsed="false">
      <c r="A1030" s="9"/>
      <c r="B1030" s="10"/>
      <c r="C1030" s="11"/>
      <c r="D1030" s="11"/>
      <c r="E1030" s="11"/>
      <c r="F1030" s="11"/>
      <c r="G1030" s="12"/>
      <c r="H1030" s="12"/>
      <c r="I1030" s="10"/>
      <c r="J1030" s="12"/>
      <c r="K1030" s="13" t="str">
        <f aca="false">IF(ISNUMBER(B1030),YEAR(B1030),"")</f>
        <v/>
      </c>
      <c r="L1030" s="13" t="str">
        <f aca="false">IF(ISNUMBER(B1030),MONTH(B1030),"")</f>
        <v/>
      </c>
      <c r="M1030" s="13" t="str">
        <f aca="false">IF(AND(ISNUMBER(B1030),ISNUMBER(I1030)),B1030-I1030+1,"")</f>
        <v/>
      </c>
      <c r="N1030" s="14" t="str">
        <f aca="false">IF(B1030="","",IF(M1030="","시작일 미입력",IF(M1030&lt;1,"시작일 이전(확인)",IF(M1030=1,"1일째",IF(M1030=2,"2일째",IF(M1030=3,"3일째",IF(M1030&lt;=7,"일주일 이내",IF(M1030&lt;=14,"이주일 이내","15일 이후"))))))))</f>
        <v/>
      </c>
      <c r="O1030" s="0" t="str">
        <f aca="false">IF(AND(COUNTA($A1030:$J1030)&gt;0,OR(클레임조회!$C$4="",AND(ISNUMBER($B1030),$B1030&gt;=클레임조회!$C$4)),OR(클레임조회!$C$5="",AND(ISNUMBER($B1030),$B1030&lt;=클레임조회!$C$5)),OR(클레임조회!$C$6="",$C1030=클레임조회!$C$6),OR(클레임조회!$C$7="",$D1030=클레임조회!$C$7),OR(클레임조회!$C$8="",$E1030=클레임조회!$C$8),OR(클레임조회!$C$9="",$F1030=클레임조회!$C$9),OR(클레임조회!$C$10="",ISNUMBER(SEARCH(클레임조회!$C$10,$C1030&amp;" "&amp;$F1030&amp;" "&amp;$G1030&amp;" "&amp;$H1030)))),COUNT(O$1:O1029)+1,"")</f>
        <v/>
      </c>
      <c r="P1030" s="0" t="str">
        <f aca="false">IF(AND(TRIM(C1030)&lt;&gt;"",COUNTIF(C$2:C1030,C1030)=1),MAX(P$1:P1029)+1,"")</f>
        <v/>
      </c>
      <c r="Q1030" s="0" t="str">
        <f aca="false">IF(AND(TRIM(F1030)&lt;&gt;"",COUNTIF(F$2:F1030,F1030)=1),MAX(Q$1:Q1029)+1,"")</f>
        <v/>
      </c>
    </row>
    <row r="1031" customFormat="false" ht="15" hidden="false" customHeight="false" outlineLevel="0" collapsed="false">
      <c r="A1031" s="9"/>
      <c r="B1031" s="10"/>
      <c r="C1031" s="11"/>
      <c r="D1031" s="11"/>
      <c r="E1031" s="11"/>
      <c r="F1031" s="11"/>
      <c r="G1031" s="12"/>
      <c r="H1031" s="12"/>
      <c r="I1031" s="10"/>
      <c r="J1031" s="12"/>
      <c r="K1031" s="13" t="str">
        <f aca="false">IF(ISNUMBER(B1031),YEAR(B1031),"")</f>
        <v/>
      </c>
      <c r="L1031" s="13" t="str">
        <f aca="false">IF(ISNUMBER(B1031),MONTH(B1031),"")</f>
        <v/>
      </c>
      <c r="M1031" s="13" t="str">
        <f aca="false">IF(AND(ISNUMBER(B1031),ISNUMBER(I1031)),B1031-I1031+1,"")</f>
        <v/>
      </c>
      <c r="N1031" s="14" t="str">
        <f aca="false">IF(B1031="","",IF(M1031="","시작일 미입력",IF(M1031&lt;1,"시작일 이전(확인)",IF(M1031=1,"1일째",IF(M1031=2,"2일째",IF(M1031=3,"3일째",IF(M1031&lt;=7,"일주일 이내",IF(M1031&lt;=14,"이주일 이내","15일 이후"))))))))</f>
        <v/>
      </c>
      <c r="O1031" s="0" t="str">
        <f aca="false">IF(AND(COUNTA($A1031:$J1031)&gt;0,OR(클레임조회!$C$4="",AND(ISNUMBER($B1031),$B1031&gt;=클레임조회!$C$4)),OR(클레임조회!$C$5="",AND(ISNUMBER($B1031),$B1031&lt;=클레임조회!$C$5)),OR(클레임조회!$C$6="",$C1031=클레임조회!$C$6),OR(클레임조회!$C$7="",$D1031=클레임조회!$C$7),OR(클레임조회!$C$8="",$E1031=클레임조회!$C$8),OR(클레임조회!$C$9="",$F1031=클레임조회!$C$9),OR(클레임조회!$C$10="",ISNUMBER(SEARCH(클레임조회!$C$10,$C1031&amp;" "&amp;$F1031&amp;" "&amp;$G1031&amp;" "&amp;$H1031)))),COUNT(O$1:O1030)+1,"")</f>
        <v/>
      </c>
      <c r="P1031" s="0" t="str">
        <f aca="false">IF(AND(TRIM(C1031)&lt;&gt;"",COUNTIF(C$2:C1031,C1031)=1),MAX(P$1:P1030)+1,"")</f>
        <v/>
      </c>
      <c r="Q1031" s="0" t="str">
        <f aca="false">IF(AND(TRIM(F1031)&lt;&gt;"",COUNTIF(F$2:F1031,F1031)=1),MAX(Q$1:Q1030)+1,"")</f>
        <v/>
      </c>
    </row>
    <row r="1032" customFormat="false" ht="15" hidden="false" customHeight="false" outlineLevel="0" collapsed="false">
      <c r="A1032" s="9"/>
      <c r="B1032" s="10"/>
      <c r="C1032" s="11"/>
      <c r="D1032" s="11"/>
      <c r="E1032" s="11"/>
      <c r="F1032" s="11"/>
      <c r="G1032" s="12"/>
      <c r="H1032" s="12"/>
      <c r="I1032" s="10"/>
      <c r="J1032" s="12"/>
      <c r="K1032" s="13" t="str">
        <f aca="false">IF(ISNUMBER(B1032),YEAR(B1032),"")</f>
        <v/>
      </c>
      <c r="L1032" s="13" t="str">
        <f aca="false">IF(ISNUMBER(B1032),MONTH(B1032),"")</f>
        <v/>
      </c>
      <c r="M1032" s="13" t="str">
        <f aca="false">IF(AND(ISNUMBER(B1032),ISNUMBER(I1032)),B1032-I1032+1,"")</f>
        <v/>
      </c>
      <c r="N1032" s="14" t="str">
        <f aca="false">IF(B1032="","",IF(M1032="","시작일 미입력",IF(M1032&lt;1,"시작일 이전(확인)",IF(M1032=1,"1일째",IF(M1032=2,"2일째",IF(M1032=3,"3일째",IF(M1032&lt;=7,"일주일 이내",IF(M1032&lt;=14,"이주일 이내","15일 이후"))))))))</f>
        <v/>
      </c>
      <c r="O1032" s="0" t="str">
        <f aca="false">IF(AND(COUNTA($A1032:$J1032)&gt;0,OR(클레임조회!$C$4="",AND(ISNUMBER($B1032),$B1032&gt;=클레임조회!$C$4)),OR(클레임조회!$C$5="",AND(ISNUMBER($B1032),$B1032&lt;=클레임조회!$C$5)),OR(클레임조회!$C$6="",$C1032=클레임조회!$C$6),OR(클레임조회!$C$7="",$D1032=클레임조회!$C$7),OR(클레임조회!$C$8="",$E1032=클레임조회!$C$8),OR(클레임조회!$C$9="",$F1032=클레임조회!$C$9),OR(클레임조회!$C$10="",ISNUMBER(SEARCH(클레임조회!$C$10,$C1032&amp;" "&amp;$F1032&amp;" "&amp;$G1032&amp;" "&amp;$H1032)))),COUNT(O$1:O1031)+1,"")</f>
        <v/>
      </c>
      <c r="P1032" s="0" t="str">
        <f aca="false">IF(AND(TRIM(C1032)&lt;&gt;"",COUNTIF(C$2:C1032,C1032)=1),MAX(P$1:P1031)+1,"")</f>
        <v/>
      </c>
      <c r="Q1032" s="0" t="str">
        <f aca="false">IF(AND(TRIM(F1032)&lt;&gt;"",COUNTIF(F$2:F1032,F1032)=1),MAX(Q$1:Q1031)+1,"")</f>
        <v/>
      </c>
    </row>
    <row r="1033" customFormat="false" ht="15" hidden="false" customHeight="false" outlineLevel="0" collapsed="false">
      <c r="A1033" s="9"/>
      <c r="B1033" s="10"/>
      <c r="C1033" s="11"/>
      <c r="D1033" s="11"/>
      <c r="E1033" s="11"/>
      <c r="F1033" s="11"/>
      <c r="G1033" s="12"/>
      <c r="H1033" s="12"/>
      <c r="I1033" s="10"/>
      <c r="J1033" s="12"/>
      <c r="K1033" s="13" t="str">
        <f aca="false">IF(ISNUMBER(B1033),YEAR(B1033),"")</f>
        <v/>
      </c>
      <c r="L1033" s="13" t="str">
        <f aca="false">IF(ISNUMBER(B1033),MONTH(B1033),"")</f>
        <v/>
      </c>
      <c r="M1033" s="13" t="str">
        <f aca="false">IF(AND(ISNUMBER(B1033),ISNUMBER(I1033)),B1033-I1033+1,"")</f>
        <v/>
      </c>
      <c r="N1033" s="14" t="str">
        <f aca="false">IF(B1033="","",IF(M1033="","시작일 미입력",IF(M1033&lt;1,"시작일 이전(확인)",IF(M1033=1,"1일째",IF(M1033=2,"2일째",IF(M1033=3,"3일째",IF(M1033&lt;=7,"일주일 이내",IF(M1033&lt;=14,"이주일 이내","15일 이후"))))))))</f>
        <v/>
      </c>
      <c r="O1033" s="0" t="str">
        <f aca="false">IF(AND(COUNTA($A1033:$J1033)&gt;0,OR(클레임조회!$C$4="",AND(ISNUMBER($B1033),$B1033&gt;=클레임조회!$C$4)),OR(클레임조회!$C$5="",AND(ISNUMBER($B1033),$B1033&lt;=클레임조회!$C$5)),OR(클레임조회!$C$6="",$C1033=클레임조회!$C$6),OR(클레임조회!$C$7="",$D1033=클레임조회!$C$7),OR(클레임조회!$C$8="",$E1033=클레임조회!$C$8),OR(클레임조회!$C$9="",$F1033=클레임조회!$C$9),OR(클레임조회!$C$10="",ISNUMBER(SEARCH(클레임조회!$C$10,$C1033&amp;" "&amp;$F1033&amp;" "&amp;$G1033&amp;" "&amp;$H1033)))),COUNT(O$1:O1032)+1,"")</f>
        <v/>
      </c>
      <c r="P1033" s="0" t="str">
        <f aca="false">IF(AND(TRIM(C1033)&lt;&gt;"",COUNTIF(C$2:C1033,C1033)=1),MAX(P$1:P1032)+1,"")</f>
        <v/>
      </c>
      <c r="Q1033" s="0" t="str">
        <f aca="false">IF(AND(TRIM(F1033)&lt;&gt;"",COUNTIF(F$2:F1033,F1033)=1),MAX(Q$1:Q1032)+1,"")</f>
        <v/>
      </c>
    </row>
    <row r="1034" customFormat="false" ht="15" hidden="false" customHeight="false" outlineLevel="0" collapsed="false">
      <c r="A1034" s="9"/>
      <c r="B1034" s="10"/>
      <c r="C1034" s="11"/>
      <c r="D1034" s="11"/>
      <c r="E1034" s="11"/>
      <c r="F1034" s="11"/>
      <c r="G1034" s="12"/>
      <c r="H1034" s="12"/>
      <c r="I1034" s="10"/>
      <c r="J1034" s="12"/>
      <c r="K1034" s="13" t="str">
        <f aca="false">IF(ISNUMBER(B1034),YEAR(B1034),"")</f>
        <v/>
      </c>
      <c r="L1034" s="13" t="str">
        <f aca="false">IF(ISNUMBER(B1034),MONTH(B1034),"")</f>
        <v/>
      </c>
      <c r="M1034" s="13" t="str">
        <f aca="false">IF(AND(ISNUMBER(B1034),ISNUMBER(I1034)),B1034-I1034+1,"")</f>
        <v/>
      </c>
      <c r="N1034" s="14" t="str">
        <f aca="false">IF(B1034="","",IF(M1034="","시작일 미입력",IF(M1034&lt;1,"시작일 이전(확인)",IF(M1034=1,"1일째",IF(M1034=2,"2일째",IF(M1034=3,"3일째",IF(M1034&lt;=7,"일주일 이내",IF(M1034&lt;=14,"이주일 이내","15일 이후"))))))))</f>
        <v/>
      </c>
      <c r="O1034" s="0" t="str">
        <f aca="false">IF(AND(COUNTA($A1034:$J1034)&gt;0,OR(클레임조회!$C$4="",AND(ISNUMBER($B1034),$B1034&gt;=클레임조회!$C$4)),OR(클레임조회!$C$5="",AND(ISNUMBER($B1034),$B1034&lt;=클레임조회!$C$5)),OR(클레임조회!$C$6="",$C1034=클레임조회!$C$6),OR(클레임조회!$C$7="",$D1034=클레임조회!$C$7),OR(클레임조회!$C$8="",$E1034=클레임조회!$C$8),OR(클레임조회!$C$9="",$F1034=클레임조회!$C$9),OR(클레임조회!$C$10="",ISNUMBER(SEARCH(클레임조회!$C$10,$C1034&amp;" "&amp;$F1034&amp;" "&amp;$G1034&amp;" "&amp;$H1034)))),COUNT(O$1:O1033)+1,"")</f>
        <v/>
      </c>
      <c r="P1034" s="0" t="str">
        <f aca="false">IF(AND(TRIM(C1034)&lt;&gt;"",COUNTIF(C$2:C1034,C1034)=1),MAX(P$1:P1033)+1,"")</f>
        <v/>
      </c>
      <c r="Q1034" s="0" t="str">
        <f aca="false">IF(AND(TRIM(F1034)&lt;&gt;"",COUNTIF(F$2:F1034,F1034)=1),MAX(Q$1:Q1033)+1,"")</f>
        <v/>
      </c>
    </row>
    <row r="1035" customFormat="false" ht="15" hidden="false" customHeight="false" outlineLevel="0" collapsed="false">
      <c r="A1035" s="9"/>
      <c r="B1035" s="10"/>
      <c r="C1035" s="11"/>
      <c r="D1035" s="11"/>
      <c r="E1035" s="11"/>
      <c r="F1035" s="11"/>
      <c r="G1035" s="12"/>
      <c r="H1035" s="12"/>
      <c r="I1035" s="10"/>
      <c r="J1035" s="12"/>
      <c r="K1035" s="13" t="str">
        <f aca="false">IF(ISNUMBER(B1035),YEAR(B1035),"")</f>
        <v/>
      </c>
      <c r="L1035" s="13" t="str">
        <f aca="false">IF(ISNUMBER(B1035),MONTH(B1035),"")</f>
        <v/>
      </c>
      <c r="M1035" s="13" t="str">
        <f aca="false">IF(AND(ISNUMBER(B1035),ISNUMBER(I1035)),B1035-I1035+1,"")</f>
        <v/>
      </c>
      <c r="N1035" s="14" t="str">
        <f aca="false">IF(B1035="","",IF(M1035="","시작일 미입력",IF(M1035&lt;1,"시작일 이전(확인)",IF(M1035=1,"1일째",IF(M1035=2,"2일째",IF(M1035=3,"3일째",IF(M1035&lt;=7,"일주일 이내",IF(M1035&lt;=14,"이주일 이내","15일 이후"))))))))</f>
        <v/>
      </c>
      <c r="O1035" s="0" t="str">
        <f aca="false">IF(AND(COUNTA($A1035:$J1035)&gt;0,OR(클레임조회!$C$4="",AND(ISNUMBER($B1035),$B1035&gt;=클레임조회!$C$4)),OR(클레임조회!$C$5="",AND(ISNUMBER($B1035),$B1035&lt;=클레임조회!$C$5)),OR(클레임조회!$C$6="",$C1035=클레임조회!$C$6),OR(클레임조회!$C$7="",$D1035=클레임조회!$C$7),OR(클레임조회!$C$8="",$E1035=클레임조회!$C$8),OR(클레임조회!$C$9="",$F1035=클레임조회!$C$9),OR(클레임조회!$C$10="",ISNUMBER(SEARCH(클레임조회!$C$10,$C1035&amp;" "&amp;$F1035&amp;" "&amp;$G1035&amp;" "&amp;$H1035)))),COUNT(O$1:O1034)+1,"")</f>
        <v/>
      </c>
      <c r="P1035" s="0" t="str">
        <f aca="false">IF(AND(TRIM(C1035)&lt;&gt;"",COUNTIF(C$2:C1035,C1035)=1),MAX(P$1:P1034)+1,"")</f>
        <v/>
      </c>
      <c r="Q1035" s="0" t="str">
        <f aca="false">IF(AND(TRIM(F1035)&lt;&gt;"",COUNTIF(F$2:F1035,F1035)=1),MAX(Q$1:Q1034)+1,"")</f>
        <v/>
      </c>
    </row>
    <row r="1036" customFormat="false" ht="15" hidden="false" customHeight="false" outlineLevel="0" collapsed="false">
      <c r="A1036" s="9"/>
      <c r="B1036" s="10"/>
      <c r="C1036" s="11"/>
      <c r="D1036" s="11"/>
      <c r="E1036" s="11"/>
      <c r="F1036" s="11"/>
      <c r="G1036" s="12"/>
      <c r="H1036" s="12"/>
      <c r="I1036" s="10"/>
      <c r="J1036" s="12"/>
      <c r="K1036" s="13" t="str">
        <f aca="false">IF(ISNUMBER(B1036),YEAR(B1036),"")</f>
        <v/>
      </c>
      <c r="L1036" s="13" t="str">
        <f aca="false">IF(ISNUMBER(B1036),MONTH(B1036),"")</f>
        <v/>
      </c>
      <c r="M1036" s="13" t="str">
        <f aca="false">IF(AND(ISNUMBER(B1036),ISNUMBER(I1036)),B1036-I1036+1,"")</f>
        <v/>
      </c>
      <c r="N1036" s="14" t="str">
        <f aca="false">IF(B1036="","",IF(M1036="","시작일 미입력",IF(M1036&lt;1,"시작일 이전(확인)",IF(M1036=1,"1일째",IF(M1036=2,"2일째",IF(M1036=3,"3일째",IF(M1036&lt;=7,"일주일 이내",IF(M1036&lt;=14,"이주일 이내","15일 이후"))))))))</f>
        <v/>
      </c>
      <c r="O1036" s="0" t="str">
        <f aca="false">IF(AND(COUNTA($A1036:$J1036)&gt;0,OR(클레임조회!$C$4="",AND(ISNUMBER($B1036),$B1036&gt;=클레임조회!$C$4)),OR(클레임조회!$C$5="",AND(ISNUMBER($B1036),$B1036&lt;=클레임조회!$C$5)),OR(클레임조회!$C$6="",$C1036=클레임조회!$C$6),OR(클레임조회!$C$7="",$D1036=클레임조회!$C$7),OR(클레임조회!$C$8="",$E1036=클레임조회!$C$8),OR(클레임조회!$C$9="",$F1036=클레임조회!$C$9),OR(클레임조회!$C$10="",ISNUMBER(SEARCH(클레임조회!$C$10,$C1036&amp;" "&amp;$F1036&amp;" "&amp;$G1036&amp;" "&amp;$H1036)))),COUNT(O$1:O1035)+1,"")</f>
        <v/>
      </c>
      <c r="P1036" s="0" t="str">
        <f aca="false">IF(AND(TRIM(C1036)&lt;&gt;"",COUNTIF(C$2:C1036,C1036)=1),MAX(P$1:P1035)+1,"")</f>
        <v/>
      </c>
      <c r="Q1036" s="0" t="str">
        <f aca="false">IF(AND(TRIM(F1036)&lt;&gt;"",COUNTIF(F$2:F1036,F1036)=1),MAX(Q$1:Q1035)+1,"")</f>
        <v/>
      </c>
    </row>
    <row r="1037" customFormat="false" ht="15" hidden="false" customHeight="false" outlineLevel="0" collapsed="false">
      <c r="A1037" s="9"/>
      <c r="B1037" s="10"/>
      <c r="C1037" s="11"/>
      <c r="D1037" s="11"/>
      <c r="E1037" s="11"/>
      <c r="F1037" s="11"/>
      <c r="G1037" s="12"/>
      <c r="H1037" s="12"/>
      <c r="I1037" s="10"/>
      <c r="J1037" s="12"/>
      <c r="K1037" s="13" t="str">
        <f aca="false">IF(ISNUMBER(B1037),YEAR(B1037),"")</f>
        <v/>
      </c>
      <c r="L1037" s="13" t="str">
        <f aca="false">IF(ISNUMBER(B1037),MONTH(B1037),"")</f>
        <v/>
      </c>
      <c r="M1037" s="13" t="str">
        <f aca="false">IF(AND(ISNUMBER(B1037),ISNUMBER(I1037)),B1037-I1037+1,"")</f>
        <v/>
      </c>
      <c r="N1037" s="14" t="str">
        <f aca="false">IF(B1037="","",IF(M1037="","시작일 미입력",IF(M1037&lt;1,"시작일 이전(확인)",IF(M1037=1,"1일째",IF(M1037=2,"2일째",IF(M1037=3,"3일째",IF(M1037&lt;=7,"일주일 이내",IF(M1037&lt;=14,"이주일 이내","15일 이후"))))))))</f>
        <v/>
      </c>
      <c r="O1037" s="0" t="str">
        <f aca="false">IF(AND(COUNTA($A1037:$J1037)&gt;0,OR(클레임조회!$C$4="",AND(ISNUMBER($B1037),$B1037&gt;=클레임조회!$C$4)),OR(클레임조회!$C$5="",AND(ISNUMBER($B1037),$B1037&lt;=클레임조회!$C$5)),OR(클레임조회!$C$6="",$C1037=클레임조회!$C$6),OR(클레임조회!$C$7="",$D1037=클레임조회!$C$7),OR(클레임조회!$C$8="",$E1037=클레임조회!$C$8),OR(클레임조회!$C$9="",$F1037=클레임조회!$C$9),OR(클레임조회!$C$10="",ISNUMBER(SEARCH(클레임조회!$C$10,$C1037&amp;" "&amp;$F1037&amp;" "&amp;$G1037&amp;" "&amp;$H1037)))),COUNT(O$1:O1036)+1,"")</f>
        <v/>
      </c>
      <c r="P1037" s="0" t="str">
        <f aca="false">IF(AND(TRIM(C1037)&lt;&gt;"",COUNTIF(C$2:C1037,C1037)=1),MAX(P$1:P1036)+1,"")</f>
        <v/>
      </c>
      <c r="Q1037" s="0" t="str">
        <f aca="false">IF(AND(TRIM(F1037)&lt;&gt;"",COUNTIF(F$2:F1037,F1037)=1),MAX(Q$1:Q1036)+1,"")</f>
        <v/>
      </c>
    </row>
    <row r="1038" customFormat="false" ht="15" hidden="false" customHeight="false" outlineLevel="0" collapsed="false">
      <c r="A1038" s="9"/>
      <c r="B1038" s="10"/>
      <c r="C1038" s="11"/>
      <c r="D1038" s="11"/>
      <c r="E1038" s="11"/>
      <c r="F1038" s="11"/>
      <c r="G1038" s="12"/>
      <c r="H1038" s="12"/>
      <c r="I1038" s="10"/>
      <c r="J1038" s="12"/>
      <c r="K1038" s="13" t="str">
        <f aca="false">IF(ISNUMBER(B1038),YEAR(B1038),"")</f>
        <v/>
      </c>
      <c r="L1038" s="13" t="str">
        <f aca="false">IF(ISNUMBER(B1038),MONTH(B1038),"")</f>
        <v/>
      </c>
      <c r="M1038" s="13" t="str">
        <f aca="false">IF(AND(ISNUMBER(B1038),ISNUMBER(I1038)),B1038-I1038+1,"")</f>
        <v/>
      </c>
      <c r="N1038" s="14" t="str">
        <f aca="false">IF(B1038="","",IF(M1038="","시작일 미입력",IF(M1038&lt;1,"시작일 이전(확인)",IF(M1038=1,"1일째",IF(M1038=2,"2일째",IF(M1038=3,"3일째",IF(M1038&lt;=7,"일주일 이내",IF(M1038&lt;=14,"이주일 이내","15일 이후"))))))))</f>
        <v/>
      </c>
      <c r="O1038" s="0" t="str">
        <f aca="false">IF(AND(COUNTA($A1038:$J1038)&gt;0,OR(클레임조회!$C$4="",AND(ISNUMBER($B1038),$B1038&gt;=클레임조회!$C$4)),OR(클레임조회!$C$5="",AND(ISNUMBER($B1038),$B1038&lt;=클레임조회!$C$5)),OR(클레임조회!$C$6="",$C1038=클레임조회!$C$6),OR(클레임조회!$C$7="",$D1038=클레임조회!$C$7),OR(클레임조회!$C$8="",$E1038=클레임조회!$C$8),OR(클레임조회!$C$9="",$F1038=클레임조회!$C$9),OR(클레임조회!$C$10="",ISNUMBER(SEARCH(클레임조회!$C$10,$C1038&amp;" "&amp;$F1038&amp;" "&amp;$G1038&amp;" "&amp;$H1038)))),COUNT(O$1:O1037)+1,"")</f>
        <v/>
      </c>
      <c r="P1038" s="0" t="str">
        <f aca="false">IF(AND(TRIM(C1038)&lt;&gt;"",COUNTIF(C$2:C1038,C1038)=1),MAX(P$1:P1037)+1,"")</f>
        <v/>
      </c>
      <c r="Q1038" s="0" t="str">
        <f aca="false">IF(AND(TRIM(F1038)&lt;&gt;"",COUNTIF(F$2:F1038,F1038)=1),MAX(Q$1:Q1037)+1,"")</f>
        <v/>
      </c>
    </row>
    <row r="1039" customFormat="false" ht="15" hidden="false" customHeight="false" outlineLevel="0" collapsed="false">
      <c r="A1039" s="9"/>
      <c r="B1039" s="10"/>
      <c r="C1039" s="11"/>
      <c r="D1039" s="11"/>
      <c r="E1039" s="11"/>
      <c r="F1039" s="11"/>
      <c r="G1039" s="12"/>
      <c r="H1039" s="12"/>
      <c r="I1039" s="10"/>
      <c r="J1039" s="12"/>
      <c r="K1039" s="13" t="str">
        <f aca="false">IF(ISNUMBER(B1039),YEAR(B1039),"")</f>
        <v/>
      </c>
      <c r="L1039" s="13" t="str">
        <f aca="false">IF(ISNUMBER(B1039),MONTH(B1039),"")</f>
        <v/>
      </c>
      <c r="M1039" s="13" t="str">
        <f aca="false">IF(AND(ISNUMBER(B1039),ISNUMBER(I1039)),B1039-I1039+1,"")</f>
        <v/>
      </c>
      <c r="N1039" s="14" t="str">
        <f aca="false">IF(B1039="","",IF(M1039="","시작일 미입력",IF(M1039&lt;1,"시작일 이전(확인)",IF(M1039=1,"1일째",IF(M1039=2,"2일째",IF(M1039=3,"3일째",IF(M1039&lt;=7,"일주일 이내",IF(M1039&lt;=14,"이주일 이내","15일 이후"))))))))</f>
        <v/>
      </c>
      <c r="O1039" s="0" t="str">
        <f aca="false">IF(AND(COUNTA($A1039:$J1039)&gt;0,OR(클레임조회!$C$4="",AND(ISNUMBER($B1039),$B1039&gt;=클레임조회!$C$4)),OR(클레임조회!$C$5="",AND(ISNUMBER($B1039),$B1039&lt;=클레임조회!$C$5)),OR(클레임조회!$C$6="",$C1039=클레임조회!$C$6),OR(클레임조회!$C$7="",$D1039=클레임조회!$C$7),OR(클레임조회!$C$8="",$E1039=클레임조회!$C$8),OR(클레임조회!$C$9="",$F1039=클레임조회!$C$9),OR(클레임조회!$C$10="",ISNUMBER(SEARCH(클레임조회!$C$10,$C1039&amp;" "&amp;$F1039&amp;" "&amp;$G1039&amp;" "&amp;$H1039)))),COUNT(O$1:O1038)+1,"")</f>
        <v/>
      </c>
      <c r="P1039" s="0" t="str">
        <f aca="false">IF(AND(TRIM(C1039)&lt;&gt;"",COUNTIF(C$2:C1039,C1039)=1),MAX(P$1:P1038)+1,"")</f>
        <v/>
      </c>
      <c r="Q1039" s="0" t="str">
        <f aca="false">IF(AND(TRIM(F1039)&lt;&gt;"",COUNTIF(F$2:F1039,F1039)=1),MAX(Q$1:Q1038)+1,"")</f>
        <v/>
      </c>
    </row>
    <row r="1040" customFormat="false" ht="15" hidden="false" customHeight="false" outlineLevel="0" collapsed="false">
      <c r="A1040" s="9"/>
      <c r="B1040" s="10"/>
      <c r="C1040" s="11"/>
      <c r="D1040" s="11"/>
      <c r="E1040" s="11"/>
      <c r="F1040" s="11"/>
      <c r="G1040" s="12"/>
      <c r="H1040" s="12"/>
      <c r="I1040" s="10"/>
      <c r="J1040" s="12"/>
      <c r="K1040" s="13" t="str">
        <f aca="false">IF(ISNUMBER(B1040),YEAR(B1040),"")</f>
        <v/>
      </c>
      <c r="L1040" s="13" t="str">
        <f aca="false">IF(ISNUMBER(B1040),MONTH(B1040),"")</f>
        <v/>
      </c>
      <c r="M1040" s="13" t="str">
        <f aca="false">IF(AND(ISNUMBER(B1040),ISNUMBER(I1040)),B1040-I1040+1,"")</f>
        <v/>
      </c>
      <c r="N1040" s="14" t="str">
        <f aca="false">IF(B1040="","",IF(M1040="","시작일 미입력",IF(M1040&lt;1,"시작일 이전(확인)",IF(M1040=1,"1일째",IF(M1040=2,"2일째",IF(M1040=3,"3일째",IF(M1040&lt;=7,"일주일 이내",IF(M1040&lt;=14,"이주일 이내","15일 이후"))))))))</f>
        <v/>
      </c>
      <c r="O1040" s="0" t="str">
        <f aca="false">IF(AND(COUNTA($A1040:$J1040)&gt;0,OR(클레임조회!$C$4="",AND(ISNUMBER($B1040),$B1040&gt;=클레임조회!$C$4)),OR(클레임조회!$C$5="",AND(ISNUMBER($B1040),$B1040&lt;=클레임조회!$C$5)),OR(클레임조회!$C$6="",$C1040=클레임조회!$C$6),OR(클레임조회!$C$7="",$D1040=클레임조회!$C$7),OR(클레임조회!$C$8="",$E1040=클레임조회!$C$8),OR(클레임조회!$C$9="",$F1040=클레임조회!$C$9),OR(클레임조회!$C$10="",ISNUMBER(SEARCH(클레임조회!$C$10,$C1040&amp;" "&amp;$F1040&amp;" "&amp;$G1040&amp;" "&amp;$H1040)))),COUNT(O$1:O1039)+1,"")</f>
        <v/>
      </c>
      <c r="P1040" s="0" t="str">
        <f aca="false">IF(AND(TRIM(C1040)&lt;&gt;"",COUNTIF(C$2:C1040,C1040)=1),MAX(P$1:P1039)+1,"")</f>
        <v/>
      </c>
      <c r="Q1040" s="0" t="str">
        <f aca="false">IF(AND(TRIM(F1040)&lt;&gt;"",COUNTIF(F$2:F1040,F1040)=1),MAX(Q$1:Q1039)+1,"")</f>
        <v/>
      </c>
    </row>
    <row r="1041" customFormat="false" ht="15" hidden="false" customHeight="false" outlineLevel="0" collapsed="false">
      <c r="A1041" s="9"/>
      <c r="B1041" s="10"/>
      <c r="C1041" s="11"/>
      <c r="D1041" s="11"/>
      <c r="E1041" s="11"/>
      <c r="F1041" s="11"/>
      <c r="G1041" s="12"/>
      <c r="H1041" s="12"/>
      <c r="I1041" s="10"/>
      <c r="J1041" s="12"/>
      <c r="K1041" s="13" t="str">
        <f aca="false">IF(ISNUMBER(B1041),YEAR(B1041),"")</f>
        <v/>
      </c>
      <c r="L1041" s="13" t="str">
        <f aca="false">IF(ISNUMBER(B1041),MONTH(B1041),"")</f>
        <v/>
      </c>
      <c r="M1041" s="13" t="str">
        <f aca="false">IF(AND(ISNUMBER(B1041),ISNUMBER(I1041)),B1041-I1041+1,"")</f>
        <v/>
      </c>
      <c r="N1041" s="14" t="str">
        <f aca="false">IF(B1041="","",IF(M1041="","시작일 미입력",IF(M1041&lt;1,"시작일 이전(확인)",IF(M1041=1,"1일째",IF(M1041=2,"2일째",IF(M1041=3,"3일째",IF(M1041&lt;=7,"일주일 이내",IF(M1041&lt;=14,"이주일 이내","15일 이후"))))))))</f>
        <v/>
      </c>
      <c r="O1041" s="0" t="str">
        <f aca="false">IF(AND(COUNTA($A1041:$J1041)&gt;0,OR(클레임조회!$C$4="",AND(ISNUMBER($B1041),$B1041&gt;=클레임조회!$C$4)),OR(클레임조회!$C$5="",AND(ISNUMBER($B1041),$B1041&lt;=클레임조회!$C$5)),OR(클레임조회!$C$6="",$C1041=클레임조회!$C$6),OR(클레임조회!$C$7="",$D1041=클레임조회!$C$7),OR(클레임조회!$C$8="",$E1041=클레임조회!$C$8),OR(클레임조회!$C$9="",$F1041=클레임조회!$C$9),OR(클레임조회!$C$10="",ISNUMBER(SEARCH(클레임조회!$C$10,$C1041&amp;" "&amp;$F1041&amp;" "&amp;$G1041&amp;" "&amp;$H1041)))),COUNT(O$1:O1040)+1,"")</f>
        <v/>
      </c>
      <c r="P1041" s="0" t="str">
        <f aca="false">IF(AND(TRIM(C1041)&lt;&gt;"",COUNTIF(C$2:C1041,C1041)=1),MAX(P$1:P1040)+1,"")</f>
        <v/>
      </c>
      <c r="Q1041" s="0" t="str">
        <f aca="false">IF(AND(TRIM(F1041)&lt;&gt;"",COUNTIF(F$2:F1041,F1041)=1),MAX(Q$1:Q1040)+1,"")</f>
        <v/>
      </c>
    </row>
    <row r="1042" customFormat="false" ht="15" hidden="false" customHeight="false" outlineLevel="0" collapsed="false">
      <c r="A1042" s="9"/>
      <c r="B1042" s="10"/>
      <c r="C1042" s="11"/>
      <c r="D1042" s="11"/>
      <c r="E1042" s="11"/>
      <c r="F1042" s="11"/>
      <c r="G1042" s="12"/>
      <c r="H1042" s="12"/>
      <c r="I1042" s="10"/>
      <c r="J1042" s="12"/>
      <c r="K1042" s="13" t="str">
        <f aca="false">IF(ISNUMBER(B1042),YEAR(B1042),"")</f>
        <v/>
      </c>
      <c r="L1042" s="13" t="str">
        <f aca="false">IF(ISNUMBER(B1042),MONTH(B1042),"")</f>
        <v/>
      </c>
      <c r="M1042" s="13" t="str">
        <f aca="false">IF(AND(ISNUMBER(B1042),ISNUMBER(I1042)),B1042-I1042+1,"")</f>
        <v/>
      </c>
      <c r="N1042" s="14" t="str">
        <f aca="false">IF(B1042="","",IF(M1042="","시작일 미입력",IF(M1042&lt;1,"시작일 이전(확인)",IF(M1042=1,"1일째",IF(M1042=2,"2일째",IF(M1042=3,"3일째",IF(M1042&lt;=7,"일주일 이내",IF(M1042&lt;=14,"이주일 이내","15일 이후"))))))))</f>
        <v/>
      </c>
      <c r="O1042" s="0" t="str">
        <f aca="false">IF(AND(COUNTA($A1042:$J1042)&gt;0,OR(클레임조회!$C$4="",AND(ISNUMBER($B1042),$B1042&gt;=클레임조회!$C$4)),OR(클레임조회!$C$5="",AND(ISNUMBER($B1042),$B1042&lt;=클레임조회!$C$5)),OR(클레임조회!$C$6="",$C1042=클레임조회!$C$6),OR(클레임조회!$C$7="",$D1042=클레임조회!$C$7),OR(클레임조회!$C$8="",$E1042=클레임조회!$C$8),OR(클레임조회!$C$9="",$F1042=클레임조회!$C$9),OR(클레임조회!$C$10="",ISNUMBER(SEARCH(클레임조회!$C$10,$C1042&amp;" "&amp;$F1042&amp;" "&amp;$G1042&amp;" "&amp;$H1042)))),COUNT(O$1:O1041)+1,"")</f>
        <v/>
      </c>
      <c r="P1042" s="0" t="str">
        <f aca="false">IF(AND(TRIM(C1042)&lt;&gt;"",COUNTIF(C$2:C1042,C1042)=1),MAX(P$1:P1041)+1,"")</f>
        <v/>
      </c>
      <c r="Q1042" s="0" t="str">
        <f aca="false">IF(AND(TRIM(F1042)&lt;&gt;"",COUNTIF(F$2:F1042,F1042)=1),MAX(Q$1:Q1041)+1,"")</f>
        <v/>
      </c>
    </row>
    <row r="1043" customFormat="false" ht="15" hidden="false" customHeight="false" outlineLevel="0" collapsed="false">
      <c r="A1043" s="9"/>
      <c r="B1043" s="10"/>
      <c r="C1043" s="11"/>
      <c r="D1043" s="11"/>
      <c r="E1043" s="11"/>
      <c r="F1043" s="11"/>
      <c r="G1043" s="12"/>
      <c r="H1043" s="12"/>
      <c r="I1043" s="10"/>
      <c r="J1043" s="12"/>
      <c r="K1043" s="13" t="str">
        <f aca="false">IF(ISNUMBER(B1043),YEAR(B1043),"")</f>
        <v/>
      </c>
      <c r="L1043" s="13" t="str">
        <f aca="false">IF(ISNUMBER(B1043),MONTH(B1043),"")</f>
        <v/>
      </c>
      <c r="M1043" s="13" t="str">
        <f aca="false">IF(AND(ISNUMBER(B1043),ISNUMBER(I1043)),B1043-I1043+1,"")</f>
        <v/>
      </c>
      <c r="N1043" s="14" t="str">
        <f aca="false">IF(B1043="","",IF(M1043="","시작일 미입력",IF(M1043&lt;1,"시작일 이전(확인)",IF(M1043=1,"1일째",IF(M1043=2,"2일째",IF(M1043=3,"3일째",IF(M1043&lt;=7,"일주일 이내",IF(M1043&lt;=14,"이주일 이내","15일 이후"))))))))</f>
        <v/>
      </c>
      <c r="O1043" s="0" t="str">
        <f aca="false">IF(AND(COUNTA($A1043:$J1043)&gt;0,OR(클레임조회!$C$4="",AND(ISNUMBER($B1043),$B1043&gt;=클레임조회!$C$4)),OR(클레임조회!$C$5="",AND(ISNUMBER($B1043),$B1043&lt;=클레임조회!$C$5)),OR(클레임조회!$C$6="",$C1043=클레임조회!$C$6),OR(클레임조회!$C$7="",$D1043=클레임조회!$C$7),OR(클레임조회!$C$8="",$E1043=클레임조회!$C$8),OR(클레임조회!$C$9="",$F1043=클레임조회!$C$9),OR(클레임조회!$C$10="",ISNUMBER(SEARCH(클레임조회!$C$10,$C1043&amp;" "&amp;$F1043&amp;" "&amp;$G1043&amp;" "&amp;$H1043)))),COUNT(O$1:O1042)+1,"")</f>
        <v/>
      </c>
      <c r="P1043" s="0" t="str">
        <f aca="false">IF(AND(TRIM(C1043)&lt;&gt;"",COUNTIF(C$2:C1043,C1043)=1),MAX(P$1:P1042)+1,"")</f>
        <v/>
      </c>
      <c r="Q1043" s="0" t="str">
        <f aca="false">IF(AND(TRIM(F1043)&lt;&gt;"",COUNTIF(F$2:F1043,F1043)=1),MAX(Q$1:Q1042)+1,"")</f>
        <v/>
      </c>
    </row>
    <row r="1044" customFormat="false" ht="15" hidden="false" customHeight="false" outlineLevel="0" collapsed="false">
      <c r="A1044" s="9"/>
      <c r="B1044" s="10"/>
      <c r="C1044" s="11"/>
      <c r="D1044" s="11"/>
      <c r="E1044" s="11"/>
      <c r="F1044" s="11"/>
      <c r="G1044" s="12"/>
      <c r="H1044" s="12"/>
      <c r="I1044" s="10"/>
      <c r="J1044" s="12"/>
      <c r="K1044" s="13" t="str">
        <f aca="false">IF(ISNUMBER(B1044),YEAR(B1044),"")</f>
        <v/>
      </c>
      <c r="L1044" s="13" t="str">
        <f aca="false">IF(ISNUMBER(B1044),MONTH(B1044),"")</f>
        <v/>
      </c>
      <c r="M1044" s="13" t="str">
        <f aca="false">IF(AND(ISNUMBER(B1044),ISNUMBER(I1044)),B1044-I1044+1,"")</f>
        <v/>
      </c>
      <c r="N1044" s="14" t="str">
        <f aca="false">IF(B1044="","",IF(M1044="","시작일 미입력",IF(M1044&lt;1,"시작일 이전(확인)",IF(M1044=1,"1일째",IF(M1044=2,"2일째",IF(M1044=3,"3일째",IF(M1044&lt;=7,"일주일 이내",IF(M1044&lt;=14,"이주일 이내","15일 이후"))))))))</f>
        <v/>
      </c>
      <c r="O1044" s="0" t="str">
        <f aca="false">IF(AND(COUNTA($A1044:$J1044)&gt;0,OR(클레임조회!$C$4="",AND(ISNUMBER($B1044),$B1044&gt;=클레임조회!$C$4)),OR(클레임조회!$C$5="",AND(ISNUMBER($B1044),$B1044&lt;=클레임조회!$C$5)),OR(클레임조회!$C$6="",$C1044=클레임조회!$C$6),OR(클레임조회!$C$7="",$D1044=클레임조회!$C$7),OR(클레임조회!$C$8="",$E1044=클레임조회!$C$8),OR(클레임조회!$C$9="",$F1044=클레임조회!$C$9),OR(클레임조회!$C$10="",ISNUMBER(SEARCH(클레임조회!$C$10,$C1044&amp;" "&amp;$F1044&amp;" "&amp;$G1044&amp;" "&amp;$H1044)))),COUNT(O$1:O1043)+1,"")</f>
        <v/>
      </c>
      <c r="P1044" s="0" t="str">
        <f aca="false">IF(AND(TRIM(C1044)&lt;&gt;"",COUNTIF(C$2:C1044,C1044)=1),MAX(P$1:P1043)+1,"")</f>
        <v/>
      </c>
      <c r="Q1044" s="0" t="str">
        <f aca="false">IF(AND(TRIM(F1044)&lt;&gt;"",COUNTIF(F$2:F1044,F1044)=1),MAX(Q$1:Q1043)+1,"")</f>
        <v/>
      </c>
    </row>
    <row r="1045" customFormat="false" ht="15" hidden="false" customHeight="false" outlineLevel="0" collapsed="false">
      <c r="A1045" s="9"/>
      <c r="B1045" s="10"/>
      <c r="C1045" s="11"/>
      <c r="D1045" s="11"/>
      <c r="E1045" s="11"/>
      <c r="F1045" s="11"/>
      <c r="G1045" s="12"/>
      <c r="H1045" s="12"/>
      <c r="I1045" s="10"/>
      <c r="J1045" s="12"/>
      <c r="K1045" s="13" t="str">
        <f aca="false">IF(ISNUMBER(B1045),YEAR(B1045),"")</f>
        <v/>
      </c>
      <c r="L1045" s="13" t="str">
        <f aca="false">IF(ISNUMBER(B1045),MONTH(B1045),"")</f>
        <v/>
      </c>
      <c r="M1045" s="13" t="str">
        <f aca="false">IF(AND(ISNUMBER(B1045),ISNUMBER(I1045)),B1045-I1045+1,"")</f>
        <v/>
      </c>
      <c r="N1045" s="14" t="str">
        <f aca="false">IF(B1045="","",IF(M1045="","시작일 미입력",IF(M1045&lt;1,"시작일 이전(확인)",IF(M1045=1,"1일째",IF(M1045=2,"2일째",IF(M1045=3,"3일째",IF(M1045&lt;=7,"일주일 이내",IF(M1045&lt;=14,"이주일 이내","15일 이후"))))))))</f>
        <v/>
      </c>
      <c r="O1045" s="0" t="str">
        <f aca="false">IF(AND(COUNTA($A1045:$J1045)&gt;0,OR(클레임조회!$C$4="",AND(ISNUMBER($B1045),$B1045&gt;=클레임조회!$C$4)),OR(클레임조회!$C$5="",AND(ISNUMBER($B1045),$B1045&lt;=클레임조회!$C$5)),OR(클레임조회!$C$6="",$C1045=클레임조회!$C$6),OR(클레임조회!$C$7="",$D1045=클레임조회!$C$7),OR(클레임조회!$C$8="",$E1045=클레임조회!$C$8),OR(클레임조회!$C$9="",$F1045=클레임조회!$C$9),OR(클레임조회!$C$10="",ISNUMBER(SEARCH(클레임조회!$C$10,$C1045&amp;" "&amp;$F1045&amp;" "&amp;$G1045&amp;" "&amp;$H1045)))),COUNT(O$1:O1044)+1,"")</f>
        <v/>
      </c>
      <c r="P1045" s="0" t="str">
        <f aca="false">IF(AND(TRIM(C1045)&lt;&gt;"",COUNTIF(C$2:C1045,C1045)=1),MAX(P$1:P1044)+1,"")</f>
        <v/>
      </c>
      <c r="Q1045" s="0" t="str">
        <f aca="false">IF(AND(TRIM(F1045)&lt;&gt;"",COUNTIF(F$2:F1045,F1045)=1),MAX(Q$1:Q1044)+1,"")</f>
        <v/>
      </c>
    </row>
    <row r="1046" customFormat="false" ht="15" hidden="false" customHeight="false" outlineLevel="0" collapsed="false">
      <c r="A1046" s="9"/>
      <c r="B1046" s="10"/>
      <c r="C1046" s="11"/>
      <c r="D1046" s="11"/>
      <c r="E1046" s="11"/>
      <c r="F1046" s="11"/>
      <c r="G1046" s="12"/>
      <c r="H1046" s="12"/>
      <c r="I1046" s="10"/>
      <c r="J1046" s="12"/>
      <c r="K1046" s="13" t="str">
        <f aca="false">IF(ISNUMBER(B1046),YEAR(B1046),"")</f>
        <v/>
      </c>
      <c r="L1046" s="13" t="str">
        <f aca="false">IF(ISNUMBER(B1046),MONTH(B1046),"")</f>
        <v/>
      </c>
      <c r="M1046" s="13" t="str">
        <f aca="false">IF(AND(ISNUMBER(B1046),ISNUMBER(I1046)),B1046-I1046+1,"")</f>
        <v/>
      </c>
      <c r="N1046" s="14" t="str">
        <f aca="false">IF(B1046="","",IF(M1046="","시작일 미입력",IF(M1046&lt;1,"시작일 이전(확인)",IF(M1046=1,"1일째",IF(M1046=2,"2일째",IF(M1046=3,"3일째",IF(M1046&lt;=7,"일주일 이내",IF(M1046&lt;=14,"이주일 이내","15일 이후"))))))))</f>
        <v/>
      </c>
      <c r="O1046" s="0" t="str">
        <f aca="false">IF(AND(COUNTA($A1046:$J1046)&gt;0,OR(클레임조회!$C$4="",AND(ISNUMBER($B1046),$B1046&gt;=클레임조회!$C$4)),OR(클레임조회!$C$5="",AND(ISNUMBER($B1046),$B1046&lt;=클레임조회!$C$5)),OR(클레임조회!$C$6="",$C1046=클레임조회!$C$6),OR(클레임조회!$C$7="",$D1046=클레임조회!$C$7),OR(클레임조회!$C$8="",$E1046=클레임조회!$C$8),OR(클레임조회!$C$9="",$F1046=클레임조회!$C$9),OR(클레임조회!$C$10="",ISNUMBER(SEARCH(클레임조회!$C$10,$C1046&amp;" "&amp;$F1046&amp;" "&amp;$G1046&amp;" "&amp;$H1046)))),COUNT(O$1:O1045)+1,"")</f>
        <v/>
      </c>
      <c r="P1046" s="0" t="str">
        <f aca="false">IF(AND(TRIM(C1046)&lt;&gt;"",COUNTIF(C$2:C1046,C1046)=1),MAX(P$1:P1045)+1,"")</f>
        <v/>
      </c>
      <c r="Q1046" s="0" t="str">
        <f aca="false">IF(AND(TRIM(F1046)&lt;&gt;"",COUNTIF(F$2:F1046,F1046)=1),MAX(Q$1:Q1045)+1,"")</f>
        <v/>
      </c>
    </row>
    <row r="1047" customFormat="false" ht="15" hidden="false" customHeight="false" outlineLevel="0" collapsed="false">
      <c r="A1047" s="9"/>
      <c r="B1047" s="10"/>
      <c r="C1047" s="11"/>
      <c r="D1047" s="11"/>
      <c r="E1047" s="11"/>
      <c r="F1047" s="11"/>
      <c r="G1047" s="12"/>
      <c r="H1047" s="12"/>
      <c r="I1047" s="10"/>
      <c r="J1047" s="12"/>
      <c r="K1047" s="13" t="str">
        <f aca="false">IF(ISNUMBER(B1047),YEAR(B1047),"")</f>
        <v/>
      </c>
      <c r="L1047" s="13" t="str">
        <f aca="false">IF(ISNUMBER(B1047),MONTH(B1047),"")</f>
        <v/>
      </c>
      <c r="M1047" s="13" t="str">
        <f aca="false">IF(AND(ISNUMBER(B1047),ISNUMBER(I1047)),B1047-I1047+1,"")</f>
        <v/>
      </c>
      <c r="N1047" s="14" t="str">
        <f aca="false">IF(B1047="","",IF(M1047="","시작일 미입력",IF(M1047&lt;1,"시작일 이전(확인)",IF(M1047=1,"1일째",IF(M1047=2,"2일째",IF(M1047=3,"3일째",IF(M1047&lt;=7,"일주일 이내",IF(M1047&lt;=14,"이주일 이내","15일 이후"))))))))</f>
        <v/>
      </c>
      <c r="O1047" s="0" t="str">
        <f aca="false">IF(AND(COUNTA($A1047:$J1047)&gt;0,OR(클레임조회!$C$4="",AND(ISNUMBER($B1047),$B1047&gt;=클레임조회!$C$4)),OR(클레임조회!$C$5="",AND(ISNUMBER($B1047),$B1047&lt;=클레임조회!$C$5)),OR(클레임조회!$C$6="",$C1047=클레임조회!$C$6),OR(클레임조회!$C$7="",$D1047=클레임조회!$C$7),OR(클레임조회!$C$8="",$E1047=클레임조회!$C$8),OR(클레임조회!$C$9="",$F1047=클레임조회!$C$9),OR(클레임조회!$C$10="",ISNUMBER(SEARCH(클레임조회!$C$10,$C1047&amp;" "&amp;$F1047&amp;" "&amp;$G1047&amp;" "&amp;$H1047)))),COUNT(O$1:O1046)+1,"")</f>
        <v/>
      </c>
      <c r="P1047" s="0" t="str">
        <f aca="false">IF(AND(TRIM(C1047)&lt;&gt;"",COUNTIF(C$2:C1047,C1047)=1),MAX(P$1:P1046)+1,"")</f>
        <v/>
      </c>
      <c r="Q1047" s="0" t="str">
        <f aca="false">IF(AND(TRIM(F1047)&lt;&gt;"",COUNTIF(F$2:F1047,F1047)=1),MAX(Q$1:Q1046)+1,"")</f>
        <v/>
      </c>
    </row>
    <row r="1048" customFormat="false" ht="15" hidden="false" customHeight="false" outlineLevel="0" collapsed="false">
      <c r="A1048" s="9"/>
      <c r="B1048" s="10"/>
      <c r="C1048" s="11"/>
      <c r="D1048" s="11"/>
      <c r="E1048" s="11"/>
      <c r="F1048" s="11"/>
      <c r="G1048" s="12"/>
      <c r="H1048" s="12"/>
      <c r="I1048" s="10"/>
      <c r="J1048" s="12"/>
      <c r="K1048" s="13" t="str">
        <f aca="false">IF(ISNUMBER(B1048),YEAR(B1048),"")</f>
        <v/>
      </c>
      <c r="L1048" s="13" t="str">
        <f aca="false">IF(ISNUMBER(B1048),MONTH(B1048),"")</f>
        <v/>
      </c>
      <c r="M1048" s="13" t="str">
        <f aca="false">IF(AND(ISNUMBER(B1048),ISNUMBER(I1048)),B1048-I1048+1,"")</f>
        <v/>
      </c>
      <c r="N1048" s="14" t="str">
        <f aca="false">IF(B1048="","",IF(M1048="","시작일 미입력",IF(M1048&lt;1,"시작일 이전(확인)",IF(M1048=1,"1일째",IF(M1048=2,"2일째",IF(M1048=3,"3일째",IF(M1048&lt;=7,"일주일 이내",IF(M1048&lt;=14,"이주일 이내","15일 이후"))))))))</f>
        <v/>
      </c>
      <c r="O1048" s="0" t="str">
        <f aca="false">IF(AND(COUNTA($A1048:$J1048)&gt;0,OR(클레임조회!$C$4="",AND(ISNUMBER($B1048),$B1048&gt;=클레임조회!$C$4)),OR(클레임조회!$C$5="",AND(ISNUMBER($B1048),$B1048&lt;=클레임조회!$C$5)),OR(클레임조회!$C$6="",$C1048=클레임조회!$C$6),OR(클레임조회!$C$7="",$D1048=클레임조회!$C$7),OR(클레임조회!$C$8="",$E1048=클레임조회!$C$8),OR(클레임조회!$C$9="",$F1048=클레임조회!$C$9),OR(클레임조회!$C$10="",ISNUMBER(SEARCH(클레임조회!$C$10,$C1048&amp;" "&amp;$F1048&amp;" "&amp;$G1048&amp;" "&amp;$H1048)))),COUNT(O$1:O1047)+1,"")</f>
        <v/>
      </c>
      <c r="P1048" s="0" t="str">
        <f aca="false">IF(AND(TRIM(C1048)&lt;&gt;"",COUNTIF(C$2:C1048,C1048)=1),MAX(P$1:P1047)+1,"")</f>
        <v/>
      </c>
      <c r="Q1048" s="0" t="str">
        <f aca="false">IF(AND(TRIM(F1048)&lt;&gt;"",COUNTIF(F$2:F1048,F1048)=1),MAX(Q$1:Q1047)+1,"")</f>
        <v/>
      </c>
    </row>
    <row r="1049" customFormat="false" ht="15" hidden="false" customHeight="false" outlineLevel="0" collapsed="false">
      <c r="A1049" s="9"/>
      <c r="B1049" s="10"/>
      <c r="C1049" s="11"/>
      <c r="D1049" s="11"/>
      <c r="E1049" s="11"/>
      <c r="F1049" s="11"/>
      <c r="G1049" s="12"/>
      <c r="H1049" s="12"/>
      <c r="I1049" s="10"/>
      <c r="J1049" s="12"/>
      <c r="K1049" s="13" t="str">
        <f aca="false">IF(ISNUMBER(B1049),YEAR(B1049),"")</f>
        <v/>
      </c>
      <c r="L1049" s="13" t="str">
        <f aca="false">IF(ISNUMBER(B1049),MONTH(B1049),"")</f>
        <v/>
      </c>
      <c r="M1049" s="13" t="str">
        <f aca="false">IF(AND(ISNUMBER(B1049),ISNUMBER(I1049)),B1049-I1049+1,"")</f>
        <v/>
      </c>
      <c r="N1049" s="14" t="str">
        <f aca="false">IF(B1049="","",IF(M1049="","시작일 미입력",IF(M1049&lt;1,"시작일 이전(확인)",IF(M1049=1,"1일째",IF(M1049=2,"2일째",IF(M1049=3,"3일째",IF(M1049&lt;=7,"일주일 이내",IF(M1049&lt;=14,"이주일 이내","15일 이후"))))))))</f>
        <v/>
      </c>
      <c r="O1049" s="0" t="str">
        <f aca="false">IF(AND(COUNTA($A1049:$J1049)&gt;0,OR(클레임조회!$C$4="",AND(ISNUMBER($B1049),$B1049&gt;=클레임조회!$C$4)),OR(클레임조회!$C$5="",AND(ISNUMBER($B1049),$B1049&lt;=클레임조회!$C$5)),OR(클레임조회!$C$6="",$C1049=클레임조회!$C$6),OR(클레임조회!$C$7="",$D1049=클레임조회!$C$7),OR(클레임조회!$C$8="",$E1049=클레임조회!$C$8),OR(클레임조회!$C$9="",$F1049=클레임조회!$C$9),OR(클레임조회!$C$10="",ISNUMBER(SEARCH(클레임조회!$C$10,$C1049&amp;" "&amp;$F1049&amp;" "&amp;$G1049&amp;" "&amp;$H1049)))),COUNT(O$1:O1048)+1,"")</f>
        <v/>
      </c>
      <c r="P1049" s="0" t="str">
        <f aca="false">IF(AND(TRIM(C1049)&lt;&gt;"",COUNTIF(C$2:C1049,C1049)=1),MAX(P$1:P1048)+1,"")</f>
        <v/>
      </c>
      <c r="Q1049" s="0" t="str">
        <f aca="false">IF(AND(TRIM(F1049)&lt;&gt;"",COUNTIF(F$2:F1049,F1049)=1),MAX(Q$1:Q1048)+1,"")</f>
        <v/>
      </c>
    </row>
    <row r="1050" customFormat="false" ht="15" hidden="false" customHeight="false" outlineLevel="0" collapsed="false">
      <c r="A1050" s="9"/>
      <c r="B1050" s="10"/>
      <c r="C1050" s="11"/>
      <c r="D1050" s="11"/>
      <c r="E1050" s="11"/>
      <c r="F1050" s="11"/>
      <c r="G1050" s="12"/>
      <c r="H1050" s="12"/>
      <c r="I1050" s="10"/>
      <c r="J1050" s="12"/>
      <c r="K1050" s="13" t="str">
        <f aca="false">IF(ISNUMBER(B1050),YEAR(B1050),"")</f>
        <v/>
      </c>
      <c r="L1050" s="13" t="str">
        <f aca="false">IF(ISNUMBER(B1050),MONTH(B1050),"")</f>
        <v/>
      </c>
      <c r="M1050" s="13" t="str">
        <f aca="false">IF(AND(ISNUMBER(B1050),ISNUMBER(I1050)),B1050-I1050+1,"")</f>
        <v/>
      </c>
      <c r="N1050" s="14" t="str">
        <f aca="false">IF(B1050="","",IF(M1050="","시작일 미입력",IF(M1050&lt;1,"시작일 이전(확인)",IF(M1050=1,"1일째",IF(M1050=2,"2일째",IF(M1050=3,"3일째",IF(M1050&lt;=7,"일주일 이내",IF(M1050&lt;=14,"이주일 이내","15일 이후"))))))))</f>
        <v/>
      </c>
      <c r="O1050" s="0" t="str">
        <f aca="false">IF(AND(COUNTA($A1050:$J1050)&gt;0,OR(클레임조회!$C$4="",AND(ISNUMBER($B1050),$B1050&gt;=클레임조회!$C$4)),OR(클레임조회!$C$5="",AND(ISNUMBER($B1050),$B1050&lt;=클레임조회!$C$5)),OR(클레임조회!$C$6="",$C1050=클레임조회!$C$6),OR(클레임조회!$C$7="",$D1050=클레임조회!$C$7),OR(클레임조회!$C$8="",$E1050=클레임조회!$C$8),OR(클레임조회!$C$9="",$F1050=클레임조회!$C$9),OR(클레임조회!$C$10="",ISNUMBER(SEARCH(클레임조회!$C$10,$C1050&amp;" "&amp;$F1050&amp;" "&amp;$G1050&amp;" "&amp;$H1050)))),COUNT(O$1:O1049)+1,"")</f>
        <v/>
      </c>
      <c r="P1050" s="0" t="str">
        <f aca="false">IF(AND(TRIM(C1050)&lt;&gt;"",COUNTIF(C$2:C1050,C1050)=1),MAX(P$1:P1049)+1,"")</f>
        <v/>
      </c>
      <c r="Q1050" s="0" t="str">
        <f aca="false">IF(AND(TRIM(F1050)&lt;&gt;"",COUNTIF(F$2:F1050,F1050)=1),MAX(Q$1:Q1049)+1,"")</f>
        <v/>
      </c>
    </row>
    <row r="1051" customFormat="false" ht="15" hidden="false" customHeight="false" outlineLevel="0" collapsed="false">
      <c r="A1051" s="9"/>
      <c r="B1051" s="10"/>
      <c r="C1051" s="11"/>
      <c r="D1051" s="11"/>
      <c r="E1051" s="11"/>
      <c r="F1051" s="11"/>
      <c r="G1051" s="12"/>
      <c r="H1051" s="12"/>
      <c r="I1051" s="10"/>
      <c r="J1051" s="12"/>
      <c r="K1051" s="13" t="str">
        <f aca="false">IF(ISNUMBER(B1051),YEAR(B1051),"")</f>
        <v/>
      </c>
      <c r="L1051" s="13" t="str">
        <f aca="false">IF(ISNUMBER(B1051),MONTH(B1051),"")</f>
        <v/>
      </c>
      <c r="M1051" s="13" t="str">
        <f aca="false">IF(AND(ISNUMBER(B1051),ISNUMBER(I1051)),B1051-I1051+1,"")</f>
        <v/>
      </c>
      <c r="N1051" s="14" t="str">
        <f aca="false">IF(B1051="","",IF(M1051="","시작일 미입력",IF(M1051&lt;1,"시작일 이전(확인)",IF(M1051=1,"1일째",IF(M1051=2,"2일째",IF(M1051=3,"3일째",IF(M1051&lt;=7,"일주일 이내",IF(M1051&lt;=14,"이주일 이내","15일 이후"))))))))</f>
        <v/>
      </c>
      <c r="O1051" s="0" t="str">
        <f aca="false">IF(AND(COUNTA($A1051:$J1051)&gt;0,OR(클레임조회!$C$4="",AND(ISNUMBER($B1051),$B1051&gt;=클레임조회!$C$4)),OR(클레임조회!$C$5="",AND(ISNUMBER($B1051),$B1051&lt;=클레임조회!$C$5)),OR(클레임조회!$C$6="",$C1051=클레임조회!$C$6),OR(클레임조회!$C$7="",$D1051=클레임조회!$C$7),OR(클레임조회!$C$8="",$E1051=클레임조회!$C$8),OR(클레임조회!$C$9="",$F1051=클레임조회!$C$9),OR(클레임조회!$C$10="",ISNUMBER(SEARCH(클레임조회!$C$10,$C1051&amp;" "&amp;$F1051&amp;" "&amp;$G1051&amp;" "&amp;$H1051)))),COUNT(O$1:O1050)+1,"")</f>
        <v/>
      </c>
      <c r="P1051" s="0" t="str">
        <f aca="false">IF(AND(TRIM(C1051)&lt;&gt;"",COUNTIF(C$2:C1051,C1051)=1),MAX(P$1:P1050)+1,"")</f>
        <v/>
      </c>
      <c r="Q1051" s="0" t="str">
        <f aca="false">IF(AND(TRIM(F1051)&lt;&gt;"",COUNTIF(F$2:F1051,F1051)=1),MAX(Q$1:Q1050)+1,"")</f>
        <v/>
      </c>
    </row>
    <row r="1052" customFormat="false" ht="15" hidden="false" customHeight="false" outlineLevel="0" collapsed="false">
      <c r="A1052" s="9"/>
      <c r="B1052" s="10"/>
      <c r="C1052" s="11"/>
      <c r="D1052" s="11"/>
      <c r="E1052" s="11"/>
      <c r="F1052" s="11"/>
      <c r="G1052" s="12"/>
      <c r="H1052" s="12"/>
      <c r="I1052" s="10"/>
      <c r="J1052" s="12"/>
      <c r="K1052" s="13" t="str">
        <f aca="false">IF(ISNUMBER(B1052),YEAR(B1052),"")</f>
        <v/>
      </c>
      <c r="L1052" s="13" t="str">
        <f aca="false">IF(ISNUMBER(B1052),MONTH(B1052),"")</f>
        <v/>
      </c>
      <c r="M1052" s="13" t="str">
        <f aca="false">IF(AND(ISNUMBER(B1052),ISNUMBER(I1052)),B1052-I1052+1,"")</f>
        <v/>
      </c>
      <c r="N1052" s="14" t="str">
        <f aca="false">IF(B1052="","",IF(M1052="","시작일 미입력",IF(M1052&lt;1,"시작일 이전(확인)",IF(M1052=1,"1일째",IF(M1052=2,"2일째",IF(M1052=3,"3일째",IF(M1052&lt;=7,"일주일 이내",IF(M1052&lt;=14,"이주일 이내","15일 이후"))))))))</f>
        <v/>
      </c>
      <c r="O1052" s="0" t="str">
        <f aca="false">IF(AND(COUNTA($A1052:$J1052)&gt;0,OR(클레임조회!$C$4="",AND(ISNUMBER($B1052),$B1052&gt;=클레임조회!$C$4)),OR(클레임조회!$C$5="",AND(ISNUMBER($B1052),$B1052&lt;=클레임조회!$C$5)),OR(클레임조회!$C$6="",$C1052=클레임조회!$C$6),OR(클레임조회!$C$7="",$D1052=클레임조회!$C$7),OR(클레임조회!$C$8="",$E1052=클레임조회!$C$8),OR(클레임조회!$C$9="",$F1052=클레임조회!$C$9),OR(클레임조회!$C$10="",ISNUMBER(SEARCH(클레임조회!$C$10,$C1052&amp;" "&amp;$F1052&amp;" "&amp;$G1052&amp;" "&amp;$H1052)))),COUNT(O$1:O1051)+1,"")</f>
        <v/>
      </c>
      <c r="P1052" s="0" t="str">
        <f aca="false">IF(AND(TRIM(C1052)&lt;&gt;"",COUNTIF(C$2:C1052,C1052)=1),MAX(P$1:P1051)+1,"")</f>
        <v/>
      </c>
      <c r="Q1052" s="0" t="str">
        <f aca="false">IF(AND(TRIM(F1052)&lt;&gt;"",COUNTIF(F$2:F1052,F1052)=1),MAX(Q$1:Q1051)+1,"")</f>
        <v/>
      </c>
    </row>
    <row r="1053" customFormat="false" ht="15" hidden="false" customHeight="false" outlineLevel="0" collapsed="false">
      <c r="A1053" s="9"/>
      <c r="B1053" s="10"/>
      <c r="C1053" s="11"/>
      <c r="D1053" s="11"/>
      <c r="E1053" s="11"/>
      <c r="F1053" s="11"/>
      <c r="G1053" s="12"/>
      <c r="H1053" s="12"/>
      <c r="I1053" s="10"/>
      <c r="J1053" s="12"/>
      <c r="K1053" s="13" t="str">
        <f aca="false">IF(ISNUMBER(B1053),YEAR(B1053),"")</f>
        <v/>
      </c>
      <c r="L1053" s="13" t="str">
        <f aca="false">IF(ISNUMBER(B1053),MONTH(B1053),"")</f>
        <v/>
      </c>
      <c r="M1053" s="13" t="str">
        <f aca="false">IF(AND(ISNUMBER(B1053),ISNUMBER(I1053)),B1053-I1053+1,"")</f>
        <v/>
      </c>
      <c r="N1053" s="14" t="str">
        <f aca="false">IF(B1053="","",IF(M1053="","시작일 미입력",IF(M1053&lt;1,"시작일 이전(확인)",IF(M1053=1,"1일째",IF(M1053=2,"2일째",IF(M1053=3,"3일째",IF(M1053&lt;=7,"일주일 이내",IF(M1053&lt;=14,"이주일 이내","15일 이후"))))))))</f>
        <v/>
      </c>
      <c r="O1053" s="0" t="str">
        <f aca="false">IF(AND(COUNTA($A1053:$J1053)&gt;0,OR(클레임조회!$C$4="",AND(ISNUMBER($B1053),$B1053&gt;=클레임조회!$C$4)),OR(클레임조회!$C$5="",AND(ISNUMBER($B1053),$B1053&lt;=클레임조회!$C$5)),OR(클레임조회!$C$6="",$C1053=클레임조회!$C$6),OR(클레임조회!$C$7="",$D1053=클레임조회!$C$7),OR(클레임조회!$C$8="",$E1053=클레임조회!$C$8),OR(클레임조회!$C$9="",$F1053=클레임조회!$C$9),OR(클레임조회!$C$10="",ISNUMBER(SEARCH(클레임조회!$C$10,$C1053&amp;" "&amp;$F1053&amp;" "&amp;$G1053&amp;" "&amp;$H1053)))),COUNT(O$1:O1052)+1,"")</f>
        <v/>
      </c>
      <c r="P1053" s="0" t="str">
        <f aca="false">IF(AND(TRIM(C1053)&lt;&gt;"",COUNTIF(C$2:C1053,C1053)=1),MAX(P$1:P1052)+1,"")</f>
        <v/>
      </c>
      <c r="Q1053" s="0" t="str">
        <f aca="false">IF(AND(TRIM(F1053)&lt;&gt;"",COUNTIF(F$2:F1053,F1053)=1),MAX(Q$1:Q1052)+1,"")</f>
        <v/>
      </c>
    </row>
    <row r="1054" customFormat="false" ht="15" hidden="false" customHeight="false" outlineLevel="0" collapsed="false">
      <c r="A1054" s="9"/>
      <c r="B1054" s="10"/>
      <c r="C1054" s="11"/>
      <c r="D1054" s="11"/>
      <c r="E1054" s="11"/>
      <c r="F1054" s="11"/>
      <c r="G1054" s="12"/>
      <c r="H1054" s="12"/>
      <c r="I1054" s="10"/>
      <c r="J1054" s="12"/>
      <c r="K1054" s="13" t="str">
        <f aca="false">IF(ISNUMBER(B1054),YEAR(B1054),"")</f>
        <v/>
      </c>
      <c r="L1054" s="13" t="str">
        <f aca="false">IF(ISNUMBER(B1054),MONTH(B1054),"")</f>
        <v/>
      </c>
      <c r="M1054" s="13" t="str">
        <f aca="false">IF(AND(ISNUMBER(B1054),ISNUMBER(I1054)),B1054-I1054+1,"")</f>
        <v/>
      </c>
      <c r="N1054" s="14" t="str">
        <f aca="false">IF(B1054="","",IF(M1054="","시작일 미입력",IF(M1054&lt;1,"시작일 이전(확인)",IF(M1054=1,"1일째",IF(M1054=2,"2일째",IF(M1054=3,"3일째",IF(M1054&lt;=7,"일주일 이내",IF(M1054&lt;=14,"이주일 이내","15일 이후"))))))))</f>
        <v/>
      </c>
      <c r="O1054" s="0" t="str">
        <f aca="false">IF(AND(COUNTA($A1054:$J1054)&gt;0,OR(클레임조회!$C$4="",AND(ISNUMBER($B1054),$B1054&gt;=클레임조회!$C$4)),OR(클레임조회!$C$5="",AND(ISNUMBER($B1054),$B1054&lt;=클레임조회!$C$5)),OR(클레임조회!$C$6="",$C1054=클레임조회!$C$6),OR(클레임조회!$C$7="",$D1054=클레임조회!$C$7),OR(클레임조회!$C$8="",$E1054=클레임조회!$C$8),OR(클레임조회!$C$9="",$F1054=클레임조회!$C$9),OR(클레임조회!$C$10="",ISNUMBER(SEARCH(클레임조회!$C$10,$C1054&amp;" "&amp;$F1054&amp;" "&amp;$G1054&amp;" "&amp;$H1054)))),COUNT(O$1:O1053)+1,"")</f>
        <v/>
      </c>
      <c r="P1054" s="0" t="str">
        <f aca="false">IF(AND(TRIM(C1054)&lt;&gt;"",COUNTIF(C$2:C1054,C1054)=1),MAX(P$1:P1053)+1,"")</f>
        <v/>
      </c>
      <c r="Q1054" s="0" t="str">
        <f aca="false">IF(AND(TRIM(F1054)&lt;&gt;"",COUNTIF(F$2:F1054,F1054)=1),MAX(Q$1:Q1053)+1,"")</f>
        <v/>
      </c>
    </row>
    <row r="1055" customFormat="false" ht="15" hidden="false" customHeight="false" outlineLevel="0" collapsed="false">
      <c r="A1055" s="9"/>
      <c r="B1055" s="10"/>
      <c r="C1055" s="11"/>
      <c r="D1055" s="11"/>
      <c r="E1055" s="11"/>
      <c r="F1055" s="11"/>
      <c r="G1055" s="12"/>
      <c r="H1055" s="12"/>
      <c r="I1055" s="10"/>
      <c r="J1055" s="12"/>
      <c r="K1055" s="13" t="str">
        <f aca="false">IF(ISNUMBER(B1055),YEAR(B1055),"")</f>
        <v/>
      </c>
      <c r="L1055" s="13" t="str">
        <f aca="false">IF(ISNUMBER(B1055),MONTH(B1055),"")</f>
        <v/>
      </c>
      <c r="M1055" s="13" t="str">
        <f aca="false">IF(AND(ISNUMBER(B1055),ISNUMBER(I1055)),B1055-I1055+1,"")</f>
        <v/>
      </c>
      <c r="N1055" s="14" t="str">
        <f aca="false">IF(B1055="","",IF(M1055="","시작일 미입력",IF(M1055&lt;1,"시작일 이전(확인)",IF(M1055=1,"1일째",IF(M1055=2,"2일째",IF(M1055=3,"3일째",IF(M1055&lt;=7,"일주일 이내",IF(M1055&lt;=14,"이주일 이내","15일 이후"))))))))</f>
        <v/>
      </c>
      <c r="O1055" s="0" t="str">
        <f aca="false">IF(AND(COUNTA($A1055:$J1055)&gt;0,OR(클레임조회!$C$4="",AND(ISNUMBER($B1055),$B1055&gt;=클레임조회!$C$4)),OR(클레임조회!$C$5="",AND(ISNUMBER($B1055),$B1055&lt;=클레임조회!$C$5)),OR(클레임조회!$C$6="",$C1055=클레임조회!$C$6),OR(클레임조회!$C$7="",$D1055=클레임조회!$C$7),OR(클레임조회!$C$8="",$E1055=클레임조회!$C$8),OR(클레임조회!$C$9="",$F1055=클레임조회!$C$9),OR(클레임조회!$C$10="",ISNUMBER(SEARCH(클레임조회!$C$10,$C1055&amp;" "&amp;$F1055&amp;" "&amp;$G1055&amp;" "&amp;$H1055)))),COUNT(O$1:O1054)+1,"")</f>
        <v/>
      </c>
      <c r="P1055" s="0" t="str">
        <f aca="false">IF(AND(TRIM(C1055)&lt;&gt;"",COUNTIF(C$2:C1055,C1055)=1),MAX(P$1:P1054)+1,"")</f>
        <v/>
      </c>
      <c r="Q1055" s="0" t="str">
        <f aca="false">IF(AND(TRIM(F1055)&lt;&gt;"",COUNTIF(F$2:F1055,F1055)=1),MAX(Q$1:Q1054)+1,"")</f>
        <v/>
      </c>
    </row>
    <row r="1056" customFormat="false" ht="15" hidden="false" customHeight="false" outlineLevel="0" collapsed="false">
      <c r="A1056" s="9"/>
      <c r="B1056" s="10"/>
      <c r="C1056" s="11"/>
      <c r="D1056" s="11"/>
      <c r="E1056" s="11"/>
      <c r="F1056" s="11"/>
      <c r="G1056" s="12"/>
      <c r="H1056" s="12"/>
      <c r="I1056" s="10"/>
      <c r="J1056" s="12"/>
      <c r="K1056" s="13" t="str">
        <f aca="false">IF(ISNUMBER(B1056),YEAR(B1056),"")</f>
        <v/>
      </c>
      <c r="L1056" s="13" t="str">
        <f aca="false">IF(ISNUMBER(B1056),MONTH(B1056),"")</f>
        <v/>
      </c>
      <c r="M1056" s="13" t="str">
        <f aca="false">IF(AND(ISNUMBER(B1056),ISNUMBER(I1056)),B1056-I1056+1,"")</f>
        <v/>
      </c>
      <c r="N1056" s="14" t="str">
        <f aca="false">IF(B1056="","",IF(M1056="","시작일 미입력",IF(M1056&lt;1,"시작일 이전(확인)",IF(M1056=1,"1일째",IF(M1056=2,"2일째",IF(M1056=3,"3일째",IF(M1056&lt;=7,"일주일 이내",IF(M1056&lt;=14,"이주일 이내","15일 이후"))))))))</f>
        <v/>
      </c>
      <c r="O1056" s="0" t="str">
        <f aca="false">IF(AND(COUNTA($A1056:$J1056)&gt;0,OR(클레임조회!$C$4="",AND(ISNUMBER($B1056),$B1056&gt;=클레임조회!$C$4)),OR(클레임조회!$C$5="",AND(ISNUMBER($B1056),$B1056&lt;=클레임조회!$C$5)),OR(클레임조회!$C$6="",$C1056=클레임조회!$C$6),OR(클레임조회!$C$7="",$D1056=클레임조회!$C$7),OR(클레임조회!$C$8="",$E1056=클레임조회!$C$8),OR(클레임조회!$C$9="",$F1056=클레임조회!$C$9),OR(클레임조회!$C$10="",ISNUMBER(SEARCH(클레임조회!$C$10,$C1056&amp;" "&amp;$F1056&amp;" "&amp;$G1056&amp;" "&amp;$H1056)))),COUNT(O$1:O1055)+1,"")</f>
        <v/>
      </c>
      <c r="P1056" s="0" t="str">
        <f aca="false">IF(AND(TRIM(C1056)&lt;&gt;"",COUNTIF(C$2:C1056,C1056)=1),MAX(P$1:P1055)+1,"")</f>
        <v/>
      </c>
      <c r="Q1056" s="0" t="str">
        <f aca="false">IF(AND(TRIM(F1056)&lt;&gt;"",COUNTIF(F$2:F1056,F1056)=1),MAX(Q$1:Q1055)+1,"")</f>
        <v/>
      </c>
    </row>
    <row r="1057" customFormat="false" ht="15" hidden="false" customHeight="false" outlineLevel="0" collapsed="false">
      <c r="A1057" s="9"/>
      <c r="B1057" s="10"/>
      <c r="C1057" s="11"/>
      <c r="D1057" s="11"/>
      <c r="E1057" s="11"/>
      <c r="F1057" s="11"/>
      <c r="G1057" s="12"/>
      <c r="H1057" s="12"/>
      <c r="I1057" s="10"/>
      <c r="J1057" s="12"/>
      <c r="K1057" s="13" t="str">
        <f aca="false">IF(ISNUMBER(B1057),YEAR(B1057),"")</f>
        <v/>
      </c>
      <c r="L1057" s="13" t="str">
        <f aca="false">IF(ISNUMBER(B1057),MONTH(B1057),"")</f>
        <v/>
      </c>
      <c r="M1057" s="13" t="str">
        <f aca="false">IF(AND(ISNUMBER(B1057),ISNUMBER(I1057)),B1057-I1057+1,"")</f>
        <v/>
      </c>
      <c r="N1057" s="14" t="str">
        <f aca="false">IF(B1057="","",IF(M1057="","시작일 미입력",IF(M1057&lt;1,"시작일 이전(확인)",IF(M1057=1,"1일째",IF(M1057=2,"2일째",IF(M1057=3,"3일째",IF(M1057&lt;=7,"일주일 이내",IF(M1057&lt;=14,"이주일 이내","15일 이후"))))))))</f>
        <v/>
      </c>
      <c r="O1057" s="0" t="str">
        <f aca="false">IF(AND(COUNTA($A1057:$J1057)&gt;0,OR(클레임조회!$C$4="",AND(ISNUMBER($B1057),$B1057&gt;=클레임조회!$C$4)),OR(클레임조회!$C$5="",AND(ISNUMBER($B1057),$B1057&lt;=클레임조회!$C$5)),OR(클레임조회!$C$6="",$C1057=클레임조회!$C$6),OR(클레임조회!$C$7="",$D1057=클레임조회!$C$7),OR(클레임조회!$C$8="",$E1057=클레임조회!$C$8),OR(클레임조회!$C$9="",$F1057=클레임조회!$C$9),OR(클레임조회!$C$10="",ISNUMBER(SEARCH(클레임조회!$C$10,$C1057&amp;" "&amp;$F1057&amp;" "&amp;$G1057&amp;" "&amp;$H1057)))),COUNT(O$1:O1056)+1,"")</f>
        <v/>
      </c>
      <c r="P1057" s="0" t="str">
        <f aca="false">IF(AND(TRIM(C1057)&lt;&gt;"",COUNTIF(C$2:C1057,C1057)=1),MAX(P$1:P1056)+1,"")</f>
        <v/>
      </c>
      <c r="Q1057" s="0" t="str">
        <f aca="false">IF(AND(TRIM(F1057)&lt;&gt;"",COUNTIF(F$2:F1057,F1057)=1),MAX(Q$1:Q1056)+1,"")</f>
        <v/>
      </c>
    </row>
    <row r="1058" customFormat="false" ht="15" hidden="false" customHeight="false" outlineLevel="0" collapsed="false">
      <c r="A1058" s="9"/>
      <c r="B1058" s="10"/>
      <c r="C1058" s="11"/>
      <c r="D1058" s="11"/>
      <c r="E1058" s="11"/>
      <c r="F1058" s="11"/>
      <c r="G1058" s="12"/>
      <c r="H1058" s="12"/>
      <c r="I1058" s="10"/>
      <c r="J1058" s="12"/>
      <c r="K1058" s="13" t="str">
        <f aca="false">IF(ISNUMBER(B1058),YEAR(B1058),"")</f>
        <v/>
      </c>
      <c r="L1058" s="13" t="str">
        <f aca="false">IF(ISNUMBER(B1058),MONTH(B1058),"")</f>
        <v/>
      </c>
      <c r="M1058" s="13" t="str">
        <f aca="false">IF(AND(ISNUMBER(B1058),ISNUMBER(I1058)),B1058-I1058+1,"")</f>
        <v/>
      </c>
      <c r="N1058" s="14" t="str">
        <f aca="false">IF(B1058="","",IF(M1058="","시작일 미입력",IF(M1058&lt;1,"시작일 이전(확인)",IF(M1058=1,"1일째",IF(M1058=2,"2일째",IF(M1058=3,"3일째",IF(M1058&lt;=7,"일주일 이내",IF(M1058&lt;=14,"이주일 이내","15일 이후"))))))))</f>
        <v/>
      </c>
      <c r="O1058" s="0" t="str">
        <f aca="false">IF(AND(COUNTA($A1058:$J1058)&gt;0,OR(클레임조회!$C$4="",AND(ISNUMBER($B1058),$B1058&gt;=클레임조회!$C$4)),OR(클레임조회!$C$5="",AND(ISNUMBER($B1058),$B1058&lt;=클레임조회!$C$5)),OR(클레임조회!$C$6="",$C1058=클레임조회!$C$6),OR(클레임조회!$C$7="",$D1058=클레임조회!$C$7),OR(클레임조회!$C$8="",$E1058=클레임조회!$C$8),OR(클레임조회!$C$9="",$F1058=클레임조회!$C$9),OR(클레임조회!$C$10="",ISNUMBER(SEARCH(클레임조회!$C$10,$C1058&amp;" "&amp;$F1058&amp;" "&amp;$G1058&amp;" "&amp;$H1058)))),COUNT(O$1:O1057)+1,"")</f>
        <v/>
      </c>
      <c r="P1058" s="0" t="str">
        <f aca="false">IF(AND(TRIM(C1058)&lt;&gt;"",COUNTIF(C$2:C1058,C1058)=1),MAX(P$1:P1057)+1,"")</f>
        <v/>
      </c>
      <c r="Q1058" s="0" t="str">
        <f aca="false">IF(AND(TRIM(F1058)&lt;&gt;"",COUNTIF(F$2:F1058,F1058)=1),MAX(Q$1:Q1057)+1,"")</f>
        <v/>
      </c>
    </row>
    <row r="1059" customFormat="false" ht="15" hidden="false" customHeight="false" outlineLevel="0" collapsed="false">
      <c r="A1059" s="9"/>
      <c r="B1059" s="10"/>
      <c r="C1059" s="11"/>
      <c r="D1059" s="11"/>
      <c r="E1059" s="11"/>
      <c r="F1059" s="11"/>
      <c r="G1059" s="12"/>
      <c r="H1059" s="12"/>
      <c r="I1059" s="10"/>
      <c r="J1059" s="12"/>
      <c r="K1059" s="13" t="str">
        <f aca="false">IF(ISNUMBER(B1059),YEAR(B1059),"")</f>
        <v/>
      </c>
      <c r="L1059" s="13" t="str">
        <f aca="false">IF(ISNUMBER(B1059),MONTH(B1059),"")</f>
        <v/>
      </c>
      <c r="M1059" s="13" t="str">
        <f aca="false">IF(AND(ISNUMBER(B1059),ISNUMBER(I1059)),B1059-I1059+1,"")</f>
        <v/>
      </c>
      <c r="N1059" s="14" t="str">
        <f aca="false">IF(B1059="","",IF(M1059="","시작일 미입력",IF(M1059&lt;1,"시작일 이전(확인)",IF(M1059=1,"1일째",IF(M1059=2,"2일째",IF(M1059=3,"3일째",IF(M1059&lt;=7,"일주일 이내",IF(M1059&lt;=14,"이주일 이내","15일 이후"))))))))</f>
        <v/>
      </c>
      <c r="O1059" s="0" t="str">
        <f aca="false">IF(AND(COUNTA($A1059:$J1059)&gt;0,OR(클레임조회!$C$4="",AND(ISNUMBER($B1059),$B1059&gt;=클레임조회!$C$4)),OR(클레임조회!$C$5="",AND(ISNUMBER($B1059),$B1059&lt;=클레임조회!$C$5)),OR(클레임조회!$C$6="",$C1059=클레임조회!$C$6),OR(클레임조회!$C$7="",$D1059=클레임조회!$C$7),OR(클레임조회!$C$8="",$E1059=클레임조회!$C$8),OR(클레임조회!$C$9="",$F1059=클레임조회!$C$9),OR(클레임조회!$C$10="",ISNUMBER(SEARCH(클레임조회!$C$10,$C1059&amp;" "&amp;$F1059&amp;" "&amp;$G1059&amp;" "&amp;$H1059)))),COUNT(O$1:O1058)+1,"")</f>
        <v/>
      </c>
      <c r="P1059" s="0" t="str">
        <f aca="false">IF(AND(TRIM(C1059)&lt;&gt;"",COUNTIF(C$2:C1059,C1059)=1),MAX(P$1:P1058)+1,"")</f>
        <v/>
      </c>
      <c r="Q1059" s="0" t="str">
        <f aca="false">IF(AND(TRIM(F1059)&lt;&gt;"",COUNTIF(F$2:F1059,F1059)=1),MAX(Q$1:Q1058)+1,"")</f>
        <v/>
      </c>
    </row>
    <row r="1060" customFormat="false" ht="15" hidden="false" customHeight="false" outlineLevel="0" collapsed="false">
      <c r="A1060" s="9"/>
      <c r="B1060" s="10"/>
      <c r="C1060" s="11"/>
      <c r="D1060" s="11"/>
      <c r="E1060" s="11"/>
      <c r="F1060" s="11"/>
      <c r="G1060" s="12"/>
      <c r="H1060" s="12"/>
      <c r="I1060" s="10"/>
      <c r="J1060" s="12"/>
      <c r="K1060" s="13" t="str">
        <f aca="false">IF(ISNUMBER(B1060),YEAR(B1060),"")</f>
        <v/>
      </c>
      <c r="L1060" s="13" t="str">
        <f aca="false">IF(ISNUMBER(B1060),MONTH(B1060),"")</f>
        <v/>
      </c>
      <c r="M1060" s="13" t="str">
        <f aca="false">IF(AND(ISNUMBER(B1060),ISNUMBER(I1060)),B1060-I1060+1,"")</f>
        <v/>
      </c>
      <c r="N1060" s="14" t="str">
        <f aca="false">IF(B1060="","",IF(M1060="","시작일 미입력",IF(M1060&lt;1,"시작일 이전(확인)",IF(M1060=1,"1일째",IF(M1060=2,"2일째",IF(M1060=3,"3일째",IF(M1060&lt;=7,"일주일 이내",IF(M1060&lt;=14,"이주일 이내","15일 이후"))))))))</f>
        <v/>
      </c>
      <c r="O1060" s="0" t="str">
        <f aca="false">IF(AND(COUNTA($A1060:$J1060)&gt;0,OR(클레임조회!$C$4="",AND(ISNUMBER($B1060),$B1060&gt;=클레임조회!$C$4)),OR(클레임조회!$C$5="",AND(ISNUMBER($B1060),$B1060&lt;=클레임조회!$C$5)),OR(클레임조회!$C$6="",$C1060=클레임조회!$C$6),OR(클레임조회!$C$7="",$D1060=클레임조회!$C$7),OR(클레임조회!$C$8="",$E1060=클레임조회!$C$8),OR(클레임조회!$C$9="",$F1060=클레임조회!$C$9),OR(클레임조회!$C$10="",ISNUMBER(SEARCH(클레임조회!$C$10,$C1060&amp;" "&amp;$F1060&amp;" "&amp;$G1060&amp;" "&amp;$H1060)))),COUNT(O$1:O1059)+1,"")</f>
        <v/>
      </c>
      <c r="P1060" s="0" t="str">
        <f aca="false">IF(AND(TRIM(C1060)&lt;&gt;"",COUNTIF(C$2:C1060,C1060)=1),MAX(P$1:P1059)+1,"")</f>
        <v/>
      </c>
      <c r="Q1060" s="0" t="str">
        <f aca="false">IF(AND(TRIM(F1060)&lt;&gt;"",COUNTIF(F$2:F1060,F1060)=1),MAX(Q$1:Q1059)+1,"")</f>
        <v/>
      </c>
    </row>
    <row r="1061" customFormat="false" ht="15" hidden="false" customHeight="false" outlineLevel="0" collapsed="false">
      <c r="A1061" s="9"/>
      <c r="B1061" s="10"/>
      <c r="C1061" s="11"/>
      <c r="D1061" s="11"/>
      <c r="E1061" s="11"/>
      <c r="F1061" s="11"/>
      <c r="G1061" s="12"/>
      <c r="H1061" s="12"/>
      <c r="I1061" s="10"/>
      <c r="J1061" s="12"/>
      <c r="K1061" s="13" t="str">
        <f aca="false">IF(ISNUMBER(B1061),YEAR(B1061),"")</f>
        <v/>
      </c>
      <c r="L1061" s="13" t="str">
        <f aca="false">IF(ISNUMBER(B1061),MONTH(B1061),"")</f>
        <v/>
      </c>
      <c r="M1061" s="13" t="str">
        <f aca="false">IF(AND(ISNUMBER(B1061),ISNUMBER(I1061)),B1061-I1061+1,"")</f>
        <v/>
      </c>
      <c r="N1061" s="14" t="str">
        <f aca="false">IF(B1061="","",IF(M1061="","시작일 미입력",IF(M1061&lt;1,"시작일 이전(확인)",IF(M1061=1,"1일째",IF(M1061=2,"2일째",IF(M1061=3,"3일째",IF(M1061&lt;=7,"일주일 이내",IF(M1061&lt;=14,"이주일 이내","15일 이후"))))))))</f>
        <v/>
      </c>
      <c r="O1061" s="0" t="str">
        <f aca="false">IF(AND(COUNTA($A1061:$J1061)&gt;0,OR(클레임조회!$C$4="",AND(ISNUMBER($B1061),$B1061&gt;=클레임조회!$C$4)),OR(클레임조회!$C$5="",AND(ISNUMBER($B1061),$B1061&lt;=클레임조회!$C$5)),OR(클레임조회!$C$6="",$C1061=클레임조회!$C$6),OR(클레임조회!$C$7="",$D1061=클레임조회!$C$7),OR(클레임조회!$C$8="",$E1061=클레임조회!$C$8),OR(클레임조회!$C$9="",$F1061=클레임조회!$C$9),OR(클레임조회!$C$10="",ISNUMBER(SEARCH(클레임조회!$C$10,$C1061&amp;" "&amp;$F1061&amp;" "&amp;$G1061&amp;" "&amp;$H1061)))),COUNT(O$1:O1060)+1,"")</f>
        <v/>
      </c>
      <c r="P1061" s="0" t="str">
        <f aca="false">IF(AND(TRIM(C1061)&lt;&gt;"",COUNTIF(C$2:C1061,C1061)=1),MAX(P$1:P1060)+1,"")</f>
        <v/>
      </c>
      <c r="Q1061" s="0" t="str">
        <f aca="false">IF(AND(TRIM(F1061)&lt;&gt;"",COUNTIF(F$2:F1061,F1061)=1),MAX(Q$1:Q1060)+1,"")</f>
        <v/>
      </c>
    </row>
    <row r="1062" customFormat="false" ht="15" hidden="false" customHeight="false" outlineLevel="0" collapsed="false">
      <c r="A1062" s="9"/>
      <c r="B1062" s="10"/>
      <c r="C1062" s="11"/>
      <c r="D1062" s="11"/>
      <c r="E1062" s="11"/>
      <c r="F1062" s="11"/>
      <c r="G1062" s="12"/>
      <c r="H1062" s="12"/>
      <c r="I1062" s="10"/>
      <c r="J1062" s="12"/>
      <c r="K1062" s="13" t="str">
        <f aca="false">IF(ISNUMBER(B1062),YEAR(B1062),"")</f>
        <v/>
      </c>
      <c r="L1062" s="13" t="str">
        <f aca="false">IF(ISNUMBER(B1062),MONTH(B1062),"")</f>
        <v/>
      </c>
      <c r="M1062" s="13" t="str">
        <f aca="false">IF(AND(ISNUMBER(B1062),ISNUMBER(I1062)),B1062-I1062+1,"")</f>
        <v/>
      </c>
      <c r="N1062" s="14" t="str">
        <f aca="false">IF(B1062="","",IF(M1062="","시작일 미입력",IF(M1062&lt;1,"시작일 이전(확인)",IF(M1062=1,"1일째",IF(M1062=2,"2일째",IF(M1062=3,"3일째",IF(M1062&lt;=7,"일주일 이내",IF(M1062&lt;=14,"이주일 이내","15일 이후"))))))))</f>
        <v/>
      </c>
      <c r="O1062" s="0" t="str">
        <f aca="false">IF(AND(COUNTA($A1062:$J1062)&gt;0,OR(클레임조회!$C$4="",AND(ISNUMBER($B1062),$B1062&gt;=클레임조회!$C$4)),OR(클레임조회!$C$5="",AND(ISNUMBER($B1062),$B1062&lt;=클레임조회!$C$5)),OR(클레임조회!$C$6="",$C1062=클레임조회!$C$6),OR(클레임조회!$C$7="",$D1062=클레임조회!$C$7),OR(클레임조회!$C$8="",$E1062=클레임조회!$C$8),OR(클레임조회!$C$9="",$F1062=클레임조회!$C$9),OR(클레임조회!$C$10="",ISNUMBER(SEARCH(클레임조회!$C$10,$C1062&amp;" "&amp;$F1062&amp;" "&amp;$G1062&amp;" "&amp;$H1062)))),COUNT(O$1:O1061)+1,"")</f>
        <v/>
      </c>
      <c r="P1062" s="0" t="str">
        <f aca="false">IF(AND(TRIM(C1062)&lt;&gt;"",COUNTIF(C$2:C1062,C1062)=1),MAX(P$1:P1061)+1,"")</f>
        <v/>
      </c>
      <c r="Q1062" s="0" t="str">
        <f aca="false">IF(AND(TRIM(F1062)&lt;&gt;"",COUNTIF(F$2:F1062,F1062)=1),MAX(Q$1:Q1061)+1,"")</f>
        <v/>
      </c>
    </row>
    <row r="1063" customFormat="false" ht="15" hidden="false" customHeight="false" outlineLevel="0" collapsed="false">
      <c r="A1063" s="9"/>
      <c r="B1063" s="10"/>
      <c r="C1063" s="11"/>
      <c r="D1063" s="11"/>
      <c r="E1063" s="11"/>
      <c r="F1063" s="11"/>
      <c r="G1063" s="12"/>
      <c r="H1063" s="12"/>
      <c r="I1063" s="10"/>
      <c r="J1063" s="12"/>
      <c r="K1063" s="13" t="str">
        <f aca="false">IF(ISNUMBER(B1063),YEAR(B1063),"")</f>
        <v/>
      </c>
      <c r="L1063" s="13" t="str">
        <f aca="false">IF(ISNUMBER(B1063),MONTH(B1063),"")</f>
        <v/>
      </c>
      <c r="M1063" s="13" t="str">
        <f aca="false">IF(AND(ISNUMBER(B1063),ISNUMBER(I1063)),B1063-I1063+1,"")</f>
        <v/>
      </c>
      <c r="N1063" s="14" t="str">
        <f aca="false">IF(B1063="","",IF(M1063="","시작일 미입력",IF(M1063&lt;1,"시작일 이전(확인)",IF(M1063=1,"1일째",IF(M1063=2,"2일째",IF(M1063=3,"3일째",IF(M1063&lt;=7,"일주일 이내",IF(M1063&lt;=14,"이주일 이내","15일 이후"))))))))</f>
        <v/>
      </c>
      <c r="O1063" s="0" t="str">
        <f aca="false">IF(AND(COUNTA($A1063:$J1063)&gt;0,OR(클레임조회!$C$4="",AND(ISNUMBER($B1063),$B1063&gt;=클레임조회!$C$4)),OR(클레임조회!$C$5="",AND(ISNUMBER($B1063),$B1063&lt;=클레임조회!$C$5)),OR(클레임조회!$C$6="",$C1063=클레임조회!$C$6),OR(클레임조회!$C$7="",$D1063=클레임조회!$C$7),OR(클레임조회!$C$8="",$E1063=클레임조회!$C$8),OR(클레임조회!$C$9="",$F1063=클레임조회!$C$9),OR(클레임조회!$C$10="",ISNUMBER(SEARCH(클레임조회!$C$10,$C1063&amp;" "&amp;$F1063&amp;" "&amp;$G1063&amp;" "&amp;$H1063)))),COUNT(O$1:O1062)+1,"")</f>
        <v/>
      </c>
      <c r="P1063" s="0" t="str">
        <f aca="false">IF(AND(TRIM(C1063)&lt;&gt;"",COUNTIF(C$2:C1063,C1063)=1),MAX(P$1:P1062)+1,"")</f>
        <v/>
      </c>
      <c r="Q1063" s="0" t="str">
        <f aca="false">IF(AND(TRIM(F1063)&lt;&gt;"",COUNTIF(F$2:F1063,F1063)=1),MAX(Q$1:Q1062)+1,"")</f>
        <v/>
      </c>
    </row>
    <row r="1064" customFormat="false" ht="15" hidden="false" customHeight="false" outlineLevel="0" collapsed="false">
      <c r="A1064" s="9"/>
      <c r="B1064" s="10"/>
      <c r="C1064" s="11"/>
      <c r="D1064" s="11"/>
      <c r="E1064" s="11"/>
      <c r="F1064" s="11"/>
      <c r="G1064" s="12"/>
      <c r="H1064" s="12"/>
      <c r="I1064" s="10"/>
      <c r="J1064" s="12"/>
      <c r="K1064" s="13" t="str">
        <f aca="false">IF(ISNUMBER(B1064),YEAR(B1064),"")</f>
        <v/>
      </c>
      <c r="L1064" s="13" t="str">
        <f aca="false">IF(ISNUMBER(B1064),MONTH(B1064),"")</f>
        <v/>
      </c>
      <c r="M1064" s="13" t="str">
        <f aca="false">IF(AND(ISNUMBER(B1064),ISNUMBER(I1064)),B1064-I1064+1,"")</f>
        <v/>
      </c>
      <c r="N1064" s="14" t="str">
        <f aca="false">IF(B1064="","",IF(M1064="","시작일 미입력",IF(M1064&lt;1,"시작일 이전(확인)",IF(M1064=1,"1일째",IF(M1064=2,"2일째",IF(M1064=3,"3일째",IF(M1064&lt;=7,"일주일 이내",IF(M1064&lt;=14,"이주일 이내","15일 이후"))))))))</f>
        <v/>
      </c>
      <c r="O1064" s="0" t="str">
        <f aca="false">IF(AND(COUNTA($A1064:$J1064)&gt;0,OR(클레임조회!$C$4="",AND(ISNUMBER($B1064),$B1064&gt;=클레임조회!$C$4)),OR(클레임조회!$C$5="",AND(ISNUMBER($B1064),$B1064&lt;=클레임조회!$C$5)),OR(클레임조회!$C$6="",$C1064=클레임조회!$C$6),OR(클레임조회!$C$7="",$D1064=클레임조회!$C$7),OR(클레임조회!$C$8="",$E1064=클레임조회!$C$8),OR(클레임조회!$C$9="",$F1064=클레임조회!$C$9),OR(클레임조회!$C$10="",ISNUMBER(SEARCH(클레임조회!$C$10,$C1064&amp;" "&amp;$F1064&amp;" "&amp;$G1064&amp;" "&amp;$H1064)))),COUNT(O$1:O1063)+1,"")</f>
        <v/>
      </c>
      <c r="P1064" s="0" t="str">
        <f aca="false">IF(AND(TRIM(C1064)&lt;&gt;"",COUNTIF(C$2:C1064,C1064)=1),MAX(P$1:P1063)+1,"")</f>
        <v/>
      </c>
      <c r="Q1064" s="0" t="str">
        <f aca="false">IF(AND(TRIM(F1064)&lt;&gt;"",COUNTIF(F$2:F1064,F1064)=1),MAX(Q$1:Q1063)+1,"")</f>
        <v/>
      </c>
    </row>
    <row r="1065" customFormat="false" ht="15" hidden="false" customHeight="false" outlineLevel="0" collapsed="false">
      <c r="A1065" s="9"/>
      <c r="B1065" s="10"/>
      <c r="C1065" s="11"/>
      <c r="D1065" s="11"/>
      <c r="E1065" s="11"/>
      <c r="F1065" s="11"/>
      <c r="G1065" s="12"/>
      <c r="H1065" s="12"/>
      <c r="I1065" s="10"/>
      <c r="J1065" s="12"/>
      <c r="K1065" s="13" t="str">
        <f aca="false">IF(ISNUMBER(B1065),YEAR(B1065),"")</f>
        <v/>
      </c>
      <c r="L1065" s="13" t="str">
        <f aca="false">IF(ISNUMBER(B1065),MONTH(B1065),"")</f>
        <v/>
      </c>
      <c r="M1065" s="13" t="str">
        <f aca="false">IF(AND(ISNUMBER(B1065),ISNUMBER(I1065)),B1065-I1065+1,"")</f>
        <v/>
      </c>
      <c r="N1065" s="14" t="str">
        <f aca="false">IF(B1065="","",IF(M1065="","시작일 미입력",IF(M1065&lt;1,"시작일 이전(확인)",IF(M1065=1,"1일째",IF(M1065=2,"2일째",IF(M1065=3,"3일째",IF(M1065&lt;=7,"일주일 이내",IF(M1065&lt;=14,"이주일 이내","15일 이후"))))))))</f>
        <v/>
      </c>
      <c r="O1065" s="0" t="str">
        <f aca="false">IF(AND(COUNTA($A1065:$J1065)&gt;0,OR(클레임조회!$C$4="",AND(ISNUMBER($B1065),$B1065&gt;=클레임조회!$C$4)),OR(클레임조회!$C$5="",AND(ISNUMBER($B1065),$B1065&lt;=클레임조회!$C$5)),OR(클레임조회!$C$6="",$C1065=클레임조회!$C$6),OR(클레임조회!$C$7="",$D1065=클레임조회!$C$7),OR(클레임조회!$C$8="",$E1065=클레임조회!$C$8),OR(클레임조회!$C$9="",$F1065=클레임조회!$C$9),OR(클레임조회!$C$10="",ISNUMBER(SEARCH(클레임조회!$C$10,$C1065&amp;" "&amp;$F1065&amp;" "&amp;$G1065&amp;" "&amp;$H1065)))),COUNT(O$1:O1064)+1,"")</f>
        <v/>
      </c>
      <c r="P1065" s="0" t="str">
        <f aca="false">IF(AND(TRIM(C1065)&lt;&gt;"",COUNTIF(C$2:C1065,C1065)=1),MAX(P$1:P1064)+1,"")</f>
        <v/>
      </c>
      <c r="Q1065" s="0" t="str">
        <f aca="false">IF(AND(TRIM(F1065)&lt;&gt;"",COUNTIF(F$2:F1065,F1065)=1),MAX(Q$1:Q1064)+1,"")</f>
        <v/>
      </c>
    </row>
    <row r="1066" customFormat="false" ht="15" hidden="false" customHeight="false" outlineLevel="0" collapsed="false">
      <c r="A1066" s="9"/>
      <c r="B1066" s="10"/>
      <c r="C1066" s="11"/>
      <c r="D1066" s="11"/>
      <c r="E1066" s="11"/>
      <c r="F1066" s="11"/>
      <c r="G1066" s="12"/>
      <c r="H1066" s="12"/>
      <c r="I1066" s="10"/>
      <c r="J1066" s="12"/>
      <c r="K1066" s="13" t="str">
        <f aca="false">IF(ISNUMBER(B1066),YEAR(B1066),"")</f>
        <v/>
      </c>
      <c r="L1066" s="13" t="str">
        <f aca="false">IF(ISNUMBER(B1066),MONTH(B1066),"")</f>
        <v/>
      </c>
      <c r="M1066" s="13" t="str">
        <f aca="false">IF(AND(ISNUMBER(B1066),ISNUMBER(I1066)),B1066-I1066+1,"")</f>
        <v/>
      </c>
      <c r="N1066" s="14" t="str">
        <f aca="false">IF(B1066="","",IF(M1066="","시작일 미입력",IF(M1066&lt;1,"시작일 이전(확인)",IF(M1066=1,"1일째",IF(M1066=2,"2일째",IF(M1066=3,"3일째",IF(M1066&lt;=7,"일주일 이내",IF(M1066&lt;=14,"이주일 이내","15일 이후"))))))))</f>
        <v/>
      </c>
      <c r="O1066" s="0" t="str">
        <f aca="false">IF(AND(COUNTA($A1066:$J1066)&gt;0,OR(클레임조회!$C$4="",AND(ISNUMBER($B1066),$B1066&gt;=클레임조회!$C$4)),OR(클레임조회!$C$5="",AND(ISNUMBER($B1066),$B1066&lt;=클레임조회!$C$5)),OR(클레임조회!$C$6="",$C1066=클레임조회!$C$6),OR(클레임조회!$C$7="",$D1066=클레임조회!$C$7),OR(클레임조회!$C$8="",$E1066=클레임조회!$C$8),OR(클레임조회!$C$9="",$F1066=클레임조회!$C$9),OR(클레임조회!$C$10="",ISNUMBER(SEARCH(클레임조회!$C$10,$C1066&amp;" "&amp;$F1066&amp;" "&amp;$G1066&amp;" "&amp;$H1066)))),COUNT(O$1:O1065)+1,"")</f>
        <v/>
      </c>
      <c r="P1066" s="0" t="str">
        <f aca="false">IF(AND(TRIM(C1066)&lt;&gt;"",COUNTIF(C$2:C1066,C1066)=1),MAX(P$1:P1065)+1,"")</f>
        <v/>
      </c>
      <c r="Q1066" s="0" t="str">
        <f aca="false">IF(AND(TRIM(F1066)&lt;&gt;"",COUNTIF(F$2:F1066,F1066)=1),MAX(Q$1:Q1065)+1,"")</f>
        <v/>
      </c>
    </row>
    <row r="1067" customFormat="false" ht="15" hidden="false" customHeight="false" outlineLevel="0" collapsed="false">
      <c r="A1067" s="9"/>
      <c r="B1067" s="10"/>
      <c r="C1067" s="11"/>
      <c r="D1067" s="11"/>
      <c r="E1067" s="11"/>
      <c r="F1067" s="11"/>
      <c r="G1067" s="12"/>
      <c r="H1067" s="12"/>
      <c r="I1067" s="10"/>
      <c r="J1067" s="12"/>
      <c r="K1067" s="13" t="str">
        <f aca="false">IF(ISNUMBER(B1067),YEAR(B1067),"")</f>
        <v/>
      </c>
      <c r="L1067" s="13" t="str">
        <f aca="false">IF(ISNUMBER(B1067),MONTH(B1067),"")</f>
        <v/>
      </c>
      <c r="M1067" s="13" t="str">
        <f aca="false">IF(AND(ISNUMBER(B1067),ISNUMBER(I1067)),B1067-I1067+1,"")</f>
        <v/>
      </c>
      <c r="N1067" s="14" t="str">
        <f aca="false">IF(B1067="","",IF(M1067="","시작일 미입력",IF(M1067&lt;1,"시작일 이전(확인)",IF(M1067=1,"1일째",IF(M1067=2,"2일째",IF(M1067=3,"3일째",IF(M1067&lt;=7,"일주일 이내",IF(M1067&lt;=14,"이주일 이내","15일 이후"))))))))</f>
        <v/>
      </c>
      <c r="O1067" s="0" t="str">
        <f aca="false">IF(AND(COUNTA($A1067:$J1067)&gt;0,OR(클레임조회!$C$4="",AND(ISNUMBER($B1067),$B1067&gt;=클레임조회!$C$4)),OR(클레임조회!$C$5="",AND(ISNUMBER($B1067),$B1067&lt;=클레임조회!$C$5)),OR(클레임조회!$C$6="",$C1067=클레임조회!$C$6),OR(클레임조회!$C$7="",$D1067=클레임조회!$C$7),OR(클레임조회!$C$8="",$E1067=클레임조회!$C$8),OR(클레임조회!$C$9="",$F1067=클레임조회!$C$9),OR(클레임조회!$C$10="",ISNUMBER(SEARCH(클레임조회!$C$10,$C1067&amp;" "&amp;$F1067&amp;" "&amp;$G1067&amp;" "&amp;$H1067)))),COUNT(O$1:O1066)+1,"")</f>
        <v/>
      </c>
      <c r="P1067" s="0" t="str">
        <f aca="false">IF(AND(TRIM(C1067)&lt;&gt;"",COUNTIF(C$2:C1067,C1067)=1),MAX(P$1:P1066)+1,"")</f>
        <v/>
      </c>
      <c r="Q1067" s="0" t="str">
        <f aca="false">IF(AND(TRIM(F1067)&lt;&gt;"",COUNTIF(F$2:F1067,F1067)=1),MAX(Q$1:Q1066)+1,"")</f>
        <v/>
      </c>
    </row>
    <row r="1068" customFormat="false" ht="15" hidden="false" customHeight="false" outlineLevel="0" collapsed="false">
      <c r="A1068" s="9"/>
      <c r="B1068" s="10"/>
      <c r="C1068" s="11"/>
      <c r="D1068" s="11"/>
      <c r="E1068" s="11"/>
      <c r="F1068" s="11"/>
      <c r="G1068" s="12"/>
      <c r="H1068" s="12"/>
      <c r="I1068" s="10"/>
      <c r="J1068" s="12"/>
      <c r="K1068" s="13" t="str">
        <f aca="false">IF(ISNUMBER(B1068),YEAR(B1068),"")</f>
        <v/>
      </c>
      <c r="L1068" s="13" t="str">
        <f aca="false">IF(ISNUMBER(B1068),MONTH(B1068),"")</f>
        <v/>
      </c>
      <c r="M1068" s="13" t="str">
        <f aca="false">IF(AND(ISNUMBER(B1068),ISNUMBER(I1068)),B1068-I1068+1,"")</f>
        <v/>
      </c>
      <c r="N1068" s="14" t="str">
        <f aca="false">IF(B1068="","",IF(M1068="","시작일 미입력",IF(M1068&lt;1,"시작일 이전(확인)",IF(M1068=1,"1일째",IF(M1068=2,"2일째",IF(M1068=3,"3일째",IF(M1068&lt;=7,"일주일 이내",IF(M1068&lt;=14,"이주일 이내","15일 이후"))))))))</f>
        <v/>
      </c>
      <c r="O1068" s="0" t="str">
        <f aca="false">IF(AND(COUNTA($A1068:$J1068)&gt;0,OR(클레임조회!$C$4="",AND(ISNUMBER($B1068),$B1068&gt;=클레임조회!$C$4)),OR(클레임조회!$C$5="",AND(ISNUMBER($B1068),$B1068&lt;=클레임조회!$C$5)),OR(클레임조회!$C$6="",$C1068=클레임조회!$C$6),OR(클레임조회!$C$7="",$D1068=클레임조회!$C$7),OR(클레임조회!$C$8="",$E1068=클레임조회!$C$8),OR(클레임조회!$C$9="",$F1068=클레임조회!$C$9),OR(클레임조회!$C$10="",ISNUMBER(SEARCH(클레임조회!$C$10,$C1068&amp;" "&amp;$F1068&amp;" "&amp;$G1068&amp;" "&amp;$H1068)))),COUNT(O$1:O1067)+1,"")</f>
        <v/>
      </c>
      <c r="P1068" s="0" t="str">
        <f aca="false">IF(AND(TRIM(C1068)&lt;&gt;"",COUNTIF(C$2:C1068,C1068)=1),MAX(P$1:P1067)+1,"")</f>
        <v/>
      </c>
      <c r="Q1068" s="0" t="str">
        <f aca="false">IF(AND(TRIM(F1068)&lt;&gt;"",COUNTIF(F$2:F1068,F1068)=1),MAX(Q$1:Q1067)+1,"")</f>
        <v/>
      </c>
    </row>
    <row r="1069" customFormat="false" ht="15" hidden="false" customHeight="false" outlineLevel="0" collapsed="false">
      <c r="A1069" s="9"/>
      <c r="B1069" s="10"/>
      <c r="C1069" s="11"/>
      <c r="D1069" s="11"/>
      <c r="E1069" s="11"/>
      <c r="F1069" s="11"/>
      <c r="G1069" s="12"/>
      <c r="H1069" s="12"/>
      <c r="I1069" s="10"/>
      <c r="J1069" s="12"/>
      <c r="K1069" s="13" t="str">
        <f aca="false">IF(ISNUMBER(B1069),YEAR(B1069),"")</f>
        <v/>
      </c>
      <c r="L1069" s="13" t="str">
        <f aca="false">IF(ISNUMBER(B1069),MONTH(B1069),"")</f>
        <v/>
      </c>
      <c r="M1069" s="13" t="str">
        <f aca="false">IF(AND(ISNUMBER(B1069),ISNUMBER(I1069)),B1069-I1069+1,"")</f>
        <v/>
      </c>
      <c r="N1069" s="14" t="str">
        <f aca="false">IF(B1069="","",IF(M1069="","시작일 미입력",IF(M1069&lt;1,"시작일 이전(확인)",IF(M1069=1,"1일째",IF(M1069=2,"2일째",IF(M1069=3,"3일째",IF(M1069&lt;=7,"일주일 이내",IF(M1069&lt;=14,"이주일 이내","15일 이후"))))))))</f>
        <v/>
      </c>
      <c r="O1069" s="0" t="str">
        <f aca="false">IF(AND(COUNTA($A1069:$J1069)&gt;0,OR(클레임조회!$C$4="",AND(ISNUMBER($B1069),$B1069&gt;=클레임조회!$C$4)),OR(클레임조회!$C$5="",AND(ISNUMBER($B1069),$B1069&lt;=클레임조회!$C$5)),OR(클레임조회!$C$6="",$C1069=클레임조회!$C$6),OR(클레임조회!$C$7="",$D1069=클레임조회!$C$7),OR(클레임조회!$C$8="",$E1069=클레임조회!$C$8),OR(클레임조회!$C$9="",$F1069=클레임조회!$C$9),OR(클레임조회!$C$10="",ISNUMBER(SEARCH(클레임조회!$C$10,$C1069&amp;" "&amp;$F1069&amp;" "&amp;$G1069&amp;" "&amp;$H1069)))),COUNT(O$1:O1068)+1,"")</f>
        <v/>
      </c>
      <c r="P1069" s="0" t="str">
        <f aca="false">IF(AND(TRIM(C1069)&lt;&gt;"",COUNTIF(C$2:C1069,C1069)=1),MAX(P$1:P1068)+1,"")</f>
        <v/>
      </c>
      <c r="Q1069" s="0" t="str">
        <f aca="false">IF(AND(TRIM(F1069)&lt;&gt;"",COUNTIF(F$2:F1069,F1069)=1),MAX(Q$1:Q1068)+1,"")</f>
        <v/>
      </c>
    </row>
    <row r="1070" customFormat="false" ht="15" hidden="false" customHeight="false" outlineLevel="0" collapsed="false">
      <c r="A1070" s="9"/>
      <c r="B1070" s="10"/>
      <c r="C1070" s="11"/>
      <c r="D1070" s="11"/>
      <c r="E1070" s="11"/>
      <c r="F1070" s="11"/>
      <c r="G1070" s="12"/>
      <c r="H1070" s="12"/>
      <c r="I1070" s="10"/>
      <c r="J1070" s="12"/>
      <c r="K1070" s="13" t="str">
        <f aca="false">IF(ISNUMBER(B1070),YEAR(B1070),"")</f>
        <v/>
      </c>
      <c r="L1070" s="13" t="str">
        <f aca="false">IF(ISNUMBER(B1070),MONTH(B1070),"")</f>
        <v/>
      </c>
      <c r="M1070" s="13" t="str">
        <f aca="false">IF(AND(ISNUMBER(B1070),ISNUMBER(I1070)),B1070-I1070+1,"")</f>
        <v/>
      </c>
      <c r="N1070" s="14" t="str">
        <f aca="false">IF(B1070="","",IF(M1070="","시작일 미입력",IF(M1070&lt;1,"시작일 이전(확인)",IF(M1070=1,"1일째",IF(M1070=2,"2일째",IF(M1070=3,"3일째",IF(M1070&lt;=7,"일주일 이내",IF(M1070&lt;=14,"이주일 이내","15일 이후"))))))))</f>
        <v/>
      </c>
      <c r="O1070" s="0" t="str">
        <f aca="false">IF(AND(COUNTA($A1070:$J1070)&gt;0,OR(클레임조회!$C$4="",AND(ISNUMBER($B1070),$B1070&gt;=클레임조회!$C$4)),OR(클레임조회!$C$5="",AND(ISNUMBER($B1070),$B1070&lt;=클레임조회!$C$5)),OR(클레임조회!$C$6="",$C1070=클레임조회!$C$6),OR(클레임조회!$C$7="",$D1070=클레임조회!$C$7),OR(클레임조회!$C$8="",$E1070=클레임조회!$C$8),OR(클레임조회!$C$9="",$F1070=클레임조회!$C$9),OR(클레임조회!$C$10="",ISNUMBER(SEARCH(클레임조회!$C$10,$C1070&amp;" "&amp;$F1070&amp;" "&amp;$G1070&amp;" "&amp;$H1070)))),COUNT(O$1:O1069)+1,"")</f>
        <v/>
      </c>
      <c r="P1070" s="0" t="str">
        <f aca="false">IF(AND(TRIM(C1070)&lt;&gt;"",COUNTIF(C$2:C1070,C1070)=1),MAX(P$1:P1069)+1,"")</f>
        <v/>
      </c>
      <c r="Q1070" s="0" t="str">
        <f aca="false">IF(AND(TRIM(F1070)&lt;&gt;"",COUNTIF(F$2:F1070,F1070)=1),MAX(Q$1:Q1069)+1,"")</f>
        <v/>
      </c>
    </row>
    <row r="1071" customFormat="false" ht="15" hidden="false" customHeight="false" outlineLevel="0" collapsed="false">
      <c r="A1071" s="9"/>
      <c r="B1071" s="10"/>
      <c r="C1071" s="11"/>
      <c r="D1071" s="11"/>
      <c r="E1071" s="11"/>
      <c r="F1071" s="11"/>
      <c r="G1071" s="12"/>
      <c r="H1071" s="12"/>
      <c r="I1071" s="10"/>
      <c r="J1071" s="12"/>
      <c r="K1071" s="13" t="str">
        <f aca="false">IF(ISNUMBER(B1071),YEAR(B1071),"")</f>
        <v/>
      </c>
      <c r="L1071" s="13" t="str">
        <f aca="false">IF(ISNUMBER(B1071),MONTH(B1071),"")</f>
        <v/>
      </c>
      <c r="M1071" s="13" t="str">
        <f aca="false">IF(AND(ISNUMBER(B1071),ISNUMBER(I1071)),B1071-I1071+1,"")</f>
        <v/>
      </c>
      <c r="N1071" s="14" t="str">
        <f aca="false">IF(B1071="","",IF(M1071="","시작일 미입력",IF(M1071&lt;1,"시작일 이전(확인)",IF(M1071=1,"1일째",IF(M1071=2,"2일째",IF(M1071=3,"3일째",IF(M1071&lt;=7,"일주일 이내",IF(M1071&lt;=14,"이주일 이내","15일 이후"))))))))</f>
        <v/>
      </c>
      <c r="O1071" s="0" t="str">
        <f aca="false">IF(AND(COUNTA($A1071:$J1071)&gt;0,OR(클레임조회!$C$4="",AND(ISNUMBER($B1071),$B1071&gt;=클레임조회!$C$4)),OR(클레임조회!$C$5="",AND(ISNUMBER($B1071),$B1071&lt;=클레임조회!$C$5)),OR(클레임조회!$C$6="",$C1071=클레임조회!$C$6),OR(클레임조회!$C$7="",$D1071=클레임조회!$C$7),OR(클레임조회!$C$8="",$E1071=클레임조회!$C$8),OR(클레임조회!$C$9="",$F1071=클레임조회!$C$9),OR(클레임조회!$C$10="",ISNUMBER(SEARCH(클레임조회!$C$10,$C1071&amp;" "&amp;$F1071&amp;" "&amp;$G1071&amp;" "&amp;$H1071)))),COUNT(O$1:O1070)+1,"")</f>
        <v/>
      </c>
      <c r="P1071" s="0" t="str">
        <f aca="false">IF(AND(TRIM(C1071)&lt;&gt;"",COUNTIF(C$2:C1071,C1071)=1),MAX(P$1:P1070)+1,"")</f>
        <v/>
      </c>
      <c r="Q1071" s="0" t="str">
        <f aca="false">IF(AND(TRIM(F1071)&lt;&gt;"",COUNTIF(F$2:F1071,F1071)=1),MAX(Q$1:Q1070)+1,"")</f>
        <v/>
      </c>
    </row>
    <row r="1072" customFormat="false" ht="15" hidden="false" customHeight="false" outlineLevel="0" collapsed="false">
      <c r="A1072" s="9"/>
      <c r="B1072" s="10"/>
      <c r="C1072" s="11"/>
      <c r="D1072" s="11"/>
      <c r="E1072" s="11"/>
      <c r="F1072" s="11"/>
      <c r="G1072" s="12"/>
      <c r="H1072" s="12"/>
      <c r="I1072" s="10"/>
      <c r="J1072" s="12"/>
      <c r="K1072" s="13" t="str">
        <f aca="false">IF(ISNUMBER(B1072),YEAR(B1072),"")</f>
        <v/>
      </c>
      <c r="L1072" s="13" t="str">
        <f aca="false">IF(ISNUMBER(B1072),MONTH(B1072),"")</f>
        <v/>
      </c>
      <c r="M1072" s="13" t="str">
        <f aca="false">IF(AND(ISNUMBER(B1072),ISNUMBER(I1072)),B1072-I1072+1,"")</f>
        <v/>
      </c>
      <c r="N1072" s="14" t="str">
        <f aca="false">IF(B1072="","",IF(M1072="","시작일 미입력",IF(M1072&lt;1,"시작일 이전(확인)",IF(M1072=1,"1일째",IF(M1072=2,"2일째",IF(M1072=3,"3일째",IF(M1072&lt;=7,"일주일 이내",IF(M1072&lt;=14,"이주일 이내","15일 이후"))))))))</f>
        <v/>
      </c>
      <c r="O1072" s="0" t="str">
        <f aca="false">IF(AND(COUNTA($A1072:$J1072)&gt;0,OR(클레임조회!$C$4="",AND(ISNUMBER($B1072),$B1072&gt;=클레임조회!$C$4)),OR(클레임조회!$C$5="",AND(ISNUMBER($B1072),$B1072&lt;=클레임조회!$C$5)),OR(클레임조회!$C$6="",$C1072=클레임조회!$C$6),OR(클레임조회!$C$7="",$D1072=클레임조회!$C$7),OR(클레임조회!$C$8="",$E1072=클레임조회!$C$8),OR(클레임조회!$C$9="",$F1072=클레임조회!$C$9),OR(클레임조회!$C$10="",ISNUMBER(SEARCH(클레임조회!$C$10,$C1072&amp;" "&amp;$F1072&amp;" "&amp;$G1072&amp;" "&amp;$H1072)))),COUNT(O$1:O1071)+1,"")</f>
        <v/>
      </c>
      <c r="P1072" s="0" t="str">
        <f aca="false">IF(AND(TRIM(C1072)&lt;&gt;"",COUNTIF(C$2:C1072,C1072)=1),MAX(P$1:P1071)+1,"")</f>
        <v/>
      </c>
      <c r="Q1072" s="0" t="str">
        <f aca="false">IF(AND(TRIM(F1072)&lt;&gt;"",COUNTIF(F$2:F1072,F1072)=1),MAX(Q$1:Q1071)+1,"")</f>
        <v/>
      </c>
    </row>
    <row r="1073" customFormat="false" ht="15" hidden="false" customHeight="false" outlineLevel="0" collapsed="false">
      <c r="A1073" s="9"/>
      <c r="B1073" s="10"/>
      <c r="C1073" s="11"/>
      <c r="D1073" s="11"/>
      <c r="E1073" s="11"/>
      <c r="F1073" s="11"/>
      <c r="G1073" s="12"/>
      <c r="H1073" s="12"/>
      <c r="I1073" s="10"/>
      <c r="J1073" s="12"/>
      <c r="K1073" s="13" t="str">
        <f aca="false">IF(ISNUMBER(B1073),YEAR(B1073),"")</f>
        <v/>
      </c>
      <c r="L1073" s="13" t="str">
        <f aca="false">IF(ISNUMBER(B1073),MONTH(B1073),"")</f>
        <v/>
      </c>
      <c r="M1073" s="13" t="str">
        <f aca="false">IF(AND(ISNUMBER(B1073),ISNUMBER(I1073)),B1073-I1073+1,"")</f>
        <v/>
      </c>
      <c r="N1073" s="14" t="str">
        <f aca="false">IF(B1073="","",IF(M1073="","시작일 미입력",IF(M1073&lt;1,"시작일 이전(확인)",IF(M1073=1,"1일째",IF(M1073=2,"2일째",IF(M1073=3,"3일째",IF(M1073&lt;=7,"일주일 이내",IF(M1073&lt;=14,"이주일 이내","15일 이후"))))))))</f>
        <v/>
      </c>
      <c r="O1073" s="0" t="str">
        <f aca="false">IF(AND(COUNTA($A1073:$J1073)&gt;0,OR(클레임조회!$C$4="",AND(ISNUMBER($B1073),$B1073&gt;=클레임조회!$C$4)),OR(클레임조회!$C$5="",AND(ISNUMBER($B1073),$B1073&lt;=클레임조회!$C$5)),OR(클레임조회!$C$6="",$C1073=클레임조회!$C$6),OR(클레임조회!$C$7="",$D1073=클레임조회!$C$7),OR(클레임조회!$C$8="",$E1073=클레임조회!$C$8),OR(클레임조회!$C$9="",$F1073=클레임조회!$C$9),OR(클레임조회!$C$10="",ISNUMBER(SEARCH(클레임조회!$C$10,$C1073&amp;" "&amp;$F1073&amp;" "&amp;$G1073&amp;" "&amp;$H1073)))),COUNT(O$1:O1072)+1,"")</f>
        <v/>
      </c>
      <c r="P1073" s="0" t="str">
        <f aca="false">IF(AND(TRIM(C1073)&lt;&gt;"",COUNTIF(C$2:C1073,C1073)=1),MAX(P$1:P1072)+1,"")</f>
        <v/>
      </c>
      <c r="Q1073" s="0" t="str">
        <f aca="false">IF(AND(TRIM(F1073)&lt;&gt;"",COUNTIF(F$2:F1073,F1073)=1),MAX(Q$1:Q1072)+1,"")</f>
        <v/>
      </c>
    </row>
    <row r="1074" customFormat="false" ht="15" hidden="false" customHeight="false" outlineLevel="0" collapsed="false">
      <c r="A1074" s="9"/>
      <c r="B1074" s="10"/>
      <c r="C1074" s="11"/>
      <c r="D1074" s="11"/>
      <c r="E1074" s="11"/>
      <c r="F1074" s="11"/>
      <c r="G1074" s="12"/>
      <c r="H1074" s="12"/>
      <c r="I1074" s="10"/>
      <c r="J1074" s="12"/>
      <c r="K1074" s="13" t="str">
        <f aca="false">IF(ISNUMBER(B1074),YEAR(B1074),"")</f>
        <v/>
      </c>
      <c r="L1074" s="13" t="str">
        <f aca="false">IF(ISNUMBER(B1074),MONTH(B1074),"")</f>
        <v/>
      </c>
      <c r="M1074" s="13" t="str">
        <f aca="false">IF(AND(ISNUMBER(B1074),ISNUMBER(I1074)),B1074-I1074+1,"")</f>
        <v/>
      </c>
      <c r="N1074" s="14" t="str">
        <f aca="false">IF(B1074="","",IF(M1074="","시작일 미입력",IF(M1074&lt;1,"시작일 이전(확인)",IF(M1074=1,"1일째",IF(M1074=2,"2일째",IF(M1074=3,"3일째",IF(M1074&lt;=7,"일주일 이내",IF(M1074&lt;=14,"이주일 이내","15일 이후"))))))))</f>
        <v/>
      </c>
      <c r="O1074" s="0" t="str">
        <f aca="false">IF(AND(COUNTA($A1074:$J1074)&gt;0,OR(클레임조회!$C$4="",AND(ISNUMBER($B1074),$B1074&gt;=클레임조회!$C$4)),OR(클레임조회!$C$5="",AND(ISNUMBER($B1074),$B1074&lt;=클레임조회!$C$5)),OR(클레임조회!$C$6="",$C1074=클레임조회!$C$6),OR(클레임조회!$C$7="",$D1074=클레임조회!$C$7),OR(클레임조회!$C$8="",$E1074=클레임조회!$C$8),OR(클레임조회!$C$9="",$F1074=클레임조회!$C$9),OR(클레임조회!$C$10="",ISNUMBER(SEARCH(클레임조회!$C$10,$C1074&amp;" "&amp;$F1074&amp;" "&amp;$G1074&amp;" "&amp;$H1074)))),COUNT(O$1:O1073)+1,"")</f>
        <v/>
      </c>
      <c r="P1074" s="0" t="str">
        <f aca="false">IF(AND(TRIM(C1074)&lt;&gt;"",COUNTIF(C$2:C1074,C1074)=1),MAX(P$1:P1073)+1,"")</f>
        <v/>
      </c>
      <c r="Q1074" s="0" t="str">
        <f aca="false">IF(AND(TRIM(F1074)&lt;&gt;"",COUNTIF(F$2:F1074,F1074)=1),MAX(Q$1:Q1073)+1,"")</f>
        <v/>
      </c>
    </row>
    <row r="1075" customFormat="false" ht="15" hidden="false" customHeight="false" outlineLevel="0" collapsed="false">
      <c r="A1075" s="9"/>
      <c r="B1075" s="10"/>
      <c r="C1075" s="11"/>
      <c r="D1075" s="11"/>
      <c r="E1075" s="11"/>
      <c r="F1075" s="11"/>
      <c r="G1075" s="12"/>
      <c r="H1075" s="12"/>
      <c r="I1075" s="10"/>
      <c r="J1075" s="12"/>
      <c r="K1075" s="13" t="str">
        <f aca="false">IF(ISNUMBER(B1075),YEAR(B1075),"")</f>
        <v/>
      </c>
      <c r="L1075" s="13" t="str">
        <f aca="false">IF(ISNUMBER(B1075),MONTH(B1075),"")</f>
        <v/>
      </c>
      <c r="M1075" s="13" t="str">
        <f aca="false">IF(AND(ISNUMBER(B1075),ISNUMBER(I1075)),B1075-I1075+1,"")</f>
        <v/>
      </c>
      <c r="N1075" s="14" t="str">
        <f aca="false">IF(B1075="","",IF(M1075="","시작일 미입력",IF(M1075&lt;1,"시작일 이전(확인)",IF(M1075=1,"1일째",IF(M1075=2,"2일째",IF(M1075=3,"3일째",IF(M1075&lt;=7,"일주일 이내",IF(M1075&lt;=14,"이주일 이내","15일 이후"))))))))</f>
        <v/>
      </c>
      <c r="O1075" s="0" t="str">
        <f aca="false">IF(AND(COUNTA($A1075:$J1075)&gt;0,OR(클레임조회!$C$4="",AND(ISNUMBER($B1075),$B1075&gt;=클레임조회!$C$4)),OR(클레임조회!$C$5="",AND(ISNUMBER($B1075),$B1075&lt;=클레임조회!$C$5)),OR(클레임조회!$C$6="",$C1075=클레임조회!$C$6),OR(클레임조회!$C$7="",$D1075=클레임조회!$C$7),OR(클레임조회!$C$8="",$E1075=클레임조회!$C$8),OR(클레임조회!$C$9="",$F1075=클레임조회!$C$9),OR(클레임조회!$C$10="",ISNUMBER(SEARCH(클레임조회!$C$10,$C1075&amp;" "&amp;$F1075&amp;" "&amp;$G1075&amp;" "&amp;$H1075)))),COUNT(O$1:O1074)+1,"")</f>
        <v/>
      </c>
      <c r="P1075" s="0" t="str">
        <f aca="false">IF(AND(TRIM(C1075)&lt;&gt;"",COUNTIF(C$2:C1075,C1075)=1),MAX(P$1:P1074)+1,"")</f>
        <v/>
      </c>
      <c r="Q1075" s="0" t="str">
        <f aca="false">IF(AND(TRIM(F1075)&lt;&gt;"",COUNTIF(F$2:F1075,F1075)=1),MAX(Q$1:Q1074)+1,"")</f>
        <v/>
      </c>
    </row>
    <row r="1076" customFormat="false" ht="15" hidden="false" customHeight="false" outlineLevel="0" collapsed="false">
      <c r="A1076" s="9"/>
      <c r="B1076" s="10"/>
      <c r="C1076" s="11"/>
      <c r="D1076" s="11"/>
      <c r="E1076" s="11"/>
      <c r="F1076" s="11"/>
      <c r="G1076" s="12"/>
      <c r="H1076" s="12"/>
      <c r="I1076" s="10"/>
      <c r="J1076" s="12"/>
      <c r="K1076" s="13" t="str">
        <f aca="false">IF(ISNUMBER(B1076),YEAR(B1076),"")</f>
        <v/>
      </c>
      <c r="L1076" s="13" t="str">
        <f aca="false">IF(ISNUMBER(B1076),MONTH(B1076),"")</f>
        <v/>
      </c>
      <c r="M1076" s="13" t="str">
        <f aca="false">IF(AND(ISNUMBER(B1076),ISNUMBER(I1076)),B1076-I1076+1,"")</f>
        <v/>
      </c>
      <c r="N1076" s="14" t="str">
        <f aca="false">IF(B1076="","",IF(M1076="","시작일 미입력",IF(M1076&lt;1,"시작일 이전(확인)",IF(M1076=1,"1일째",IF(M1076=2,"2일째",IF(M1076=3,"3일째",IF(M1076&lt;=7,"일주일 이내",IF(M1076&lt;=14,"이주일 이내","15일 이후"))))))))</f>
        <v/>
      </c>
      <c r="O1076" s="0" t="str">
        <f aca="false">IF(AND(COUNTA($A1076:$J1076)&gt;0,OR(클레임조회!$C$4="",AND(ISNUMBER($B1076),$B1076&gt;=클레임조회!$C$4)),OR(클레임조회!$C$5="",AND(ISNUMBER($B1076),$B1076&lt;=클레임조회!$C$5)),OR(클레임조회!$C$6="",$C1076=클레임조회!$C$6),OR(클레임조회!$C$7="",$D1076=클레임조회!$C$7),OR(클레임조회!$C$8="",$E1076=클레임조회!$C$8),OR(클레임조회!$C$9="",$F1076=클레임조회!$C$9),OR(클레임조회!$C$10="",ISNUMBER(SEARCH(클레임조회!$C$10,$C1076&amp;" "&amp;$F1076&amp;" "&amp;$G1076&amp;" "&amp;$H1076)))),COUNT(O$1:O1075)+1,"")</f>
        <v/>
      </c>
      <c r="P1076" s="0" t="str">
        <f aca="false">IF(AND(TRIM(C1076)&lt;&gt;"",COUNTIF(C$2:C1076,C1076)=1),MAX(P$1:P1075)+1,"")</f>
        <v/>
      </c>
      <c r="Q1076" s="0" t="str">
        <f aca="false">IF(AND(TRIM(F1076)&lt;&gt;"",COUNTIF(F$2:F1076,F1076)=1),MAX(Q$1:Q1075)+1,"")</f>
        <v/>
      </c>
    </row>
    <row r="1077" customFormat="false" ht="15" hidden="false" customHeight="false" outlineLevel="0" collapsed="false">
      <c r="A1077" s="9"/>
      <c r="B1077" s="10"/>
      <c r="C1077" s="11"/>
      <c r="D1077" s="11"/>
      <c r="E1077" s="11"/>
      <c r="F1077" s="11"/>
      <c r="G1077" s="12"/>
      <c r="H1077" s="12"/>
      <c r="I1077" s="10"/>
      <c r="J1077" s="12"/>
      <c r="K1077" s="13" t="str">
        <f aca="false">IF(ISNUMBER(B1077),YEAR(B1077),"")</f>
        <v/>
      </c>
      <c r="L1077" s="13" t="str">
        <f aca="false">IF(ISNUMBER(B1077),MONTH(B1077),"")</f>
        <v/>
      </c>
      <c r="M1077" s="13" t="str">
        <f aca="false">IF(AND(ISNUMBER(B1077),ISNUMBER(I1077)),B1077-I1077+1,"")</f>
        <v/>
      </c>
      <c r="N1077" s="14" t="str">
        <f aca="false">IF(B1077="","",IF(M1077="","시작일 미입력",IF(M1077&lt;1,"시작일 이전(확인)",IF(M1077=1,"1일째",IF(M1077=2,"2일째",IF(M1077=3,"3일째",IF(M1077&lt;=7,"일주일 이내",IF(M1077&lt;=14,"이주일 이내","15일 이후"))))))))</f>
        <v/>
      </c>
      <c r="O1077" s="0" t="str">
        <f aca="false">IF(AND(COUNTA($A1077:$J1077)&gt;0,OR(클레임조회!$C$4="",AND(ISNUMBER($B1077),$B1077&gt;=클레임조회!$C$4)),OR(클레임조회!$C$5="",AND(ISNUMBER($B1077),$B1077&lt;=클레임조회!$C$5)),OR(클레임조회!$C$6="",$C1077=클레임조회!$C$6),OR(클레임조회!$C$7="",$D1077=클레임조회!$C$7),OR(클레임조회!$C$8="",$E1077=클레임조회!$C$8),OR(클레임조회!$C$9="",$F1077=클레임조회!$C$9),OR(클레임조회!$C$10="",ISNUMBER(SEARCH(클레임조회!$C$10,$C1077&amp;" "&amp;$F1077&amp;" "&amp;$G1077&amp;" "&amp;$H1077)))),COUNT(O$1:O1076)+1,"")</f>
        <v/>
      </c>
      <c r="P1077" s="0" t="str">
        <f aca="false">IF(AND(TRIM(C1077)&lt;&gt;"",COUNTIF(C$2:C1077,C1077)=1),MAX(P$1:P1076)+1,"")</f>
        <v/>
      </c>
      <c r="Q1077" s="0" t="str">
        <f aca="false">IF(AND(TRIM(F1077)&lt;&gt;"",COUNTIF(F$2:F1077,F1077)=1),MAX(Q$1:Q1076)+1,"")</f>
        <v/>
      </c>
    </row>
    <row r="1078" customFormat="false" ht="15" hidden="false" customHeight="false" outlineLevel="0" collapsed="false">
      <c r="A1078" s="9"/>
      <c r="B1078" s="10"/>
      <c r="C1078" s="11"/>
      <c r="D1078" s="11"/>
      <c r="E1078" s="11"/>
      <c r="F1078" s="11"/>
      <c r="G1078" s="12"/>
      <c r="H1078" s="12"/>
      <c r="I1078" s="10"/>
      <c r="J1078" s="12"/>
      <c r="K1078" s="13" t="str">
        <f aca="false">IF(ISNUMBER(B1078),YEAR(B1078),"")</f>
        <v/>
      </c>
      <c r="L1078" s="13" t="str">
        <f aca="false">IF(ISNUMBER(B1078),MONTH(B1078),"")</f>
        <v/>
      </c>
      <c r="M1078" s="13" t="str">
        <f aca="false">IF(AND(ISNUMBER(B1078),ISNUMBER(I1078)),B1078-I1078+1,"")</f>
        <v/>
      </c>
      <c r="N1078" s="14" t="str">
        <f aca="false">IF(B1078="","",IF(M1078="","시작일 미입력",IF(M1078&lt;1,"시작일 이전(확인)",IF(M1078=1,"1일째",IF(M1078=2,"2일째",IF(M1078=3,"3일째",IF(M1078&lt;=7,"일주일 이내",IF(M1078&lt;=14,"이주일 이내","15일 이후"))))))))</f>
        <v/>
      </c>
      <c r="O1078" s="0" t="str">
        <f aca="false">IF(AND(COUNTA($A1078:$J1078)&gt;0,OR(클레임조회!$C$4="",AND(ISNUMBER($B1078),$B1078&gt;=클레임조회!$C$4)),OR(클레임조회!$C$5="",AND(ISNUMBER($B1078),$B1078&lt;=클레임조회!$C$5)),OR(클레임조회!$C$6="",$C1078=클레임조회!$C$6),OR(클레임조회!$C$7="",$D1078=클레임조회!$C$7),OR(클레임조회!$C$8="",$E1078=클레임조회!$C$8),OR(클레임조회!$C$9="",$F1078=클레임조회!$C$9),OR(클레임조회!$C$10="",ISNUMBER(SEARCH(클레임조회!$C$10,$C1078&amp;" "&amp;$F1078&amp;" "&amp;$G1078&amp;" "&amp;$H1078)))),COUNT(O$1:O1077)+1,"")</f>
        <v/>
      </c>
      <c r="P1078" s="0" t="str">
        <f aca="false">IF(AND(TRIM(C1078)&lt;&gt;"",COUNTIF(C$2:C1078,C1078)=1),MAX(P$1:P1077)+1,"")</f>
        <v/>
      </c>
      <c r="Q1078" s="0" t="str">
        <f aca="false">IF(AND(TRIM(F1078)&lt;&gt;"",COUNTIF(F$2:F1078,F1078)=1),MAX(Q$1:Q1077)+1,"")</f>
        <v/>
      </c>
    </row>
    <row r="1079" customFormat="false" ht="15" hidden="false" customHeight="false" outlineLevel="0" collapsed="false">
      <c r="A1079" s="9"/>
      <c r="B1079" s="10"/>
      <c r="C1079" s="11"/>
      <c r="D1079" s="11"/>
      <c r="E1079" s="11"/>
      <c r="F1079" s="11"/>
      <c r="G1079" s="12"/>
      <c r="H1079" s="12"/>
      <c r="I1079" s="10"/>
      <c r="J1079" s="12"/>
      <c r="K1079" s="13" t="str">
        <f aca="false">IF(ISNUMBER(B1079),YEAR(B1079),"")</f>
        <v/>
      </c>
      <c r="L1079" s="13" t="str">
        <f aca="false">IF(ISNUMBER(B1079),MONTH(B1079),"")</f>
        <v/>
      </c>
      <c r="M1079" s="13" t="str">
        <f aca="false">IF(AND(ISNUMBER(B1079),ISNUMBER(I1079)),B1079-I1079+1,"")</f>
        <v/>
      </c>
      <c r="N1079" s="14" t="str">
        <f aca="false">IF(B1079="","",IF(M1079="","시작일 미입력",IF(M1079&lt;1,"시작일 이전(확인)",IF(M1079=1,"1일째",IF(M1079=2,"2일째",IF(M1079=3,"3일째",IF(M1079&lt;=7,"일주일 이내",IF(M1079&lt;=14,"이주일 이내","15일 이후"))))))))</f>
        <v/>
      </c>
      <c r="O1079" s="0" t="str">
        <f aca="false">IF(AND(COUNTA($A1079:$J1079)&gt;0,OR(클레임조회!$C$4="",AND(ISNUMBER($B1079),$B1079&gt;=클레임조회!$C$4)),OR(클레임조회!$C$5="",AND(ISNUMBER($B1079),$B1079&lt;=클레임조회!$C$5)),OR(클레임조회!$C$6="",$C1079=클레임조회!$C$6),OR(클레임조회!$C$7="",$D1079=클레임조회!$C$7),OR(클레임조회!$C$8="",$E1079=클레임조회!$C$8),OR(클레임조회!$C$9="",$F1079=클레임조회!$C$9),OR(클레임조회!$C$10="",ISNUMBER(SEARCH(클레임조회!$C$10,$C1079&amp;" "&amp;$F1079&amp;" "&amp;$G1079&amp;" "&amp;$H1079)))),COUNT(O$1:O1078)+1,"")</f>
        <v/>
      </c>
      <c r="P1079" s="0" t="str">
        <f aca="false">IF(AND(TRIM(C1079)&lt;&gt;"",COUNTIF(C$2:C1079,C1079)=1),MAX(P$1:P1078)+1,"")</f>
        <v/>
      </c>
      <c r="Q1079" s="0" t="str">
        <f aca="false">IF(AND(TRIM(F1079)&lt;&gt;"",COUNTIF(F$2:F1079,F1079)=1),MAX(Q$1:Q1078)+1,"")</f>
        <v/>
      </c>
    </row>
    <row r="1080" customFormat="false" ht="15" hidden="false" customHeight="false" outlineLevel="0" collapsed="false">
      <c r="A1080" s="9"/>
      <c r="B1080" s="10"/>
      <c r="C1080" s="11"/>
      <c r="D1080" s="11"/>
      <c r="E1080" s="11"/>
      <c r="F1080" s="11"/>
      <c r="G1080" s="12"/>
      <c r="H1080" s="12"/>
      <c r="I1080" s="10"/>
      <c r="J1080" s="12"/>
      <c r="K1080" s="13" t="str">
        <f aca="false">IF(ISNUMBER(B1080),YEAR(B1080),"")</f>
        <v/>
      </c>
      <c r="L1080" s="13" t="str">
        <f aca="false">IF(ISNUMBER(B1080),MONTH(B1080),"")</f>
        <v/>
      </c>
      <c r="M1080" s="13" t="str">
        <f aca="false">IF(AND(ISNUMBER(B1080),ISNUMBER(I1080)),B1080-I1080+1,"")</f>
        <v/>
      </c>
      <c r="N1080" s="14" t="str">
        <f aca="false">IF(B1080="","",IF(M1080="","시작일 미입력",IF(M1080&lt;1,"시작일 이전(확인)",IF(M1080=1,"1일째",IF(M1080=2,"2일째",IF(M1080=3,"3일째",IF(M1080&lt;=7,"일주일 이내",IF(M1080&lt;=14,"이주일 이내","15일 이후"))))))))</f>
        <v/>
      </c>
      <c r="O1080" s="0" t="str">
        <f aca="false">IF(AND(COUNTA($A1080:$J1080)&gt;0,OR(클레임조회!$C$4="",AND(ISNUMBER($B1080),$B1080&gt;=클레임조회!$C$4)),OR(클레임조회!$C$5="",AND(ISNUMBER($B1080),$B1080&lt;=클레임조회!$C$5)),OR(클레임조회!$C$6="",$C1080=클레임조회!$C$6),OR(클레임조회!$C$7="",$D1080=클레임조회!$C$7),OR(클레임조회!$C$8="",$E1080=클레임조회!$C$8),OR(클레임조회!$C$9="",$F1080=클레임조회!$C$9),OR(클레임조회!$C$10="",ISNUMBER(SEARCH(클레임조회!$C$10,$C1080&amp;" "&amp;$F1080&amp;" "&amp;$G1080&amp;" "&amp;$H1080)))),COUNT(O$1:O1079)+1,"")</f>
        <v/>
      </c>
      <c r="P1080" s="0" t="str">
        <f aca="false">IF(AND(TRIM(C1080)&lt;&gt;"",COUNTIF(C$2:C1080,C1080)=1),MAX(P$1:P1079)+1,"")</f>
        <v/>
      </c>
      <c r="Q1080" s="0" t="str">
        <f aca="false">IF(AND(TRIM(F1080)&lt;&gt;"",COUNTIF(F$2:F1080,F1080)=1),MAX(Q$1:Q1079)+1,"")</f>
        <v/>
      </c>
    </row>
    <row r="1081" customFormat="false" ht="15" hidden="false" customHeight="false" outlineLevel="0" collapsed="false">
      <c r="A1081" s="9"/>
      <c r="B1081" s="10"/>
      <c r="C1081" s="11"/>
      <c r="D1081" s="11"/>
      <c r="E1081" s="11"/>
      <c r="F1081" s="11"/>
      <c r="G1081" s="12"/>
      <c r="H1081" s="12"/>
      <c r="I1081" s="10"/>
      <c r="J1081" s="12"/>
      <c r="K1081" s="13" t="str">
        <f aca="false">IF(ISNUMBER(B1081),YEAR(B1081),"")</f>
        <v/>
      </c>
      <c r="L1081" s="13" t="str">
        <f aca="false">IF(ISNUMBER(B1081),MONTH(B1081),"")</f>
        <v/>
      </c>
      <c r="M1081" s="13" t="str">
        <f aca="false">IF(AND(ISNUMBER(B1081),ISNUMBER(I1081)),B1081-I1081+1,"")</f>
        <v/>
      </c>
      <c r="N1081" s="14" t="str">
        <f aca="false">IF(B1081="","",IF(M1081="","시작일 미입력",IF(M1081&lt;1,"시작일 이전(확인)",IF(M1081=1,"1일째",IF(M1081=2,"2일째",IF(M1081=3,"3일째",IF(M1081&lt;=7,"일주일 이내",IF(M1081&lt;=14,"이주일 이내","15일 이후"))))))))</f>
        <v/>
      </c>
      <c r="O1081" s="0" t="str">
        <f aca="false">IF(AND(COUNTA($A1081:$J1081)&gt;0,OR(클레임조회!$C$4="",AND(ISNUMBER($B1081),$B1081&gt;=클레임조회!$C$4)),OR(클레임조회!$C$5="",AND(ISNUMBER($B1081),$B1081&lt;=클레임조회!$C$5)),OR(클레임조회!$C$6="",$C1081=클레임조회!$C$6),OR(클레임조회!$C$7="",$D1081=클레임조회!$C$7),OR(클레임조회!$C$8="",$E1081=클레임조회!$C$8),OR(클레임조회!$C$9="",$F1081=클레임조회!$C$9),OR(클레임조회!$C$10="",ISNUMBER(SEARCH(클레임조회!$C$10,$C1081&amp;" "&amp;$F1081&amp;" "&amp;$G1081&amp;" "&amp;$H1081)))),COUNT(O$1:O1080)+1,"")</f>
        <v/>
      </c>
      <c r="P1081" s="0" t="str">
        <f aca="false">IF(AND(TRIM(C1081)&lt;&gt;"",COUNTIF(C$2:C1081,C1081)=1),MAX(P$1:P1080)+1,"")</f>
        <v/>
      </c>
      <c r="Q1081" s="0" t="str">
        <f aca="false">IF(AND(TRIM(F1081)&lt;&gt;"",COUNTIF(F$2:F1081,F1081)=1),MAX(Q$1:Q1080)+1,"")</f>
        <v/>
      </c>
    </row>
    <row r="1082" customFormat="false" ht="15" hidden="false" customHeight="false" outlineLevel="0" collapsed="false">
      <c r="A1082" s="9"/>
      <c r="B1082" s="10"/>
      <c r="C1082" s="11"/>
      <c r="D1082" s="11"/>
      <c r="E1082" s="11"/>
      <c r="F1082" s="11"/>
      <c r="G1082" s="12"/>
      <c r="H1082" s="12"/>
      <c r="I1082" s="10"/>
      <c r="J1082" s="12"/>
      <c r="K1082" s="13" t="str">
        <f aca="false">IF(ISNUMBER(B1082),YEAR(B1082),"")</f>
        <v/>
      </c>
      <c r="L1082" s="13" t="str">
        <f aca="false">IF(ISNUMBER(B1082),MONTH(B1082),"")</f>
        <v/>
      </c>
      <c r="M1082" s="13" t="str">
        <f aca="false">IF(AND(ISNUMBER(B1082),ISNUMBER(I1082)),B1082-I1082+1,"")</f>
        <v/>
      </c>
      <c r="N1082" s="14" t="str">
        <f aca="false">IF(B1082="","",IF(M1082="","시작일 미입력",IF(M1082&lt;1,"시작일 이전(확인)",IF(M1082=1,"1일째",IF(M1082=2,"2일째",IF(M1082=3,"3일째",IF(M1082&lt;=7,"일주일 이내",IF(M1082&lt;=14,"이주일 이내","15일 이후"))))))))</f>
        <v/>
      </c>
      <c r="O1082" s="0" t="str">
        <f aca="false">IF(AND(COUNTA($A1082:$J1082)&gt;0,OR(클레임조회!$C$4="",AND(ISNUMBER($B1082),$B1082&gt;=클레임조회!$C$4)),OR(클레임조회!$C$5="",AND(ISNUMBER($B1082),$B1082&lt;=클레임조회!$C$5)),OR(클레임조회!$C$6="",$C1082=클레임조회!$C$6),OR(클레임조회!$C$7="",$D1082=클레임조회!$C$7),OR(클레임조회!$C$8="",$E1082=클레임조회!$C$8),OR(클레임조회!$C$9="",$F1082=클레임조회!$C$9),OR(클레임조회!$C$10="",ISNUMBER(SEARCH(클레임조회!$C$10,$C1082&amp;" "&amp;$F1082&amp;" "&amp;$G1082&amp;" "&amp;$H1082)))),COUNT(O$1:O1081)+1,"")</f>
        <v/>
      </c>
      <c r="P1082" s="0" t="str">
        <f aca="false">IF(AND(TRIM(C1082)&lt;&gt;"",COUNTIF(C$2:C1082,C1082)=1),MAX(P$1:P1081)+1,"")</f>
        <v/>
      </c>
      <c r="Q1082" s="0" t="str">
        <f aca="false">IF(AND(TRIM(F1082)&lt;&gt;"",COUNTIF(F$2:F1082,F1082)=1),MAX(Q$1:Q1081)+1,"")</f>
        <v/>
      </c>
    </row>
    <row r="1083" customFormat="false" ht="15" hidden="false" customHeight="false" outlineLevel="0" collapsed="false">
      <c r="A1083" s="9"/>
      <c r="B1083" s="10"/>
      <c r="C1083" s="11"/>
      <c r="D1083" s="11"/>
      <c r="E1083" s="11"/>
      <c r="F1083" s="11"/>
      <c r="G1083" s="12"/>
      <c r="H1083" s="12"/>
      <c r="I1083" s="10"/>
      <c r="J1083" s="12"/>
      <c r="K1083" s="13" t="str">
        <f aca="false">IF(ISNUMBER(B1083),YEAR(B1083),"")</f>
        <v/>
      </c>
      <c r="L1083" s="13" t="str">
        <f aca="false">IF(ISNUMBER(B1083),MONTH(B1083),"")</f>
        <v/>
      </c>
      <c r="M1083" s="13" t="str">
        <f aca="false">IF(AND(ISNUMBER(B1083),ISNUMBER(I1083)),B1083-I1083+1,"")</f>
        <v/>
      </c>
      <c r="N1083" s="14" t="str">
        <f aca="false">IF(B1083="","",IF(M1083="","시작일 미입력",IF(M1083&lt;1,"시작일 이전(확인)",IF(M1083=1,"1일째",IF(M1083=2,"2일째",IF(M1083=3,"3일째",IF(M1083&lt;=7,"일주일 이내",IF(M1083&lt;=14,"이주일 이내","15일 이후"))))))))</f>
        <v/>
      </c>
      <c r="O1083" s="0" t="str">
        <f aca="false">IF(AND(COUNTA($A1083:$J1083)&gt;0,OR(클레임조회!$C$4="",AND(ISNUMBER($B1083),$B1083&gt;=클레임조회!$C$4)),OR(클레임조회!$C$5="",AND(ISNUMBER($B1083),$B1083&lt;=클레임조회!$C$5)),OR(클레임조회!$C$6="",$C1083=클레임조회!$C$6),OR(클레임조회!$C$7="",$D1083=클레임조회!$C$7),OR(클레임조회!$C$8="",$E1083=클레임조회!$C$8),OR(클레임조회!$C$9="",$F1083=클레임조회!$C$9),OR(클레임조회!$C$10="",ISNUMBER(SEARCH(클레임조회!$C$10,$C1083&amp;" "&amp;$F1083&amp;" "&amp;$G1083&amp;" "&amp;$H1083)))),COUNT(O$1:O1082)+1,"")</f>
        <v/>
      </c>
      <c r="P1083" s="0" t="str">
        <f aca="false">IF(AND(TRIM(C1083)&lt;&gt;"",COUNTIF(C$2:C1083,C1083)=1),MAX(P$1:P1082)+1,"")</f>
        <v/>
      </c>
      <c r="Q1083" s="0" t="str">
        <f aca="false">IF(AND(TRIM(F1083)&lt;&gt;"",COUNTIF(F$2:F1083,F1083)=1),MAX(Q$1:Q1082)+1,"")</f>
        <v/>
      </c>
    </row>
    <row r="1084" customFormat="false" ht="15" hidden="false" customHeight="false" outlineLevel="0" collapsed="false">
      <c r="A1084" s="9"/>
      <c r="B1084" s="10"/>
      <c r="C1084" s="11"/>
      <c r="D1084" s="11"/>
      <c r="E1084" s="11"/>
      <c r="F1084" s="11"/>
      <c r="G1084" s="12"/>
      <c r="H1084" s="12"/>
      <c r="I1084" s="10"/>
      <c r="J1084" s="12"/>
      <c r="K1084" s="13" t="str">
        <f aca="false">IF(ISNUMBER(B1084),YEAR(B1084),"")</f>
        <v/>
      </c>
      <c r="L1084" s="13" t="str">
        <f aca="false">IF(ISNUMBER(B1084),MONTH(B1084),"")</f>
        <v/>
      </c>
      <c r="M1084" s="13" t="str">
        <f aca="false">IF(AND(ISNUMBER(B1084),ISNUMBER(I1084)),B1084-I1084+1,"")</f>
        <v/>
      </c>
      <c r="N1084" s="14" t="str">
        <f aca="false">IF(B1084="","",IF(M1084="","시작일 미입력",IF(M1084&lt;1,"시작일 이전(확인)",IF(M1084=1,"1일째",IF(M1084=2,"2일째",IF(M1084=3,"3일째",IF(M1084&lt;=7,"일주일 이내",IF(M1084&lt;=14,"이주일 이내","15일 이후"))))))))</f>
        <v/>
      </c>
      <c r="O1084" s="0" t="str">
        <f aca="false">IF(AND(COUNTA($A1084:$J1084)&gt;0,OR(클레임조회!$C$4="",AND(ISNUMBER($B1084),$B1084&gt;=클레임조회!$C$4)),OR(클레임조회!$C$5="",AND(ISNUMBER($B1084),$B1084&lt;=클레임조회!$C$5)),OR(클레임조회!$C$6="",$C1084=클레임조회!$C$6),OR(클레임조회!$C$7="",$D1084=클레임조회!$C$7),OR(클레임조회!$C$8="",$E1084=클레임조회!$C$8),OR(클레임조회!$C$9="",$F1084=클레임조회!$C$9),OR(클레임조회!$C$10="",ISNUMBER(SEARCH(클레임조회!$C$10,$C1084&amp;" "&amp;$F1084&amp;" "&amp;$G1084&amp;" "&amp;$H1084)))),COUNT(O$1:O1083)+1,"")</f>
        <v/>
      </c>
      <c r="P1084" s="0" t="str">
        <f aca="false">IF(AND(TRIM(C1084)&lt;&gt;"",COUNTIF(C$2:C1084,C1084)=1),MAX(P$1:P1083)+1,"")</f>
        <v/>
      </c>
      <c r="Q1084" s="0" t="str">
        <f aca="false">IF(AND(TRIM(F1084)&lt;&gt;"",COUNTIF(F$2:F1084,F1084)=1),MAX(Q$1:Q1083)+1,"")</f>
        <v/>
      </c>
    </row>
    <row r="1085" customFormat="false" ht="15" hidden="false" customHeight="false" outlineLevel="0" collapsed="false">
      <c r="A1085" s="9"/>
      <c r="B1085" s="10"/>
      <c r="C1085" s="11"/>
      <c r="D1085" s="11"/>
      <c r="E1085" s="11"/>
      <c r="F1085" s="11"/>
      <c r="G1085" s="12"/>
      <c r="H1085" s="12"/>
      <c r="I1085" s="10"/>
      <c r="J1085" s="12"/>
      <c r="K1085" s="13" t="str">
        <f aca="false">IF(ISNUMBER(B1085),YEAR(B1085),"")</f>
        <v/>
      </c>
      <c r="L1085" s="13" t="str">
        <f aca="false">IF(ISNUMBER(B1085),MONTH(B1085),"")</f>
        <v/>
      </c>
      <c r="M1085" s="13" t="str">
        <f aca="false">IF(AND(ISNUMBER(B1085),ISNUMBER(I1085)),B1085-I1085+1,"")</f>
        <v/>
      </c>
      <c r="N1085" s="14" t="str">
        <f aca="false">IF(B1085="","",IF(M1085="","시작일 미입력",IF(M1085&lt;1,"시작일 이전(확인)",IF(M1085=1,"1일째",IF(M1085=2,"2일째",IF(M1085=3,"3일째",IF(M1085&lt;=7,"일주일 이내",IF(M1085&lt;=14,"이주일 이내","15일 이후"))))))))</f>
        <v/>
      </c>
      <c r="O1085" s="0" t="str">
        <f aca="false">IF(AND(COUNTA($A1085:$J1085)&gt;0,OR(클레임조회!$C$4="",AND(ISNUMBER($B1085),$B1085&gt;=클레임조회!$C$4)),OR(클레임조회!$C$5="",AND(ISNUMBER($B1085),$B1085&lt;=클레임조회!$C$5)),OR(클레임조회!$C$6="",$C1085=클레임조회!$C$6),OR(클레임조회!$C$7="",$D1085=클레임조회!$C$7),OR(클레임조회!$C$8="",$E1085=클레임조회!$C$8),OR(클레임조회!$C$9="",$F1085=클레임조회!$C$9),OR(클레임조회!$C$10="",ISNUMBER(SEARCH(클레임조회!$C$10,$C1085&amp;" "&amp;$F1085&amp;" "&amp;$G1085&amp;" "&amp;$H1085)))),COUNT(O$1:O1084)+1,"")</f>
        <v/>
      </c>
      <c r="P1085" s="0" t="str">
        <f aca="false">IF(AND(TRIM(C1085)&lt;&gt;"",COUNTIF(C$2:C1085,C1085)=1),MAX(P$1:P1084)+1,"")</f>
        <v/>
      </c>
      <c r="Q1085" s="0" t="str">
        <f aca="false">IF(AND(TRIM(F1085)&lt;&gt;"",COUNTIF(F$2:F1085,F1085)=1),MAX(Q$1:Q1084)+1,"")</f>
        <v/>
      </c>
    </row>
    <row r="1086" customFormat="false" ht="15" hidden="false" customHeight="false" outlineLevel="0" collapsed="false">
      <c r="A1086" s="9"/>
      <c r="B1086" s="10"/>
      <c r="C1086" s="11"/>
      <c r="D1086" s="11"/>
      <c r="E1086" s="11"/>
      <c r="F1086" s="11"/>
      <c r="G1086" s="12"/>
      <c r="H1086" s="12"/>
      <c r="I1086" s="10"/>
      <c r="J1086" s="12"/>
      <c r="K1086" s="13" t="str">
        <f aca="false">IF(ISNUMBER(B1086),YEAR(B1086),"")</f>
        <v/>
      </c>
      <c r="L1086" s="13" t="str">
        <f aca="false">IF(ISNUMBER(B1086),MONTH(B1086),"")</f>
        <v/>
      </c>
      <c r="M1086" s="13" t="str">
        <f aca="false">IF(AND(ISNUMBER(B1086),ISNUMBER(I1086)),B1086-I1086+1,"")</f>
        <v/>
      </c>
      <c r="N1086" s="14" t="str">
        <f aca="false">IF(B1086="","",IF(M1086="","시작일 미입력",IF(M1086&lt;1,"시작일 이전(확인)",IF(M1086=1,"1일째",IF(M1086=2,"2일째",IF(M1086=3,"3일째",IF(M1086&lt;=7,"일주일 이내",IF(M1086&lt;=14,"이주일 이내","15일 이후"))))))))</f>
        <v/>
      </c>
      <c r="O1086" s="0" t="str">
        <f aca="false">IF(AND(COUNTA($A1086:$J1086)&gt;0,OR(클레임조회!$C$4="",AND(ISNUMBER($B1086),$B1086&gt;=클레임조회!$C$4)),OR(클레임조회!$C$5="",AND(ISNUMBER($B1086),$B1086&lt;=클레임조회!$C$5)),OR(클레임조회!$C$6="",$C1086=클레임조회!$C$6),OR(클레임조회!$C$7="",$D1086=클레임조회!$C$7),OR(클레임조회!$C$8="",$E1086=클레임조회!$C$8),OR(클레임조회!$C$9="",$F1086=클레임조회!$C$9),OR(클레임조회!$C$10="",ISNUMBER(SEARCH(클레임조회!$C$10,$C1086&amp;" "&amp;$F1086&amp;" "&amp;$G1086&amp;" "&amp;$H1086)))),COUNT(O$1:O1085)+1,"")</f>
        <v/>
      </c>
      <c r="P1086" s="0" t="str">
        <f aca="false">IF(AND(TRIM(C1086)&lt;&gt;"",COUNTIF(C$2:C1086,C1086)=1),MAX(P$1:P1085)+1,"")</f>
        <v/>
      </c>
      <c r="Q1086" s="0" t="str">
        <f aca="false">IF(AND(TRIM(F1086)&lt;&gt;"",COUNTIF(F$2:F1086,F1086)=1),MAX(Q$1:Q1085)+1,"")</f>
        <v/>
      </c>
    </row>
    <row r="1087" customFormat="false" ht="15" hidden="false" customHeight="false" outlineLevel="0" collapsed="false">
      <c r="A1087" s="9"/>
      <c r="B1087" s="10"/>
      <c r="C1087" s="11"/>
      <c r="D1087" s="11"/>
      <c r="E1087" s="11"/>
      <c r="F1087" s="11"/>
      <c r="G1087" s="12"/>
      <c r="H1087" s="12"/>
      <c r="I1087" s="10"/>
      <c r="J1087" s="12"/>
      <c r="K1087" s="13" t="str">
        <f aca="false">IF(ISNUMBER(B1087),YEAR(B1087),"")</f>
        <v/>
      </c>
      <c r="L1087" s="13" t="str">
        <f aca="false">IF(ISNUMBER(B1087),MONTH(B1087),"")</f>
        <v/>
      </c>
      <c r="M1087" s="13" t="str">
        <f aca="false">IF(AND(ISNUMBER(B1087),ISNUMBER(I1087)),B1087-I1087+1,"")</f>
        <v/>
      </c>
      <c r="N1087" s="14" t="str">
        <f aca="false">IF(B1087="","",IF(M1087="","시작일 미입력",IF(M1087&lt;1,"시작일 이전(확인)",IF(M1087=1,"1일째",IF(M1087=2,"2일째",IF(M1087=3,"3일째",IF(M1087&lt;=7,"일주일 이내",IF(M1087&lt;=14,"이주일 이내","15일 이후"))))))))</f>
        <v/>
      </c>
      <c r="O1087" s="0" t="str">
        <f aca="false">IF(AND(COUNTA($A1087:$J1087)&gt;0,OR(클레임조회!$C$4="",AND(ISNUMBER($B1087),$B1087&gt;=클레임조회!$C$4)),OR(클레임조회!$C$5="",AND(ISNUMBER($B1087),$B1087&lt;=클레임조회!$C$5)),OR(클레임조회!$C$6="",$C1087=클레임조회!$C$6),OR(클레임조회!$C$7="",$D1087=클레임조회!$C$7),OR(클레임조회!$C$8="",$E1087=클레임조회!$C$8),OR(클레임조회!$C$9="",$F1087=클레임조회!$C$9),OR(클레임조회!$C$10="",ISNUMBER(SEARCH(클레임조회!$C$10,$C1087&amp;" "&amp;$F1087&amp;" "&amp;$G1087&amp;" "&amp;$H1087)))),COUNT(O$1:O1086)+1,"")</f>
        <v/>
      </c>
      <c r="P1087" s="0" t="str">
        <f aca="false">IF(AND(TRIM(C1087)&lt;&gt;"",COUNTIF(C$2:C1087,C1087)=1),MAX(P$1:P1086)+1,"")</f>
        <v/>
      </c>
      <c r="Q1087" s="0" t="str">
        <f aca="false">IF(AND(TRIM(F1087)&lt;&gt;"",COUNTIF(F$2:F1087,F1087)=1),MAX(Q$1:Q1086)+1,"")</f>
        <v/>
      </c>
    </row>
    <row r="1088" customFormat="false" ht="15" hidden="false" customHeight="false" outlineLevel="0" collapsed="false">
      <c r="A1088" s="9"/>
      <c r="B1088" s="10"/>
      <c r="C1088" s="11"/>
      <c r="D1088" s="11"/>
      <c r="E1088" s="11"/>
      <c r="F1088" s="11"/>
      <c r="G1088" s="12"/>
      <c r="H1088" s="12"/>
      <c r="I1088" s="10"/>
      <c r="J1088" s="12"/>
      <c r="K1088" s="13" t="str">
        <f aca="false">IF(ISNUMBER(B1088),YEAR(B1088),"")</f>
        <v/>
      </c>
      <c r="L1088" s="13" t="str">
        <f aca="false">IF(ISNUMBER(B1088),MONTH(B1088),"")</f>
        <v/>
      </c>
      <c r="M1088" s="13" t="str">
        <f aca="false">IF(AND(ISNUMBER(B1088),ISNUMBER(I1088)),B1088-I1088+1,"")</f>
        <v/>
      </c>
      <c r="N1088" s="14" t="str">
        <f aca="false">IF(B1088="","",IF(M1088="","시작일 미입력",IF(M1088&lt;1,"시작일 이전(확인)",IF(M1088=1,"1일째",IF(M1088=2,"2일째",IF(M1088=3,"3일째",IF(M1088&lt;=7,"일주일 이내",IF(M1088&lt;=14,"이주일 이내","15일 이후"))))))))</f>
        <v/>
      </c>
      <c r="O1088" s="0" t="str">
        <f aca="false">IF(AND(COUNTA($A1088:$J1088)&gt;0,OR(클레임조회!$C$4="",AND(ISNUMBER($B1088),$B1088&gt;=클레임조회!$C$4)),OR(클레임조회!$C$5="",AND(ISNUMBER($B1088),$B1088&lt;=클레임조회!$C$5)),OR(클레임조회!$C$6="",$C1088=클레임조회!$C$6),OR(클레임조회!$C$7="",$D1088=클레임조회!$C$7),OR(클레임조회!$C$8="",$E1088=클레임조회!$C$8),OR(클레임조회!$C$9="",$F1088=클레임조회!$C$9),OR(클레임조회!$C$10="",ISNUMBER(SEARCH(클레임조회!$C$10,$C1088&amp;" "&amp;$F1088&amp;" "&amp;$G1088&amp;" "&amp;$H1088)))),COUNT(O$1:O1087)+1,"")</f>
        <v/>
      </c>
      <c r="P1088" s="0" t="str">
        <f aca="false">IF(AND(TRIM(C1088)&lt;&gt;"",COUNTIF(C$2:C1088,C1088)=1),MAX(P$1:P1087)+1,"")</f>
        <v/>
      </c>
      <c r="Q1088" s="0" t="str">
        <f aca="false">IF(AND(TRIM(F1088)&lt;&gt;"",COUNTIF(F$2:F1088,F1088)=1),MAX(Q$1:Q1087)+1,"")</f>
        <v/>
      </c>
    </row>
    <row r="1089" customFormat="false" ht="15" hidden="false" customHeight="false" outlineLevel="0" collapsed="false">
      <c r="A1089" s="9"/>
      <c r="B1089" s="10"/>
      <c r="C1089" s="11"/>
      <c r="D1089" s="11"/>
      <c r="E1089" s="11"/>
      <c r="F1089" s="11"/>
      <c r="G1089" s="12"/>
      <c r="H1089" s="12"/>
      <c r="I1089" s="10"/>
      <c r="J1089" s="12"/>
      <c r="K1089" s="13" t="str">
        <f aca="false">IF(ISNUMBER(B1089),YEAR(B1089),"")</f>
        <v/>
      </c>
      <c r="L1089" s="13" t="str">
        <f aca="false">IF(ISNUMBER(B1089),MONTH(B1089),"")</f>
        <v/>
      </c>
      <c r="M1089" s="13" t="str">
        <f aca="false">IF(AND(ISNUMBER(B1089),ISNUMBER(I1089)),B1089-I1089+1,"")</f>
        <v/>
      </c>
      <c r="N1089" s="14" t="str">
        <f aca="false">IF(B1089="","",IF(M1089="","시작일 미입력",IF(M1089&lt;1,"시작일 이전(확인)",IF(M1089=1,"1일째",IF(M1089=2,"2일째",IF(M1089=3,"3일째",IF(M1089&lt;=7,"일주일 이내",IF(M1089&lt;=14,"이주일 이내","15일 이후"))))))))</f>
        <v/>
      </c>
      <c r="O1089" s="0" t="str">
        <f aca="false">IF(AND(COUNTA($A1089:$J1089)&gt;0,OR(클레임조회!$C$4="",AND(ISNUMBER($B1089),$B1089&gt;=클레임조회!$C$4)),OR(클레임조회!$C$5="",AND(ISNUMBER($B1089),$B1089&lt;=클레임조회!$C$5)),OR(클레임조회!$C$6="",$C1089=클레임조회!$C$6),OR(클레임조회!$C$7="",$D1089=클레임조회!$C$7),OR(클레임조회!$C$8="",$E1089=클레임조회!$C$8),OR(클레임조회!$C$9="",$F1089=클레임조회!$C$9),OR(클레임조회!$C$10="",ISNUMBER(SEARCH(클레임조회!$C$10,$C1089&amp;" "&amp;$F1089&amp;" "&amp;$G1089&amp;" "&amp;$H1089)))),COUNT(O$1:O1088)+1,"")</f>
        <v/>
      </c>
      <c r="P1089" s="0" t="str">
        <f aca="false">IF(AND(TRIM(C1089)&lt;&gt;"",COUNTIF(C$2:C1089,C1089)=1),MAX(P$1:P1088)+1,"")</f>
        <v/>
      </c>
      <c r="Q1089" s="0" t="str">
        <f aca="false">IF(AND(TRIM(F1089)&lt;&gt;"",COUNTIF(F$2:F1089,F1089)=1),MAX(Q$1:Q1088)+1,"")</f>
        <v/>
      </c>
    </row>
    <row r="1090" customFormat="false" ht="15" hidden="false" customHeight="false" outlineLevel="0" collapsed="false">
      <c r="A1090" s="9"/>
      <c r="B1090" s="10"/>
      <c r="C1090" s="11"/>
      <c r="D1090" s="11"/>
      <c r="E1090" s="11"/>
      <c r="F1090" s="11"/>
      <c r="G1090" s="12"/>
      <c r="H1090" s="12"/>
      <c r="I1090" s="10"/>
      <c r="J1090" s="12"/>
      <c r="K1090" s="13" t="str">
        <f aca="false">IF(ISNUMBER(B1090),YEAR(B1090),"")</f>
        <v/>
      </c>
      <c r="L1090" s="13" t="str">
        <f aca="false">IF(ISNUMBER(B1090),MONTH(B1090),"")</f>
        <v/>
      </c>
      <c r="M1090" s="13" t="str">
        <f aca="false">IF(AND(ISNUMBER(B1090),ISNUMBER(I1090)),B1090-I1090+1,"")</f>
        <v/>
      </c>
      <c r="N1090" s="14" t="str">
        <f aca="false">IF(B1090="","",IF(M1090="","시작일 미입력",IF(M1090&lt;1,"시작일 이전(확인)",IF(M1090=1,"1일째",IF(M1090=2,"2일째",IF(M1090=3,"3일째",IF(M1090&lt;=7,"일주일 이내",IF(M1090&lt;=14,"이주일 이내","15일 이후"))))))))</f>
        <v/>
      </c>
      <c r="O1090" s="0" t="str">
        <f aca="false">IF(AND(COUNTA($A1090:$J1090)&gt;0,OR(클레임조회!$C$4="",AND(ISNUMBER($B1090),$B1090&gt;=클레임조회!$C$4)),OR(클레임조회!$C$5="",AND(ISNUMBER($B1090),$B1090&lt;=클레임조회!$C$5)),OR(클레임조회!$C$6="",$C1090=클레임조회!$C$6),OR(클레임조회!$C$7="",$D1090=클레임조회!$C$7),OR(클레임조회!$C$8="",$E1090=클레임조회!$C$8),OR(클레임조회!$C$9="",$F1090=클레임조회!$C$9),OR(클레임조회!$C$10="",ISNUMBER(SEARCH(클레임조회!$C$10,$C1090&amp;" "&amp;$F1090&amp;" "&amp;$G1090&amp;" "&amp;$H1090)))),COUNT(O$1:O1089)+1,"")</f>
        <v/>
      </c>
      <c r="P1090" s="0" t="str">
        <f aca="false">IF(AND(TRIM(C1090)&lt;&gt;"",COUNTIF(C$2:C1090,C1090)=1),MAX(P$1:P1089)+1,"")</f>
        <v/>
      </c>
      <c r="Q1090" s="0" t="str">
        <f aca="false">IF(AND(TRIM(F1090)&lt;&gt;"",COUNTIF(F$2:F1090,F1090)=1),MAX(Q$1:Q1089)+1,"")</f>
        <v/>
      </c>
    </row>
    <row r="1091" customFormat="false" ht="15" hidden="false" customHeight="false" outlineLevel="0" collapsed="false">
      <c r="A1091" s="9"/>
      <c r="B1091" s="10"/>
      <c r="C1091" s="11"/>
      <c r="D1091" s="11"/>
      <c r="E1091" s="11"/>
      <c r="F1091" s="11"/>
      <c r="G1091" s="12"/>
      <c r="H1091" s="12"/>
      <c r="I1091" s="10"/>
      <c r="J1091" s="12"/>
      <c r="K1091" s="13" t="str">
        <f aca="false">IF(ISNUMBER(B1091),YEAR(B1091),"")</f>
        <v/>
      </c>
      <c r="L1091" s="13" t="str">
        <f aca="false">IF(ISNUMBER(B1091),MONTH(B1091),"")</f>
        <v/>
      </c>
      <c r="M1091" s="13" t="str">
        <f aca="false">IF(AND(ISNUMBER(B1091),ISNUMBER(I1091)),B1091-I1091+1,"")</f>
        <v/>
      </c>
      <c r="N1091" s="14" t="str">
        <f aca="false">IF(B1091="","",IF(M1091="","시작일 미입력",IF(M1091&lt;1,"시작일 이전(확인)",IF(M1091=1,"1일째",IF(M1091=2,"2일째",IF(M1091=3,"3일째",IF(M1091&lt;=7,"일주일 이내",IF(M1091&lt;=14,"이주일 이내","15일 이후"))))))))</f>
        <v/>
      </c>
      <c r="O1091" s="0" t="str">
        <f aca="false">IF(AND(COUNTA($A1091:$J1091)&gt;0,OR(클레임조회!$C$4="",AND(ISNUMBER($B1091),$B1091&gt;=클레임조회!$C$4)),OR(클레임조회!$C$5="",AND(ISNUMBER($B1091),$B1091&lt;=클레임조회!$C$5)),OR(클레임조회!$C$6="",$C1091=클레임조회!$C$6),OR(클레임조회!$C$7="",$D1091=클레임조회!$C$7),OR(클레임조회!$C$8="",$E1091=클레임조회!$C$8),OR(클레임조회!$C$9="",$F1091=클레임조회!$C$9),OR(클레임조회!$C$10="",ISNUMBER(SEARCH(클레임조회!$C$10,$C1091&amp;" "&amp;$F1091&amp;" "&amp;$G1091&amp;" "&amp;$H1091)))),COUNT(O$1:O1090)+1,"")</f>
        <v/>
      </c>
      <c r="P1091" s="0" t="str">
        <f aca="false">IF(AND(TRIM(C1091)&lt;&gt;"",COUNTIF(C$2:C1091,C1091)=1),MAX(P$1:P1090)+1,"")</f>
        <v/>
      </c>
      <c r="Q1091" s="0" t="str">
        <f aca="false">IF(AND(TRIM(F1091)&lt;&gt;"",COUNTIF(F$2:F1091,F1091)=1),MAX(Q$1:Q1090)+1,"")</f>
        <v/>
      </c>
    </row>
    <row r="1092" customFormat="false" ht="15" hidden="false" customHeight="false" outlineLevel="0" collapsed="false">
      <c r="A1092" s="9"/>
      <c r="B1092" s="10"/>
      <c r="C1092" s="11"/>
      <c r="D1092" s="11"/>
      <c r="E1092" s="11"/>
      <c r="F1092" s="11"/>
      <c r="G1092" s="12"/>
      <c r="H1092" s="12"/>
      <c r="I1092" s="10"/>
      <c r="J1092" s="12"/>
      <c r="K1092" s="13" t="str">
        <f aca="false">IF(ISNUMBER(B1092),YEAR(B1092),"")</f>
        <v/>
      </c>
      <c r="L1092" s="13" t="str">
        <f aca="false">IF(ISNUMBER(B1092),MONTH(B1092),"")</f>
        <v/>
      </c>
      <c r="M1092" s="13" t="str">
        <f aca="false">IF(AND(ISNUMBER(B1092),ISNUMBER(I1092)),B1092-I1092+1,"")</f>
        <v/>
      </c>
      <c r="N1092" s="14" t="str">
        <f aca="false">IF(B1092="","",IF(M1092="","시작일 미입력",IF(M1092&lt;1,"시작일 이전(확인)",IF(M1092=1,"1일째",IF(M1092=2,"2일째",IF(M1092=3,"3일째",IF(M1092&lt;=7,"일주일 이내",IF(M1092&lt;=14,"이주일 이내","15일 이후"))))))))</f>
        <v/>
      </c>
      <c r="O1092" s="0" t="str">
        <f aca="false">IF(AND(COUNTA($A1092:$J1092)&gt;0,OR(클레임조회!$C$4="",AND(ISNUMBER($B1092),$B1092&gt;=클레임조회!$C$4)),OR(클레임조회!$C$5="",AND(ISNUMBER($B1092),$B1092&lt;=클레임조회!$C$5)),OR(클레임조회!$C$6="",$C1092=클레임조회!$C$6),OR(클레임조회!$C$7="",$D1092=클레임조회!$C$7),OR(클레임조회!$C$8="",$E1092=클레임조회!$C$8),OR(클레임조회!$C$9="",$F1092=클레임조회!$C$9),OR(클레임조회!$C$10="",ISNUMBER(SEARCH(클레임조회!$C$10,$C1092&amp;" "&amp;$F1092&amp;" "&amp;$G1092&amp;" "&amp;$H1092)))),COUNT(O$1:O1091)+1,"")</f>
        <v/>
      </c>
      <c r="P1092" s="0" t="str">
        <f aca="false">IF(AND(TRIM(C1092)&lt;&gt;"",COUNTIF(C$2:C1092,C1092)=1),MAX(P$1:P1091)+1,"")</f>
        <v/>
      </c>
      <c r="Q1092" s="0" t="str">
        <f aca="false">IF(AND(TRIM(F1092)&lt;&gt;"",COUNTIF(F$2:F1092,F1092)=1),MAX(Q$1:Q1091)+1,"")</f>
        <v/>
      </c>
    </row>
    <row r="1093" customFormat="false" ht="15" hidden="false" customHeight="false" outlineLevel="0" collapsed="false">
      <c r="A1093" s="9"/>
      <c r="B1093" s="10"/>
      <c r="C1093" s="11"/>
      <c r="D1093" s="11"/>
      <c r="E1093" s="11"/>
      <c r="F1093" s="11"/>
      <c r="G1093" s="12"/>
      <c r="H1093" s="12"/>
      <c r="I1093" s="10"/>
      <c r="J1093" s="12"/>
      <c r="K1093" s="13" t="str">
        <f aca="false">IF(ISNUMBER(B1093),YEAR(B1093),"")</f>
        <v/>
      </c>
      <c r="L1093" s="13" t="str">
        <f aca="false">IF(ISNUMBER(B1093),MONTH(B1093),"")</f>
        <v/>
      </c>
      <c r="M1093" s="13" t="str">
        <f aca="false">IF(AND(ISNUMBER(B1093),ISNUMBER(I1093)),B1093-I1093+1,"")</f>
        <v/>
      </c>
      <c r="N1093" s="14" t="str">
        <f aca="false">IF(B1093="","",IF(M1093="","시작일 미입력",IF(M1093&lt;1,"시작일 이전(확인)",IF(M1093=1,"1일째",IF(M1093=2,"2일째",IF(M1093=3,"3일째",IF(M1093&lt;=7,"일주일 이내",IF(M1093&lt;=14,"이주일 이내","15일 이후"))))))))</f>
        <v/>
      </c>
      <c r="O1093" s="0" t="str">
        <f aca="false">IF(AND(COUNTA($A1093:$J1093)&gt;0,OR(클레임조회!$C$4="",AND(ISNUMBER($B1093),$B1093&gt;=클레임조회!$C$4)),OR(클레임조회!$C$5="",AND(ISNUMBER($B1093),$B1093&lt;=클레임조회!$C$5)),OR(클레임조회!$C$6="",$C1093=클레임조회!$C$6),OR(클레임조회!$C$7="",$D1093=클레임조회!$C$7),OR(클레임조회!$C$8="",$E1093=클레임조회!$C$8),OR(클레임조회!$C$9="",$F1093=클레임조회!$C$9),OR(클레임조회!$C$10="",ISNUMBER(SEARCH(클레임조회!$C$10,$C1093&amp;" "&amp;$F1093&amp;" "&amp;$G1093&amp;" "&amp;$H1093)))),COUNT(O$1:O1092)+1,"")</f>
        <v/>
      </c>
      <c r="P1093" s="0" t="str">
        <f aca="false">IF(AND(TRIM(C1093)&lt;&gt;"",COUNTIF(C$2:C1093,C1093)=1),MAX(P$1:P1092)+1,"")</f>
        <v/>
      </c>
      <c r="Q1093" s="0" t="str">
        <f aca="false">IF(AND(TRIM(F1093)&lt;&gt;"",COUNTIF(F$2:F1093,F1093)=1),MAX(Q$1:Q1092)+1,"")</f>
        <v/>
      </c>
    </row>
    <row r="1094" customFormat="false" ht="15" hidden="false" customHeight="false" outlineLevel="0" collapsed="false">
      <c r="A1094" s="9"/>
      <c r="B1094" s="10"/>
      <c r="C1094" s="11"/>
      <c r="D1094" s="11"/>
      <c r="E1094" s="11"/>
      <c r="F1094" s="11"/>
      <c r="G1094" s="12"/>
      <c r="H1094" s="12"/>
      <c r="I1094" s="10"/>
      <c r="J1094" s="12"/>
      <c r="K1094" s="13" t="str">
        <f aca="false">IF(ISNUMBER(B1094),YEAR(B1094),"")</f>
        <v/>
      </c>
      <c r="L1094" s="13" t="str">
        <f aca="false">IF(ISNUMBER(B1094),MONTH(B1094),"")</f>
        <v/>
      </c>
      <c r="M1094" s="13" t="str">
        <f aca="false">IF(AND(ISNUMBER(B1094),ISNUMBER(I1094)),B1094-I1094+1,"")</f>
        <v/>
      </c>
      <c r="N1094" s="14" t="str">
        <f aca="false">IF(B1094="","",IF(M1094="","시작일 미입력",IF(M1094&lt;1,"시작일 이전(확인)",IF(M1094=1,"1일째",IF(M1094=2,"2일째",IF(M1094=3,"3일째",IF(M1094&lt;=7,"일주일 이내",IF(M1094&lt;=14,"이주일 이내","15일 이후"))))))))</f>
        <v/>
      </c>
      <c r="O1094" s="0" t="str">
        <f aca="false">IF(AND(COUNTA($A1094:$J1094)&gt;0,OR(클레임조회!$C$4="",AND(ISNUMBER($B1094),$B1094&gt;=클레임조회!$C$4)),OR(클레임조회!$C$5="",AND(ISNUMBER($B1094),$B1094&lt;=클레임조회!$C$5)),OR(클레임조회!$C$6="",$C1094=클레임조회!$C$6),OR(클레임조회!$C$7="",$D1094=클레임조회!$C$7),OR(클레임조회!$C$8="",$E1094=클레임조회!$C$8),OR(클레임조회!$C$9="",$F1094=클레임조회!$C$9),OR(클레임조회!$C$10="",ISNUMBER(SEARCH(클레임조회!$C$10,$C1094&amp;" "&amp;$F1094&amp;" "&amp;$G1094&amp;" "&amp;$H1094)))),COUNT(O$1:O1093)+1,"")</f>
        <v/>
      </c>
      <c r="P1094" s="0" t="str">
        <f aca="false">IF(AND(TRIM(C1094)&lt;&gt;"",COUNTIF(C$2:C1094,C1094)=1),MAX(P$1:P1093)+1,"")</f>
        <v/>
      </c>
      <c r="Q1094" s="0" t="str">
        <f aca="false">IF(AND(TRIM(F1094)&lt;&gt;"",COUNTIF(F$2:F1094,F1094)=1),MAX(Q$1:Q1093)+1,"")</f>
        <v/>
      </c>
    </row>
    <row r="1095" customFormat="false" ht="15" hidden="false" customHeight="false" outlineLevel="0" collapsed="false">
      <c r="A1095" s="9"/>
      <c r="B1095" s="10"/>
      <c r="C1095" s="11"/>
      <c r="D1095" s="11"/>
      <c r="E1095" s="11"/>
      <c r="F1095" s="11"/>
      <c r="G1095" s="12"/>
      <c r="H1095" s="12"/>
      <c r="I1095" s="10"/>
      <c r="J1095" s="12"/>
      <c r="K1095" s="13" t="str">
        <f aca="false">IF(ISNUMBER(B1095),YEAR(B1095),"")</f>
        <v/>
      </c>
      <c r="L1095" s="13" t="str">
        <f aca="false">IF(ISNUMBER(B1095),MONTH(B1095),"")</f>
        <v/>
      </c>
      <c r="M1095" s="13" t="str">
        <f aca="false">IF(AND(ISNUMBER(B1095),ISNUMBER(I1095)),B1095-I1095+1,"")</f>
        <v/>
      </c>
      <c r="N1095" s="14" t="str">
        <f aca="false">IF(B1095="","",IF(M1095="","시작일 미입력",IF(M1095&lt;1,"시작일 이전(확인)",IF(M1095=1,"1일째",IF(M1095=2,"2일째",IF(M1095=3,"3일째",IF(M1095&lt;=7,"일주일 이내",IF(M1095&lt;=14,"이주일 이내","15일 이후"))))))))</f>
        <v/>
      </c>
      <c r="O1095" s="0" t="str">
        <f aca="false">IF(AND(COUNTA($A1095:$J1095)&gt;0,OR(클레임조회!$C$4="",AND(ISNUMBER($B1095),$B1095&gt;=클레임조회!$C$4)),OR(클레임조회!$C$5="",AND(ISNUMBER($B1095),$B1095&lt;=클레임조회!$C$5)),OR(클레임조회!$C$6="",$C1095=클레임조회!$C$6),OR(클레임조회!$C$7="",$D1095=클레임조회!$C$7),OR(클레임조회!$C$8="",$E1095=클레임조회!$C$8),OR(클레임조회!$C$9="",$F1095=클레임조회!$C$9),OR(클레임조회!$C$10="",ISNUMBER(SEARCH(클레임조회!$C$10,$C1095&amp;" "&amp;$F1095&amp;" "&amp;$G1095&amp;" "&amp;$H1095)))),COUNT(O$1:O1094)+1,"")</f>
        <v/>
      </c>
      <c r="P1095" s="0" t="str">
        <f aca="false">IF(AND(TRIM(C1095)&lt;&gt;"",COUNTIF(C$2:C1095,C1095)=1),MAX(P$1:P1094)+1,"")</f>
        <v/>
      </c>
      <c r="Q1095" s="0" t="str">
        <f aca="false">IF(AND(TRIM(F1095)&lt;&gt;"",COUNTIF(F$2:F1095,F1095)=1),MAX(Q$1:Q1094)+1,"")</f>
        <v/>
      </c>
    </row>
    <row r="1096" customFormat="false" ht="15" hidden="false" customHeight="false" outlineLevel="0" collapsed="false">
      <c r="A1096" s="9"/>
      <c r="B1096" s="10"/>
      <c r="C1096" s="11"/>
      <c r="D1096" s="11"/>
      <c r="E1096" s="11"/>
      <c r="F1096" s="11"/>
      <c r="G1096" s="12"/>
      <c r="H1096" s="12"/>
      <c r="I1096" s="10"/>
      <c r="J1096" s="12"/>
      <c r="K1096" s="13" t="str">
        <f aca="false">IF(ISNUMBER(B1096),YEAR(B1096),"")</f>
        <v/>
      </c>
      <c r="L1096" s="13" t="str">
        <f aca="false">IF(ISNUMBER(B1096),MONTH(B1096),"")</f>
        <v/>
      </c>
      <c r="M1096" s="13" t="str">
        <f aca="false">IF(AND(ISNUMBER(B1096),ISNUMBER(I1096)),B1096-I1096+1,"")</f>
        <v/>
      </c>
      <c r="N1096" s="14" t="str">
        <f aca="false">IF(B1096="","",IF(M1096="","시작일 미입력",IF(M1096&lt;1,"시작일 이전(확인)",IF(M1096=1,"1일째",IF(M1096=2,"2일째",IF(M1096=3,"3일째",IF(M1096&lt;=7,"일주일 이내",IF(M1096&lt;=14,"이주일 이내","15일 이후"))))))))</f>
        <v/>
      </c>
      <c r="O1096" s="0" t="str">
        <f aca="false">IF(AND(COUNTA($A1096:$J1096)&gt;0,OR(클레임조회!$C$4="",AND(ISNUMBER($B1096),$B1096&gt;=클레임조회!$C$4)),OR(클레임조회!$C$5="",AND(ISNUMBER($B1096),$B1096&lt;=클레임조회!$C$5)),OR(클레임조회!$C$6="",$C1096=클레임조회!$C$6),OR(클레임조회!$C$7="",$D1096=클레임조회!$C$7),OR(클레임조회!$C$8="",$E1096=클레임조회!$C$8),OR(클레임조회!$C$9="",$F1096=클레임조회!$C$9),OR(클레임조회!$C$10="",ISNUMBER(SEARCH(클레임조회!$C$10,$C1096&amp;" "&amp;$F1096&amp;" "&amp;$G1096&amp;" "&amp;$H1096)))),COUNT(O$1:O1095)+1,"")</f>
        <v/>
      </c>
      <c r="P1096" s="0" t="str">
        <f aca="false">IF(AND(TRIM(C1096)&lt;&gt;"",COUNTIF(C$2:C1096,C1096)=1),MAX(P$1:P1095)+1,"")</f>
        <v/>
      </c>
      <c r="Q1096" s="0" t="str">
        <f aca="false">IF(AND(TRIM(F1096)&lt;&gt;"",COUNTIF(F$2:F1096,F1096)=1),MAX(Q$1:Q1095)+1,"")</f>
        <v/>
      </c>
    </row>
    <row r="1097" customFormat="false" ht="15" hidden="false" customHeight="false" outlineLevel="0" collapsed="false">
      <c r="A1097" s="9"/>
      <c r="B1097" s="10"/>
      <c r="C1097" s="11"/>
      <c r="D1097" s="11"/>
      <c r="E1097" s="11"/>
      <c r="F1097" s="11"/>
      <c r="G1097" s="12"/>
      <c r="H1097" s="12"/>
      <c r="I1097" s="10"/>
      <c r="J1097" s="12"/>
      <c r="K1097" s="13" t="str">
        <f aca="false">IF(ISNUMBER(B1097),YEAR(B1097),"")</f>
        <v/>
      </c>
      <c r="L1097" s="13" t="str">
        <f aca="false">IF(ISNUMBER(B1097),MONTH(B1097),"")</f>
        <v/>
      </c>
      <c r="M1097" s="13" t="str">
        <f aca="false">IF(AND(ISNUMBER(B1097),ISNUMBER(I1097)),B1097-I1097+1,"")</f>
        <v/>
      </c>
      <c r="N1097" s="14" t="str">
        <f aca="false">IF(B1097="","",IF(M1097="","시작일 미입력",IF(M1097&lt;1,"시작일 이전(확인)",IF(M1097=1,"1일째",IF(M1097=2,"2일째",IF(M1097=3,"3일째",IF(M1097&lt;=7,"일주일 이내",IF(M1097&lt;=14,"이주일 이내","15일 이후"))))))))</f>
        <v/>
      </c>
      <c r="O1097" s="0" t="str">
        <f aca="false">IF(AND(COUNTA($A1097:$J1097)&gt;0,OR(클레임조회!$C$4="",AND(ISNUMBER($B1097),$B1097&gt;=클레임조회!$C$4)),OR(클레임조회!$C$5="",AND(ISNUMBER($B1097),$B1097&lt;=클레임조회!$C$5)),OR(클레임조회!$C$6="",$C1097=클레임조회!$C$6),OR(클레임조회!$C$7="",$D1097=클레임조회!$C$7),OR(클레임조회!$C$8="",$E1097=클레임조회!$C$8),OR(클레임조회!$C$9="",$F1097=클레임조회!$C$9),OR(클레임조회!$C$10="",ISNUMBER(SEARCH(클레임조회!$C$10,$C1097&amp;" "&amp;$F1097&amp;" "&amp;$G1097&amp;" "&amp;$H1097)))),COUNT(O$1:O1096)+1,"")</f>
        <v/>
      </c>
      <c r="P1097" s="0" t="str">
        <f aca="false">IF(AND(TRIM(C1097)&lt;&gt;"",COUNTIF(C$2:C1097,C1097)=1),MAX(P$1:P1096)+1,"")</f>
        <v/>
      </c>
      <c r="Q1097" s="0" t="str">
        <f aca="false">IF(AND(TRIM(F1097)&lt;&gt;"",COUNTIF(F$2:F1097,F1097)=1),MAX(Q$1:Q1096)+1,"")</f>
        <v/>
      </c>
    </row>
    <row r="1098" customFormat="false" ht="15" hidden="false" customHeight="false" outlineLevel="0" collapsed="false">
      <c r="A1098" s="9"/>
      <c r="B1098" s="10"/>
      <c r="C1098" s="11"/>
      <c r="D1098" s="11"/>
      <c r="E1098" s="11"/>
      <c r="F1098" s="11"/>
      <c r="G1098" s="12"/>
      <c r="H1098" s="12"/>
      <c r="I1098" s="10"/>
      <c r="J1098" s="12"/>
      <c r="K1098" s="13" t="str">
        <f aca="false">IF(ISNUMBER(B1098),YEAR(B1098),"")</f>
        <v/>
      </c>
      <c r="L1098" s="13" t="str">
        <f aca="false">IF(ISNUMBER(B1098),MONTH(B1098),"")</f>
        <v/>
      </c>
      <c r="M1098" s="13" t="str">
        <f aca="false">IF(AND(ISNUMBER(B1098),ISNUMBER(I1098)),B1098-I1098+1,"")</f>
        <v/>
      </c>
      <c r="N1098" s="14" t="str">
        <f aca="false">IF(B1098="","",IF(M1098="","시작일 미입력",IF(M1098&lt;1,"시작일 이전(확인)",IF(M1098=1,"1일째",IF(M1098=2,"2일째",IF(M1098=3,"3일째",IF(M1098&lt;=7,"일주일 이내",IF(M1098&lt;=14,"이주일 이내","15일 이후"))))))))</f>
        <v/>
      </c>
      <c r="O1098" s="0" t="str">
        <f aca="false">IF(AND(COUNTA($A1098:$J1098)&gt;0,OR(클레임조회!$C$4="",AND(ISNUMBER($B1098),$B1098&gt;=클레임조회!$C$4)),OR(클레임조회!$C$5="",AND(ISNUMBER($B1098),$B1098&lt;=클레임조회!$C$5)),OR(클레임조회!$C$6="",$C1098=클레임조회!$C$6),OR(클레임조회!$C$7="",$D1098=클레임조회!$C$7),OR(클레임조회!$C$8="",$E1098=클레임조회!$C$8),OR(클레임조회!$C$9="",$F1098=클레임조회!$C$9),OR(클레임조회!$C$10="",ISNUMBER(SEARCH(클레임조회!$C$10,$C1098&amp;" "&amp;$F1098&amp;" "&amp;$G1098&amp;" "&amp;$H1098)))),COUNT(O$1:O1097)+1,"")</f>
        <v/>
      </c>
      <c r="P1098" s="0" t="str">
        <f aca="false">IF(AND(TRIM(C1098)&lt;&gt;"",COUNTIF(C$2:C1098,C1098)=1),MAX(P$1:P1097)+1,"")</f>
        <v/>
      </c>
      <c r="Q1098" s="0" t="str">
        <f aca="false">IF(AND(TRIM(F1098)&lt;&gt;"",COUNTIF(F$2:F1098,F1098)=1),MAX(Q$1:Q1097)+1,"")</f>
        <v/>
      </c>
    </row>
    <row r="1099" customFormat="false" ht="15" hidden="false" customHeight="false" outlineLevel="0" collapsed="false">
      <c r="A1099" s="9"/>
      <c r="B1099" s="10"/>
      <c r="C1099" s="11"/>
      <c r="D1099" s="11"/>
      <c r="E1099" s="11"/>
      <c r="F1099" s="11"/>
      <c r="G1099" s="12"/>
      <c r="H1099" s="12"/>
      <c r="I1099" s="10"/>
      <c r="J1099" s="12"/>
      <c r="K1099" s="13" t="str">
        <f aca="false">IF(ISNUMBER(B1099),YEAR(B1099),"")</f>
        <v/>
      </c>
      <c r="L1099" s="13" t="str">
        <f aca="false">IF(ISNUMBER(B1099),MONTH(B1099),"")</f>
        <v/>
      </c>
      <c r="M1099" s="13" t="str">
        <f aca="false">IF(AND(ISNUMBER(B1099),ISNUMBER(I1099)),B1099-I1099+1,"")</f>
        <v/>
      </c>
      <c r="N1099" s="14" t="str">
        <f aca="false">IF(B1099="","",IF(M1099="","시작일 미입력",IF(M1099&lt;1,"시작일 이전(확인)",IF(M1099=1,"1일째",IF(M1099=2,"2일째",IF(M1099=3,"3일째",IF(M1099&lt;=7,"일주일 이내",IF(M1099&lt;=14,"이주일 이내","15일 이후"))))))))</f>
        <v/>
      </c>
      <c r="O1099" s="0" t="str">
        <f aca="false">IF(AND(COUNTA($A1099:$J1099)&gt;0,OR(클레임조회!$C$4="",AND(ISNUMBER($B1099),$B1099&gt;=클레임조회!$C$4)),OR(클레임조회!$C$5="",AND(ISNUMBER($B1099),$B1099&lt;=클레임조회!$C$5)),OR(클레임조회!$C$6="",$C1099=클레임조회!$C$6),OR(클레임조회!$C$7="",$D1099=클레임조회!$C$7),OR(클레임조회!$C$8="",$E1099=클레임조회!$C$8),OR(클레임조회!$C$9="",$F1099=클레임조회!$C$9),OR(클레임조회!$C$10="",ISNUMBER(SEARCH(클레임조회!$C$10,$C1099&amp;" "&amp;$F1099&amp;" "&amp;$G1099&amp;" "&amp;$H1099)))),COUNT(O$1:O1098)+1,"")</f>
        <v/>
      </c>
      <c r="P1099" s="0" t="str">
        <f aca="false">IF(AND(TRIM(C1099)&lt;&gt;"",COUNTIF(C$2:C1099,C1099)=1),MAX(P$1:P1098)+1,"")</f>
        <v/>
      </c>
      <c r="Q1099" s="0" t="str">
        <f aca="false">IF(AND(TRIM(F1099)&lt;&gt;"",COUNTIF(F$2:F1099,F1099)=1),MAX(Q$1:Q1098)+1,"")</f>
        <v/>
      </c>
    </row>
    <row r="1100" customFormat="false" ht="15" hidden="false" customHeight="false" outlineLevel="0" collapsed="false">
      <c r="A1100" s="9"/>
      <c r="B1100" s="10"/>
      <c r="C1100" s="11"/>
      <c r="D1100" s="11"/>
      <c r="E1100" s="11"/>
      <c r="F1100" s="11"/>
      <c r="G1100" s="12"/>
      <c r="H1100" s="12"/>
      <c r="I1100" s="10"/>
      <c r="J1100" s="12"/>
      <c r="K1100" s="13" t="str">
        <f aca="false">IF(ISNUMBER(B1100),YEAR(B1100),"")</f>
        <v/>
      </c>
      <c r="L1100" s="13" t="str">
        <f aca="false">IF(ISNUMBER(B1100),MONTH(B1100),"")</f>
        <v/>
      </c>
      <c r="M1100" s="13" t="str">
        <f aca="false">IF(AND(ISNUMBER(B1100),ISNUMBER(I1100)),B1100-I1100+1,"")</f>
        <v/>
      </c>
      <c r="N1100" s="14" t="str">
        <f aca="false">IF(B1100="","",IF(M1100="","시작일 미입력",IF(M1100&lt;1,"시작일 이전(확인)",IF(M1100=1,"1일째",IF(M1100=2,"2일째",IF(M1100=3,"3일째",IF(M1100&lt;=7,"일주일 이내",IF(M1100&lt;=14,"이주일 이내","15일 이후"))))))))</f>
        <v/>
      </c>
      <c r="O1100" s="0" t="str">
        <f aca="false">IF(AND(COUNTA($A1100:$J1100)&gt;0,OR(클레임조회!$C$4="",AND(ISNUMBER($B1100),$B1100&gt;=클레임조회!$C$4)),OR(클레임조회!$C$5="",AND(ISNUMBER($B1100),$B1100&lt;=클레임조회!$C$5)),OR(클레임조회!$C$6="",$C1100=클레임조회!$C$6),OR(클레임조회!$C$7="",$D1100=클레임조회!$C$7),OR(클레임조회!$C$8="",$E1100=클레임조회!$C$8),OR(클레임조회!$C$9="",$F1100=클레임조회!$C$9),OR(클레임조회!$C$10="",ISNUMBER(SEARCH(클레임조회!$C$10,$C1100&amp;" "&amp;$F1100&amp;" "&amp;$G1100&amp;" "&amp;$H1100)))),COUNT(O$1:O1099)+1,"")</f>
        <v/>
      </c>
      <c r="P1100" s="0" t="str">
        <f aca="false">IF(AND(TRIM(C1100)&lt;&gt;"",COUNTIF(C$2:C1100,C1100)=1),MAX(P$1:P1099)+1,"")</f>
        <v/>
      </c>
      <c r="Q1100" s="0" t="str">
        <f aca="false">IF(AND(TRIM(F1100)&lt;&gt;"",COUNTIF(F$2:F1100,F1100)=1),MAX(Q$1:Q1099)+1,"")</f>
        <v/>
      </c>
    </row>
    <row r="1101" customFormat="false" ht="15" hidden="false" customHeight="false" outlineLevel="0" collapsed="false">
      <c r="A1101" s="9"/>
      <c r="B1101" s="10"/>
      <c r="C1101" s="11"/>
      <c r="D1101" s="11"/>
      <c r="E1101" s="11"/>
      <c r="F1101" s="11"/>
      <c r="G1101" s="12"/>
      <c r="H1101" s="12"/>
      <c r="I1101" s="10"/>
      <c r="J1101" s="12"/>
      <c r="K1101" s="13" t="str">
        <f aca="false">IF(ISNUMBER(B1101),YEAR(B1101),"")</f>
        <v/>
      </c>
      <c r="L1101" s="13" t="str">
        <f aca="false">IF(ISNUMBER(B1101),MONTH(B1101),"")</f>
        <v/>
      </c>
      <c r="M1101" s="13" t="str">
        <f aca="false">IF(AND(ISNUMBER(B1101),ISNUMBER(I1101)),B1101-I1101+1,"")</f>
        <v/>
      </c>
      <c r="N1101" s="14" t="str">
        <f aca="false">IF(B1101="","",IF(M1101="","시작일 미입력",IF(M1101&lt;1,"시작일 이전(확인)",IF(M1101=1,"1일째",IF(M1101=2,"2일째",IF(M1101=3,"3일째",IF(M1101&lt;=7,"일주일 이내",IF(M1101&lt;=14,"이주일 이내","15일 이후"))))))))</f>
        <v/>
      </c>
      <c r="O1101" s="0" t="str">
        <f aca="false">IF(AND(COUNTA($A1101:$J1101)&gt;0,OR(클레임조회!$C$4="",AND(ISNUMBER($B1101),$B1101&gt;=클레임조회!$C$4)),OR(클레임조회!$C$5="",AND(ISNUMBER($B1101),$B1101&lt;=클레임조회!$C$5)),OR(클레임조회!$C$6="",$C1101=클레임조회!$C$6),OR(클레임조회!$C$7="",$D1101=클레임조회!$C$7),OR(클레임조회!$C$8="",$E1101=클레임조회!$C$8),OR(클레임조회!$C$9="",$F1101=클레임조회!$C$9),OR(클레임조회!$C$10="",ISNUMBER(SEARCH(클레임조회!$C$10,$C1101&amp;" "&amp;$F1101&amp;" "&amp;$G1101&amp;" "&amp;$H1101)))),COUNT(O$1:O1100)+1,"")</f>
        <v/>
      </c>
      <c r="P1101" s="0" t="str">
        <f aca="false">IF(AND(TRIM(C1101)&lt;&gt;"",COUNTIF(C$2:C1101,C1101)=1),MAX(P$1:P1100)+1,"")</f>
        <v/>
      </c>
      <c r="Q1101" s="0" t="str">
        <f aca="false">IF(AND(TRIM(F1101)&lt;&gt;"",COUNTIF(F$2:F1101,F1101)=1),MAX(Q$1:Q1100)+1,"")</f>
        <v/>
      </c>
    </row>
    <row r="1102" customFormat="false" ht="15" hidden="false" customHeight="false" outlineLevel="0" collapsed="false">
      <c r="A1102" s="9"/>
      <c r="B1102" s="10"/>
      <c r="C1102" s="11"/>
      <c r="D1102" s="11"/>
      <c r="E1102" s="11"/>
      <c r="F1102" s="11"/>
      <c r="G1102" s="12"/>
      <c r="H1102" s="12"/>
      <c r="I1102" s="10"/>
      <c r="J1102" s="12"/>
      <c r="K1102" s="13" t="str">
        <f aca="false">IF(ISNUMBER(B1102),YEAR(B1102),"")</f>
        <v/>
      </c>
      <c r="L1102" s="13" t="str">
        <f aca="false">IF(ISNUMBER(B1102),MONTH(B1102),"")</f>
        <v/>
      </c>
      <c r="M1102" s="13" t="str">
        <f aca="false">IF(AND(ISNUMBER(B1102),ISNUMBER(I1102)),B1102-I1102+1,"")</f>
        <v/>
      </c>
      <c r="N1102" s="14" t="str">
        <f aca="false">IF(B1102="","",IF(M1102="","시작일 미입력",IF(M1102&lt;1,"시작일 이전(확인)",IF(M1102=1,"1일째",IF(M1102=2,"2일째",IF(M1102=3,"3일째",IF(M1102&lt;=7,"일주일 이내",IF(M1102&lt;=14,"이주일 이내","15일 이후"))))))))</f>
        <v/>
      </c>
      <c r="O1102" s="0" t="str">
        <f aca="false">IF(AND(COUNTA($A1102:$J1102)&gt;0,OR(클레임조회!$C$4="",AND(ISNUMBER($B1102),$B1102&gt;=클레임조회!$C$4)),OR(클레임조회!$C$5="",AND(ISNUMBER($B1102),$B1102&lt;=클레임조회!$C$5)),OR(클레임조회!$C$6="",$C1102=클레임조회!$C$6),OR(클레임조회!$C$7="",$D1102=클레임조회!$C$7),OR(클레임조회!$C$8="",$E1102=클레임조회!$C$8),OR(클레임조회!$C$9="",$F1102=클레임조회!$C$9),OR(클레임조회!$C$10="",ISNUMBER(SEARCH(클레임조회!$C$10,$C1102&amp;" "&amp;$F1102&amp;" "&amp;$G1102&amp;" "&amp;$H1102)))),COUNT(O$1:O1101)+1,"")</f>
        <v/>
      </c>
      <c r="P1102" s="0" t="str">
        <f aca="false">IF(AND(TRIM(C1102)&lt;&gt;"",COUNTIF(C$2:C1102,C1102)=1),MAX(P$1:P1101)+1,"")</f>
        <v/>
      </c>
      <c r="Q1102" s="0" t="str">
        <f aca="false">IF(AND(TRIM(F1102)&lt;&gt;"",COUNTIF(F$2:F1102,F1102)=1),MAX(Q$1:Q1101)+1,"")</f>
        <v/>
      </c>
    </row>
    <row r="1103" customFormat="false" ht="15" hidden="false" customHeight="false" outlineLevel="0" collapsed="false">
      <c r="A1103" s="9"/>
      <c r="B1103" s="10"/>
      <c r="C1103" s="11"/>
      <c r="D1103" s="11"/>
      <c r="E1103" s="11"/>
      <c r="F1103" s="11"/>
      <c r="G1103" s="12"/>
      <c r="H1103" s="12"/>
      <c r="I1103" s="10"/>
      <c r="J1103" s="12"/>
      <c r="K1103" s="13" t="str">
        <f aca="false">IF(ISNUMBER(B1103),YEAR(B1103),"")</f>
        <v/>
      </c>
      <c r="L1103" s="13" t="str">
        <f aca="false">IF(ISNUMBER(B1103),MONTH(B1103),"")</f>
        <v/>
      </c>
      <c r="M1103" s="13" t="str">
        <f aca="false">IF(AND(ISNUMBER(B1103),ISNUMBER(I1103)),B1103-I1103+1,"")</f>
        <v/>
      </c>
      <c r="N1103" s="14" t="str">
        <f aca="false">IF(B1103="","",IF(M1103="","시작일 미입력",IF(M1103&lt;1,"시작일 이전(확인)",IF(M1103=1,"1일째",IF(M1103=2,"2일째",IF(M1103=3,"3일째",IF(M1103&lt;=7,"일주일 이내",IF(M1103&lt;=14,"이주일 이내","15일 이후"))))))))</f>
        <v/>
      </c>
      <c r="O1103" s="0" t="str">
        <f aca="false">IF(AND(COUNTA($A1103:$J1103)&gt;0,OR(클레임조회!$C$4="",AND(ISNUMBER($B1103),$B1103&gt;=클레임조회!$C$4)),OR(클레임조회!$C$5="",AND(ISNUMBER($B1103),$B1103&lt;=클레임조회!$C$5)),OR(클레임조회!$C$6="",$C1103=클레임조회!$C$6),OR(클레임조회!$C$7="",$D1103=클레임조회!$C$7),OR(클레임조회!$C$8="",$E1103=클레임조회!$C$8),OR(클레임조회!$C$9="",$F1103=클레임조회!$C$9),OR(클레임조회!$C$10="",ISNUMBER(SEARCH(클레임조회!$C$10,$C1103&amp;" "&amp;$F1103&amp;" "&amp;$G1103&amp;" "&amp;$H1103)))),COUNT(O$1:O1102)+1,"")</f>
        <v/>
      </c>
      <c r="P1103" s="0" t="str">
        <f aca="false">IF(AND(TRIM(C1103)&lt;&gt;"",COUNTIF(C$2:C1103,C1103)=1),MAX(P$1:P1102)+1,"")</f>
        <v/>
      </c>
      <c r="Q1103" s="0" t="str">
        <f aca="false">IF(AND(TRIM(F1103)&lt;&gt;"",COUNTIF(F$2:F1103,F1103)=1),MAX(Q$1:Q1102)+1,"")</f>
        <v/>
      </c>
    </row>
    <row r="1104" customFormat="false" ht="15" hidden="false" customHeight="false" outlineLevel="0" collapsed="false">
      <c r="A1104" s="9"/>
      <c r="B1104" s="10"/>
      <c r="C1104" s="11"/>
      <c r="D1104" s="11"/>
      <c r="E1104" s="11"/>
      <c r="F1104" s="11"/>
      <c r="G1104" s="12"/>
      <c r="H1104" s="12"/>
      <c r="I1104" s="10"/>
      <c r="J1104" s="12"/>
      <c r="K1104" s="13" t="str">
        <f aca="false">IF(ISNUMBER(B1104),YEAR(B1104),"")</f>
        <v/>
      </c>
      <c r="L1104" s="13" t="str">
        <f aca="false">IF(ISNUMBER(B1104),MONTH(B1104),"")</f>
        <v/>
      </c>
      <c r="M1104" s="13" t="str">
        <f aca="false">IF(AND(ISNUMBER(B1104),ISNUMBER(I1104)),B1104-I1104+1,"")</f>
        <v/>
      </c>
      <c r="N1104" s="14" t="str">
        <f aca="false">IF(B1104="","",IF(M1104="","시작일 미입력",IF(M1104&lt;1,"시작일 이전(확인)",IF(M1104=1,"1일째",IF(M1104=2,"2일째",IF(M1104=3,"3일째",IF(M1104&lt;=7,"일주일 이내",IF(M1104&lt;=14,"이주일 이내","15일 이후"))))))))</f>
        <v/>
      </c>
      <c r="O1104" s="0" t="str">
        <f aca="false">IF(AND(COUNTA($A1104:$J1104)&gt;0,OR(클레임조회!$C$4="",AND(ISNUMBER($B1104),$B1104&gt;=클레임조회!$C$4)),OR(클레임조회!$C$5="",AND(ISNUMBER($B1104),$B1104&lt;=클레임조회!$C$5)),OR(클레임조회!$C$6="",$C1104=클레임조회!$C$6),OR(클레임조회!$C$7="",$D1104=클레임조회!$C$7),OR(클레임조회!$C$8="",$E1104=클레임조회!$C$8),OR(클레임조회!$C$9="",$F1104=클레임조회!$C$9),OR(클레임조회!$C$10="",ISNUMBER(SEARCH(클레임조회!$C$10,$C1104&amp;" "&amp;$F1104&amp;" "&amp;$G1104&amp;" "&amp;$H1104)))),COUNT(O$1:O1103)+1,"")</f>
        <v/>
      </c>
      <c r="P1104" s="0" t="str">
        <f aca="false">IF(AND(TRIM(C1104)&lt;&gt;"",COUNTIF(C$2:C1104,C1104)=1),MAX(P$1:P1103)+1,"")</f>
        <v/>
      </c>
      <c r="Q1104" s="0" t="str">
        <f aca="false">IF(AND(TRIM(F1104)&lt;&gt;"",COUNTIF(F$2:F1104,F1104)=1),MAX(Q$1:Q1103)+1,"")</f>
        <v/>
      </c>
    </row>
    <row r="1105" customFormat="false" ht="15" hidden="false" customHeight="false" outlineLevel="0" collapsed="false">
      <c r="A1105" s="9"/>
      <c r="B1105" s="10"/>
      <c r="C1105" s="11"/>
      <c r="D1105" s="11"/>
      <c r="E1105" s="11"/>
      <c r="F1105" s="11"/>
      <c r="G1105" s="12"/>
      <c r="H1105" s="12"/>
      <c r="I1105" s="10"/>
      <c r="J1105" s="12"/>
      <c r="K1105" s="13" t="str">
        <f aca="false">IF(ISNUMBER(B1105),YEAR(B1105),"")</f>
        <v/>
      </c>
      <c r="L1105" s="13" t="str">
        <f aca="false">IF(ISNUMBER(B1105),MONTH(B1105),"")</f>
        <v/>
      </c>
      <c r="M1105" s="13" t="str">
        <f aca="false">IF(AND(ISNUMBER(B1105),ISNUMBER(I1105)),B1105-I1105+1,"")</f>
        <v/>
      </c>
      <c r="N1105" s="14" t="str">
        <f aca="false">IF(B1105="","",IF(M1105="","시작일 미입력",IF(M1105&lt;1,"시작일 이전(확인)",IF(M1105=1,"1일째",IF(M1105=2,"2일째",IF(M1105=3,"3일째",IF(M1105&lt;=7,"일주일 이내",IF(M1105&lt;=14,"이주일 이내","15일 이후"))))))))</f>
        <v/>
      </c>
      <c r="O1105" s="0" t="str">
        <f aca="false">IF(AND(COUNTA($A1105:$J1105)&gt;0,OR(클레임조회!$C$4="",AND(ISNUMBER($B1105),$B1105&gt;=클레임조회!$C$4)),OR(클레임조회!$C$5="",AND(ISNUMBER($B1105),$B1105&lt;=클레임조회!$C$5)),OR(클레임조회!$C$6="",$C1105=클레임조회!$C$6),OR(클레임조회!$C$7="",$D1105=클레임조회!$C$7),OR(클레임조회!$C$8="",$E1105=클레임조회!$C$8),OR(클레임조회!$C$9="",$F1105=클레임조회!$C$9),OR(클레임조회!$C$10="",ISNUMBER(SEARCH(클레임조회!$C$10,$C1105&amp;" "&amp;$F1105&amp;" "&amp;$G1105&amp;" "&amp;$H1105)))),COUNT(O$1:O1104)+1,"")</f>
        <v/>
      </c>
      <c r="P1105" s="0" t="str">
        <f aca="false">IF(AND(TRIM(C1105)&lt;&gt;"",COUNTIF(C$2:C1105,C1105)=1),MAX(P$1:P1104)+1,"")</f>
        <v/>
      </c>
      <c r="Q1105" s="0" t="str">
        <f aca="false">IF(AND(TRIM(F1105)&lt;&gt;"",COUNTIF(F$2:F1105,F1105)=1),MAX(Q$1:Q1104)+1,"")</f>
        <v/>
      </c>
    </row>
    <row r="1106" customFormat="false" ht="15" hidden="false" customHeight="false" outlineLevel="0" collapsed="false">
      <c r="A1106" s="9"/>
      <c r="B1106" s="10"/>
      <c r="C1106" s="11"/>
      <c r="D1106" s="11"/>
      <c r="E1106" s="11"/>
      <c r="F1106" s="11"/>
      <c r="G1106" s="12"/>
      <c r="H1106" s="12"/>
      <c r="I1106" s="10"/>
      <c r="J1106" s="12"/>
      <c r="K1106" s="13" t="str">
        <f aca="false">IF(ISNUMBER(B1106),YEAR(B1106),"")</f>
        <v/>
      </c>
      <c r="L1106" s="13" t="str">
        <f aca="false">IF(ISNUMBER(B1106),MONTH(B1106),"")</f>
        <v/>
      </c>
      <c r="M1106" s="13" t="str">
        <f aca="false">IF(AND(ISNUMBER(B1106),ISNUMBER(I1106)),B1106-I1106+1,"")</f>
        <v/>
      </c>
      <c r="N1106" s="14" t="str">
        <f aca="false">IF(B1106="","",IF(M1106="","시작일 미입력",IF(M1106&lt;1,"시작일 이전(확인)",IF(M1106=1,"1일째",IF(M1106=2,"2일째",IF(M1106=3,"3일째",IF(M1106&lt;=7,"일주일 이내",IF(M1106&lt;=14,"이주일 이내","15일 이후"))))))))</f>
        <v/>
      </c>
      <c r="O1106" s="0" t="str">
        <f aca="false">IF(AND(COUNTA($A1106:$J1106)&gt;0,OR(클레임조회!$C$4="",AND(ISNUMBER($B1106),$B1106&gt;=클레임조회!$C$4)),OR(클레임조회!$C$5="",AND(ISNUMBER($B1106),$B1106&lt;=클레임조회!$C$5)),OR(클레임조회!$C$6="",$C1106=클레임조회!$C$6),OR(클레임조회!$C$7="",$D1106=클레임조회!$C$7),OR(클레임조회!$C$8="",$E1106=클레임조회!$C$8),OR(클레임조회!$C$9="",$F1106=클레임조회!$C$9),OR(클레임조회!$C$10="",ISNUMBER(SEARCH(클레임조회!$C$10,$C1106&amp;" "&amp;$F1106&amp;" "&amp;$G1106&amp;" "&amp;$H1106)))),COUNT(O$1:O1105)+1,"")</f>
        <v/>
      </c>
      <c r="P1106" s="0" t="str">
        <f aca="false">IF(AND(TRIM(C1106)&lt;&gt;"",COUNTIF(C$2:C1106,C1106)=1),MAX(P$1:P1105)+1,"")</f>
        <v/>
      </c>
      <c r="Q1106" s="0" t="str">
        <f aca="false">IF(AND(TRIM(F1106)&lt;&gt;"",COUNTIF(F$2:F1106,F1106)=1),MAX(Q$1:Q1105)+1,"")</f>
        <v/>
      </c>
    </row>
    <row r="1107" customFormat="false" ht="15" hidden="false" customHeight="false" outlineLevel="0" collapsed="false">
      <c r="A1107" s="9"/>
      <c r="B1107" s="10"/>
      <c r="C1107" s="11"/>
      <c r="D1107" s="11"/>
      <c r="E1107" s="11"/>
      <c r="F1107" s="11"/>
      <c r="G1107" s="12"/>
      <c r="H1107" s="12"/>
      <c r="I1107" s="10"/>
      <c r="J1107" s="12"/>
      <c r="K1107" s="13" t="str">
        <f aca="false">IF(ISNUMBER(B1107),YEAR(B1107),"")</f>
        <v/>
      </c>
      <c r="L1107" s="13" t="str">
        <f aca="false">IF(ISNUMBER(B1107),MONTH(B1107),"")</f>
        <v/>
      </c>
      <c r="M1107" s="13" t="str">
        <f aca="false">IF(AND(ISNUMBER(B1107),ISNUMBER(I1107)),B1107-I1107+1,"")</f>
        <v/>
      </c>
      <c r="N1107" s="14" t="str">
        <f aca="false">IF(B1107="","",IF(M1107="","시작일 미입력",IF(M1107&lt;1,"시작일 이전(확인)",IF(M1107=1,"1일째",IF(M1107=2,"2일째",IF(M1107=3,"3일째",IF(M1107&lt;=7,"일주일 이내",IF(M1107&lt;=14,"이주일 이내","15일 이후"))))))))</f>
        <v/>
      </c>
      <c r="O1107" s="0" t="str">
        <f aca="false">IF(AND(COUNTA($A1107:$J1107)&gt;0,OR(클레임조회!$C$4="",AND(ISNUMBER($B1107),$B1107&gt;=클레임조회!$C$4)),OR(클레임조회!$C$5="",AND(ISNUMBER($B1107),$B1107&lt;=클레임조회!$C$5)),OR(클레임조회!$C$6="",$C1107=클레임조회!$C$6),OR(클레임조회!$C$7="",$D1107=클레임조회!$C$7),OR(클레임조회!$C$8="",$E1107=클레임조회!$C$8),OR(클레임조회!$C$9="",$F1107=클레임조회!$C$9),OR(클레임조회!$C$10="",ISNUMBER(SEARCH(클레임조회!$C$10,$C1107&amp;" "&amp;$F1107&amp;" "&amp;$G1107&amp;" "&amp;$H1107)))),COUNT(O$1:O1106)+1,"")</f>
        <v/>
      </c>
      <c r="P1107" s="0" t="str">
        <f aca="false">IF(AND(TRIM(C1107)&lt;&gt;"",COUNTIF(C$2:C1107,C1107)=1),MAX(P$1:P1106)+1,"")</f>
        <v/>
      </c>
      <c r="Q1107" s="0" t="str">
        <f aca="false">IF(AND(TRIM(F1107)&lt;&gt;"",COUNTIF(F$2:F1107,F1107)=1),MAX(Q$1:Q1106)+1,"")</f>
        <v/>
      </c>
    </row>
    <row r="1108" customFormat="false" ht="15" hidden="false" customHeight="false" outlineLevel="0" collapsed="false">
      <c r="A1108" s="9"/>
      <c r="B1108" s="10"/>
      <c r="C1108" s="11"/>
      <c r="D1108" s="11"/>
      <c r="E1108" s="11"/>
      <c r="F1108" s="11"/>
      <c r="G1108" s="12"/>
      <c r="H1108" s="12"/>
      <c r="I1108" s="10"/>
      <c r="J1108" s="12"/>
      <c r="K1108" s="13" t="str">
        <f aca="false">IF(ISNUMBER(B1108),YEAR(B1108),"")</f>
        <v/>
      </c>
      <c r="L1108" s="13" t="str">
        <f aca="false">IF(ISNUMBER(B1108),MONTH(B1108),"")</f>
        <v/>
      </c>
      <c r="M1108" s="13" t="str">
        <f aca="false">IF(AND(ISNUMBER(B1108),ISNUMBER(I1108)),B1108-I1108+1,"")</f>
        <v/>
      </c>
      <c r="N1108" s="14" t="str">
        <f aca="false">IF(B1108="","",IF(M1108="","시작일 미입력",IF(M1108&lt;1,"시작일 이전(확인)",IF(M1108=1,"1일째",IF(M1108=2,"2일째",IF(M1108=3,"3일째",IF(M1108&lt;=7,"일주일 이내",IF(M1108&lt;=14,"이주일 이내","15일 이후"))))))))</f>
        <v/>
      </c>
      <c r="O1108" s="0" t="str">
        <f aca="false">IF(AND(COUNTA($A1108:$J1108)&gt;0,OR(클레임조회!$C$4="",AND(ISNUMBER($B1108),$B1108&gt;=클레임조회!$C$4)),OR(클레임조회!$C$5="",AND(ISNUMBER($B1108),$B1108&lt;=클레임조회!$C$5)),OR(클레임조회!$C$6="",$C1108=클레임조회!$C$6),OR(클레임조회!$C$7="",$D1108=클레임조회!$C$7),OR(클레임조회!$C$8="",$E1108=클레임조회!$C$8),OR(클레임조회!$C$9="",$F1108=클레임조회!$C$9),OR(클레임조회!$C$10="",ISNUMBER(SEARCH(클레임조회!$C$10,$C1108&amp;" "&amp;$F1108&amp;" "&amp;$G1108&amp;" "&amp;$H1108)))),COUNT(O$1:O1107)+1,"")</f>
        <v/>
      </c>
      <c r="P1108" s="0" t="str">
        <f aca="false">IF(AND(TRIM(C1108)&lt;&gt;"",COUNTIF(C$2:C1108,C1108)=1),MAX(P$1:P1107)+1,"")</f>
        <v/>
      </c>
      <c r="Q1108" s="0" t="str">
        <f aca="false">IF(AND(TRIM(F1108)&lt;&gt;"",COUNTIF(F$2:F1108,F1108)=1),MAX(Q$1:Q1107)+1,"")</f>
        <v/>
      </c>
    </row>
    <row r="1109" customFormat="false" ht="15" hidden="false" customHeight="false" outlineLevel="0" collapsed="false">
      <c r="A1109" s="9"/>
      <c r="B1109" s="10"/>
      <c r="C1109" s="11"/>
      <c r="D1109" s="11"/>
      <c r="E1109" s="11"/>
      <c r="F1109" s="11"/>
      <c r="G1109" s="12"/>
      <c r="H1109" s="12"/>
      <c r="I1109" s="10"/>
      <c r="J1109" s="12"/>
      <c r="K1109" s="13" t="str">
        <f aca="false">IF(ISNUMBER(B1109),YEAR(B1109),"")</f>
        <v/>
      </c>
      <c r="L1109" s="13" t="str">
        <f aca="false">IF(ISNUMBER(B1109),MONTH(B1109),"")</f>
        <v/>
      </c>
      <c r="M1109" s="13" t="str">
        <f aca="false">IF(AND(ISNUMBER(B1109),ISNUMBER(I1109)),B1109-I1109+1,"")</f>
        <v/>
      </c>
      <c r="N1109" s="14" t="str">
        <f aca="false">IF(B1109="","",IF(M1109="","시작일 미입력",IF(M1109&lt;1,"시작일 이전(확인)",IF(M1109=1,"1일째",IF(M1109=2,"2일째",IF(M1109=3,"3일째",IF(M1109&lt;=7,"일주일 이내",IF(M1109&lt;=14,"이주일 이내","15일 이후"))))))))</f>
        <v/>
      </c>
      <c r="O1109" s="0" t="str">
        <f aca="false">IF(AND(COUNTA($A1109:$J1109)&gt;0,OR(클레임조회!$C$4="",AND(ISNUMBER($B1109),$B1109&gt;=클레임조회!$C$4)),OR(클레임조회!$C$5="",AND(ISNUMBER($B1109),$B1109&lt;=클레임조회!$C$5)),OR(클레임조회!$C$6="",$C1109=클레임조회!$C$6),OR(클레임조회!$C$7="",$D1109=클레임조회!$C$7),OR(클레임조회!$C$8="",$E1109=클레임조회!$C$8),OR(클레임조회!$C$9="",$F1109=클레임조회!$C$9),OR(클레임조회!$C$10="",ISNUMBER(SEARCH(클레임조회!$C$10,$C1109&amp;" "&amp;$F1109&amp;" "&amp;$G1109&amp;" "&amp;$H1109)))),COUNT(O$1:O1108)+1,"")</f>
        <v/>
      </c>
      <c r="P1109" s="0" t="str">
        <f aca="false">IF(AND(TRIM(C1109)&lt;&gt;"",COUNTIF(C$2:C1109,C1109)=1),MAX(P$1:P1108)+1,"")</f>
        <v/>
      </c>
      <c r="Q1109" s="0" t="str">
        <f aca="false">IF(AND(TRIM(F1109)&lt;&gt;"",COUNTIF(F$2:F1109,F1109)=1),MAX(Q$1:Q1108)+1,"")</f>
        <v/>
      </c>
    </row>
    <row r="1110" customFormat="false" ht="15" hidden="false" customHeight="false" outlineLevel="0" collapsed="false">
      <c r="A1110" s="9"/>
      <c r="B1110" s="10"/>
      <c r="C1110" s="11"/>
      <c r="D1110" s="11"/>
      <c r="E1110" s="11"/>
      <c r="F1110" s="11"/>
      <c r="G1110" s="12"/>
      <c r="H1110" s="12"/>
      <c r="I1110" s="10"/>
      <c r="J1110" s="12"/>
      <c r="K1110" s="13" t="str">
        <f aca="false">IF(ISNUMBER(B1110),YEAR(B1110),"")</f>
        <v/>
      </c>
      <c r="L1110" s="13" t="str">
        <f aca="false">IF(ISNUMBER(B1110),MONTH(B1110),"")</f>
        <v/>
      </c>
      <c r="M1110" s="13" t="str">
        <f aca="false">IF(AND(ISNUMBER(B1110),ISNUMBER(I1110)),B1110-I1110+1,"")</f>
        <v/>
      </c>
      <c r="N1110" s="14" t="str">
        <f aca="false">IF(B1110="","",IF(M1110="","시작일 미입력",IF(M1110&lt;1,"시작일 이전(확인)",IF(M1110=1,"1일째",IF(M1110=2,"2일째",IF(M1110=3,"3일째",IF(M1110&lt;=7,"일주일 이내",IF(M1110&lt;=14,"이주일 이내","15일 이후"))))))))</f>
        <v/>
      </c>
      <c r="O1110" s="0" t="str">
        <f aca="false">IF(AND(COUNTA($A1110:$J1110)&gt;0,OR(클레임조회!$C$4="",AND(ISNUMBER($B1110),$B1110&gt;=클레임조회!$C$4)),OR(클레임조회!$C$5="",AND(ISNUMBER($B1110),$B1110&lt;=클레임조회!$C$5)),OR(클레임조회!$C$6="",$C1110=클레임조회!$C$6),OR(클레임조회!$C$7="",$D1110=클레임조회!$C$7),OR(클레임조회!$C$8="",$E1110=클레임조회!$C$8),OR(클레임조회!$C$9="",$F1110=클레임조회!$C$9),OR(클레임조회!$C$10="",ISNUMBER(SEARCH(클레임조회!$C$10,$C1110&amp;" "&amp;$F1110&amp;" "&amp;$G1110&amp;" "&amp;$H1110)))),COUNT(O$1:O1109)+1,"")</f>
        <v/>
      </c>
      <c r="P1110" s="0" t="str">
        <f aca="false">IF(AND(TRIM(C1110)&lt;&gt;"",COUNTIF(C$2:C1110,C1110)=1),MAX(P$1:P1109)+1,"")</f>
        <v/>
      </c>
      <c r="Q1110" s="0" t="str">
        <f aca="false">IF(AND(TRIM(F1110)&lt;&gt;"",COUNTIF(F$2:F1110,F1110)=1),MAX(Q$1:Q1109)+1,"")</f>
        <v/>
      </c>
    </row>
    <row r="1111" customFormat="false" ht="15" hidden="false" customHeight="false" outlineLevel="0" collapsed="false">
      <c r="A1111" s="9"/>
      <c r="B1111" s="10"/>
      <c r="C1111" s="11"/>
      <c r="D1111" s="11"/>
      <c r="E1111" s="11"/>
      <c r="F1111" s="11"/>
      <c r="G1111" s="12"/>
      <c r="H1111" s="12"/>
      <c r="I1111" s="10"/>
      <c r="J1111" s="12"/>
      <c r="K1111" s="13" t="str">
        <f aca="false">IF(ISNUMBER(B1111),YEAR(B1111),"")</f>
        <v/>
      </c>
      <c r="L1111" s="13" t="str">
        <f aca="false">IF(ISNUMBER(B1111),MONTH(B1111),"")</f>
        <v/>
      </c>
      <c r="M1111" s="13" t="str">
        <f aca="false">IF(AND(ISNUMBER(B1111),ISNUMBER(I1111)),B1111-I1111+1,"")</f>
        <v/>
      </c>
      <c r="N1111" s="14" t="str">
        <f aca="false">IF(B1111="","",IF(M1111="","시작일 미입력",IF(M1111&lt;1,"시작일 이전(확인)",IF(M1111=1,"1일째",IF(M1111=2,"2일째",IF(M1111=3,"3일째",IF(M1111&lt;=7,"일주일 이내",IF(M1111&lt;=14,"이주일 이내","15일 이후"))))))))</f>
        <v/>
      </c>
      <c r="O1111" s="0" t="str">
        <f aca="false">IF(AND(COUNTA($A1111:$J1111)&gt;0,OR(클레임조회!$C$4="",AND(ISNUMBER($B1111),$B1111&gt;=클레임조회!$C$4)),OR(클레임조회!$C$5="",AND(ISNUMBER($B1111),$B1111&lt;=클레임조회!$C$5)),OR(클레임조회!$C$6="",$C1111=클레임조회!$C$6),OR(클레임조회!$C$7="",$D1111=클레임조회!$C$7),OR(클레임조회!$C$8="",$E1111=클레임조회!$C$8),OR(클레임조회!$C$9="",$F1111=클레임조회!$C$9),OR(클레임조회!$C$10="",ISNUMBER(SEARCH(클레임조회!$C$10,$C1111&amp;" "&amp;$F1111&amp;" "&amp;$G1111&amp;" "&amp;$H1111)))),COUNT(O$1:O1110)+1,"")</f>
        <v/>
      </c>
      <c r="P1111" s="0" t="str">
        <f aca="false">IF(AND(TRIM(C1111)&lt;&gt;"",COUNTIF(C$2:C1111,C1111)=1),MAX(P$1:P1110)+1,"")</f>
        <v/>
      </c>
      <c r="Q1111" s="0" t="str">
        <f aca="false">IF(AND(TRIM(F1111)&lt;&gt;"",COUNTIF(F$2:F1111,F1111)=1),MAX(Q$1:Q1110)+1,"")</f>
        <v/>
      </c>
    </row>
    <row r="1112" customFormat="false" ht="15" hidden="false" customHeight="false" outlineLevel="0" collapsed="false">
      <c r="A1112" s="9"/>
      <c r="B1112" s="10"/>
      <c r="C1112" s="11"/>
      <c r="D1112" s="11"/>
      <c r="E1112" s="11"/>
      <c r="F1112" s="11"/>
      <c r="G1112" s="12"/>
      <c r="H1112" s="12"/>
      <c r="I1112" s="10"/>
      <c r="J1112" s="12"/>
      <c r="K1112" s="13" t="str">
        <f aca="false">IF(ISNUMBER(B1112),YEAR(B1112),"")</f>
        <v/>
      </c>
      <c r="L1112" s="13" t="str">
        <f aca="false">IF(ISNUMBER(B1112),MONTH(B1112),"")</f>
        <v/>
      </c>
      <c r="M1112" s="13" t="str">
        <f aca="false">IF(AND(ISNUMBER(B1112),ISNUMBER(I1112)),B1112-I1112+1,"")</f>
        <v/>
      </c>
      <c r="N1112" s="14" t="str">
        <f aca="false">IF(B1112="","",IF(M1112="","시작일 미입력",IF(M1112&lt;1,"시작일 이전(확인)",IF(M1112=1,"1일째",IF(M1112=2,"2일째",IF(M1112=3,"3일째",IF(M1112&lt;=7,"일주일 이내",IF(M1112&lt;=14,"이주일 이내","15일 이후"))))))))</f>
        <v/>
      </c>
      <c r="O1112" s="0" t="str">
        <f aca="false">IF(AND(COUNTA($A1112:$J1112)&gt;0,OR(클레임조회!$C$4="",AND(ISNUMBER($B1112),$B1112&gt;=클레임조회!$C$4)),OR(클레임조회!$C$5="",AND(ISNUMBER($B1112),$B1112&lt;=클레임조회!$C$5)),OR(클레임조회!$C$6="",$C1112=클레임조회!$C$6),OR(클레임조회!$C$7="",$D1112=클레임조회!$C$7),OR(클레임조회!$C$8="",$E1112=클레임조회!$C$8),OR(클레임조회!$C$9="",$F1112=클레임조회!$C$9),OR(클레임조회!$C$10="",ISNUMBER(SEARCH(클레임조회!$C$10,$C1112&amp;" "&amp;$F1112&amp;" "&amp;$G1112&amp;" "&amp;$H1112)))),COUNT(O$1:O1111)+1,"")</f>
        <v/>
      </c>
      <c r="P1112" s="0" t="str">
        <f aca="false">IF(AND(TRIM(C1112)&lt;&gt;"",COUNTIF(C$2:C1112,C1112)=1),MAX(P$1:P1111)+1,"")</f>
        <v/>
      </c>
      <c r="Q1112" s="0" t="str">
        <f aca="false">IF(AND(TRIM(F1112)&lt;&gt;"",COUNTIF(F$2:F1112,F1112)=1),MAX(Q$1:Q1111)+1,"")</f>
        <v/>
      </c>
    </row>
    <row r="1113" customFormat="false" ht="15" hidden="false" customHeight="false" outlineLevel="0" collapsed="false">
      <c r="A1113" s="9"/>
      <c r="B1113" s="10"/>
      <c r="C1113" s="11"/>
      <c r="D1113" s="11"/>
      <c r="E1113" s="11"/>
      <c r="F1113" s="11"/>
      <c r="G1113" s="12"/>
      <c r="H1113" s="12"/>
      <c r="I1113" s="10"/>
      <c r="J1113" s="12"/>
      <c r="K1113" s="13" t="str">
        <f aca="false">IF(ISNUMBER(B1113),YEAR(B1113),"")</f>
        <v/>
      </c>
      <c r="L1113" s="13" t="str">
        <f aca="false">IF(ISNUMBER(B1113),MONTH(B1113),"")</f>
        <v/>
      </c>
      <c r="M1113" s="13" t="str">
        <f aca="false">IF(AND(ISNUMBER(B1113),ISNUMBER(I1113)),B1113-I1113+1,"")</f>
        <v/>
      </c>
      <c r="N1113" s="14" t="str">
        <f aca="false">IF(B1113="","",IF(M1113="","시작일 미입력",IF(M1113&lt;1,"시작일 이전(확인)",IF(M1113=1,"1일째",IF(M1113=2,"2일째",IF(M1113=3,"3일째",IF(M1113&lt;=7,"일주일 이내",IF(M1113&lt;=14,"이주일 이내","15일 이후"))))))))</f>
        <v/>
      </c>
      <c r="O1113" s="0" t="str">
        <f aca="false">IF(AND(COUNTA($A1113:$J1113)&gt;0,OR(클레임조회!$C$4="",AND(ISNUMBER($B1113),$B1113&gt;=클레임조회!$C$4)),OR(클레임조회!$C$5="",AND(ISNUMBER($B1113),$B1113&lt;=클레임조회!$C$5)),OR(클레임조회!$C$6="",$C1113=클레임조회!$C$6),OR(클레임조회!$C$7="",$D1113=클레임조회!$C$7),OR(클레임조회!$C$8="",$E1113=클레임조회!$C$8),OR(클레임조회!$C$9="",$F1113=클레임조회!$C$9),OR(클레임조회!$C$10="",ISNUMBER(SEARCH(클레임조회!$C$10,$C1113&amp;" "&amp;$F1113&amp;" "&amp;$G1113&amp;" "&amp;$H1113)))),COUNT(O$1:O1112)+1,"")</f>
        <v/>
      </c>
      <c r="P1113" s="0" t="str">
        <f aca="false">IF(AND(TRIM(C1113)&lt;&gt;"",COUNTIF(C$2:C1113,C1113)=1),MAX(P$1:P1112)+1,"")</f>
        <v/>
      </c>
      <c r="Q1113" s="0" t="str">
        <f aca="false">IF(AND(TRIM(F1113)&lt;&gt;"",COUNTIF(F$2:F1113,F1113)=1),MAX(Q$1:Q1112)+1,"")</f>
        <v/>
      </c>
    </row>
    <row r="1114" customFormat="false" ht="15" hidden="false" customHeight="false" outlineLevel="0" collapsed="false">
      <c r="A1114" s="9"/>
      <c r="B1114" s="10"/>
      <c r="C1114" s="11"/>
      <c r="D1114" s="11"/>
      <c r="E1114" s="11"/>
      <c r="F1114" s="11"/>
      <c r="G1114" s="12"/>
      <c r="H1114" s="12"/>
      <c r="I1114" s="10"/>
      <c r="J1114" s="12"/>
      <c r="K1114" s="13" t="str">
        <f aca="false">IF(ISNUMBER(B1114),YEAR(B1114),"")</f>
        <v/>
      </c>
      <c r="L1114" s="13" t="str">
        <f aca="false">IF(ISNUMBER(B1114),MONTH(B1114),"")</f>
        <v/>
      </c>
      <c r="M1114" s="13" t="str">
        <f aca="false">IF(AND(ISNUMBER(B1114),ISNUMBER(I1114)),B1114-I1114+1,"")</f>
        <v/>
      </c>
      <c r="N1114" s="14" t="str">
        <f aca="false">IF(B1114="","",IF(M1114="","시작일 미입력",IF(M1114&lt;1,"시작일 이전(확인)",IF(M1114=1,"1일째",IF(M1114=2,"2일째",IF(M1114=3,"3일째",IF(M1114&lt;=7,"일주일 이내",IF(M1114&lt;=14,"이주일 이내","15일 이후"))))))))</f>
        <v/>
      </c>
      <c r="O1114" s="0" t="str">
        <f aca="false">IF(AND(COUNTA($A1114:$J1114)&gt;0,OR(클레임조회!$C$4="",AND(ISNUMBER($B1114),$B1114&gt;=클레임조회!$C$4)),OR(클레임조회!$C$5="",AND(ISNUMBER($B1114),$B1114&lt;=클레임조회!$C$5)),OR(클레임조회!$C$6="",$C1114=클레임조회!$C$6),OR(클레임조회!$C$7="",$D1114=클레임조회!$C$7),OR(클레임조회!$C$8="",$E1114=클레임조회!$C$8),OR(클레임조회!$C$9="",$F1114=클레임조회!$C$9),OR(클레임조회!$C$10="",ISNUMBER(SEARCH(클레임조회!$C$10,$C1114&amp;" "&amp;$F1114&amp;" "&amp;$G1114&amp;" "&amp;$H1114)))),COUNT(O$1:O1113)+1,"")</f>
        <v/>
      </c>
      <c r="P1114" s="0" t="str">
        <f aca="false">IF(AND(TRIM(C1114)&lt;&gt;"",COUNTIF(C$2:C1114,C1114)=1),MAX(P$1:P1113)+1,"")</f>
        <v/>
      </c>
      <c r="Q1114" s="0" t="str">
        <f aca="false">IF(AND(TRIM(F1114)&lt;&gt;"",COUNTIF(F$2:F1114,F1114)=1),MAX(Q$1:Q1113)+1,"")</f>
        <v/>
      </c>
    </row>
    <row r="1115" customFormat="false" ht="15" hidden="false" customHeight="false" outlineLevel="0" collapsed="false">
      <c r="A1115" s="9"/>
      <c r="B1115" s="10"/>
      <c r="C1115" s="11"/>
      <c r="D1115" s="11"/>
      <c r="E1115" s="11"/>
      <c r="F1115" s="11"/>
      <c r="G1115" s="12"/>
      <c r="H1115" s="12"/>
      <c r="I1115" s="10"/>
      <c r="J1115" s="12"/>
      <c r="K1115" s="13" t="str">
        <f aca="false">IF(ISNUMBER(B1115),YEAR(B1115),"")</f>
        <v/>
      </c>
      <c r="L1115" s="13" t="str">
        <f aca="false">IF(ISNUMBER(B1115),MONTH(B1115),"")</f>
        <v/>
      </c>
      <c r="M1115" s="13" t="str">
        <f aca="false">IF(AND(ISNUMBER(B1115),ISNUMBER(I1115)),B1115-I1115+1,"")</f>
        <v/>
      </c>
      <c r="N1115" s="14" t="str">
        <f aca="false">IF(B1115="","",IF(M1115="","시작일 미입력",IF(M1115&lt;1,"시작일 이전(확인)",IF(M1115=1,"1일째",IF(M1115=2,"2일째",IF(M1115=3,"3일째",IF(M1115&lt;=7,"일주일 이내",IF(M1115&lt;=14,"이주일 이내","15일 이후"))))))))</f>
        <v/>
      </c>
      <c r="O1115" s="0" t="str">
        <f aca="false">IF(AND(COUNTA($A1115:$J1115)&gt;0,OR(클레임조회!$C$4="",AND(ISNUMBER($B1115),$B1115&gt;=클레임조회!$C$4)),OR(클레임조회!$C$5="",AND(ISNUMBER($B1115),$B1115&lt;=클레임조회!$C$5)),OR(클레임조회!$C$6="",$C1115=클레임조회!$C$6),OR(클레임조회!$C$7="",$D1115=클레임조회!$C$7),OR(클레임조회!$C$8="",$E1115=클레임조회!$C$8),OR(클레임조회!$C$9="",$F1115=클레임조회!$C$9),OR(클레임조회!$C$10="",ISNUMBER(SEARCH(클레임조회!$C$10,$C1115&amp;" "&amp;$F1115&amp;" "&amp;$G1115&amp;" "&amp;$H1115)))),COUNT(O$1:O1114)+1,"")</f>
        <v/>
      </c>
      <c r="P1115" s="0" t="str">
        <f aca="false">IF(AND(TRIM(C1115)&lt;&gt;"",COUNTIF(C$2:C1115,C1115)=1),MAX(P$1:P1114)+1,"")</f>
        <v/>
      </c>
      <c r="Q1115" s="0" t="str">
        <f aca="false">IF(AND(TRIM(F1115)&lt;&gt;"",COUNTIF(F$2:F1115,F1115)=1),MAX(Q$1:Q1114)+1,"")</f>
        <v/>
      </c>
    </row>
    <row r="1116" customFormat="false" ht="15" hidden="false" customHeight="false" outlineLevel="0" collapsed="false">
      <c r="A1116" s="9"/>
      <c r="B1116" s="10"/>
      <c r="C1116" s="11"/>
      <c r="D1116" s="11"/>
      <c r="E1116" s="11"/>
      <c r="F1116" s="11"/>
      <c r="G1116" s="12"/>
      <c r="H1116" s="12"/>
      <c r="I1116" s="10"/>
      <c r="J1116" s="12"/>
      <c r="K1116" s="13" t="str">
        <f aca="false">IF(ISNUMBER(B1116),YEAR(B1116),"")</f>
        <v/>
      </c>
      <c r="L1116" s="13" t="str">
        <f aca="false">IF(ISNUMBER(B1116),MONTH(B1116),"")</f>
        <v/>
      </c>
      <c r="M1116" s="13" t="str">
        <f aca="false">IF(AND(ISNUMBER(B1116),ISNUMBER(I1116)),B1116-I1116+1,"")</f>
        <v/>
      </c>
      <c r="N1116" s="14" t="str">
        <f aca="false">IF(B1116="","",IF(M1116="","시작일 미입력",IF(M1116&lt;1,"시작일 이전(확인)",IF(M1116=1,"1일째",IF(M1116=2,"2일째",IF(M1116=3,"3일째",IF(M1116&lt;=7,"일주일 이내",IF(M1116&lt;=14,"이주일 이내","15일 이후"))))))))</f>
        <v/>
      </c>
      <c r="O1116" s="0" t="str">
        <f aca="false">IF(AND(COUNTA($A1116:$J1116)&gt;0,OR(클레임조회!$C$4="",AND(ISNUMBER($B1116),$B1116&gt;=클레임조회!$C$4)),OR(클레임조회!$C$5="",AND(ISNUMBER($B1116),$B1116&lt;=클레임조회!$C$5)),OR(클레임조회!$C$6="",$C1116=클레임조회!$C$6),OR(클레임조회!$C$7="",$D1116=클레임조회!$C$7),OR(클레임조회!$C$8="",$E1116=클레임조회!$C$8),OR(클레임조회!$C$9="",$F1116=클레임조회!$C$9),OR(클레임조회!$C$10="",ISNUMBER(SEARCH(클레임조회!$C$10,$C1116&amp;" "&amp;$F1116&amp;" "&amp;$G1116&amp;" "&amp;$H1116)))),COUNT(O$1:O1115)+1,"")</f>
        <v/>
      </c>
      <c r="P1116" s="0" t="str">
        <f aca="false">IF(AND(TRIM(C1116)&lt;&gt;"",COUNTIF(C$2:C1116,C1116)=1),MAX(P$1:P1115)+1,"")</f>
        <v/>
      </c>
      <c r="Q1116" s="0" t="str">
        <f aca="false">IF(AND(TRIM(F1116)&lt;&gt;"",COUNTIF(F$2:F1116,F1116)=1),MAX(Q$1:Q1115)+1,"")</f>
        <v/>
      </c>
    </row>
    <row r="1117" customFormat="false" ht="15" hidden="false" customHeight="false" outlineLevel="0" collapsed="false">
      <c r="A1117" s="9"/>
      <c r="B1117" s="10"/>
      <c r="C1117" s="11"/>
      <c r="D1117" s="11"/>
      <c r="E1117" s="11"/>
      <c r="F1117" s="11"/>
      <c r="G1117" s="12"/>
      <c r="H1117" s="12"/>
      <c r="I1117" s="10"/>
      <c r="J1117" s="12"/>
      <c r="K1117" s="13" t="str">
        <f aca="false">IF(ISNUMBER(B1117),YEAR(B1117),"")</f>
        <v/>
      </c>
      <c r="L1117" s="13" t="str">
        <f aca="false">IF(ISNUMBER(B1117),MONTH(B1117),"")</f>
        <v/>
      </c>
      <c r="M1117" s="13" t="str">
        <f aca="false">IF(AND(ISNUMBER(B1117),ISNUMBER(I1117)),B1117-I1117+1,"")</f>
        <v/>
      </c>
      <c r="N1117" s="14" t="str">
        <f aca="false">IF(B1117="","",IF(M1117="","시작일 미입력",IF(M1117&lt;1,"시작일 이전(확인)",IF(M1117=1,"1일째",IF(M1117=2,"2일째",IF(M1117=3,"3일째",IF(M1117&lt;=7,"일주일 이내",IF(M1117&lt;=14,"이주일 이내","15일 이후"))))))))</f>
        <v/>
      </c>
      <c r="O1117" s="0" t="str">
        <f aca="false">IF(AND(COUNTA($A1117:$J1117)&gt;0,OR(클레임조회!$C$4="",AND(ISNUMBER($B1117),$B1117&gt;=클레임조회!$C$4)),OR(클레임조회!$C$5="",AND(ISNUMBER($B1117),$B1117&lt;=클레임조회!$C$5)),OR(클레임조회!$C$6="",$C1117=클레임조회!$C$6),OR(클레임조회!$C$7="",$D1117=클레임조회!$C$7),OR(클레임조회!$C$8="",$E1117=클레임조회!$C$8),OR(클레임조회!$C$9="",$F1117=클레임조회!$C$9),OR(클레임조회!$C$10="",ISNUMBER(SEARCH(클레임조회!$C$10,$C1117&amp;" "&amp;$F1117&amp;" "&amp;$G1117&amp;" "&amp;$H1117)))),COUNT(O$1:O1116)+1,"")</f>
        <v/>
      </c>
      <c r="P1117" s="0" t="str">
        <f aca="false">IF(AND(TRIM(C1117)&lt;&gt;"",COUNTIF(C$2:C1117,C1117)=1),MAX(P$1:P1116)+1,"")</f>
        <v/>
      </c>
      <c r="Q1117" s="0" t="str">
        <f aca="false">IF(AND(TRIM(F1117)&lt;&gt;"",COUNTIF(F$2:F1117,F1117)=1),MAX(Q$1:Q1116)+1,"")</f>
        <v/>
      </c>
    </row>
    <row r="1118" customFormat="false" ht="15" hidden="false" customHeight="false" outlineLevel="0" collapsed="false">
      <c r="A1118" s="9"/>
      <c r="B1118" s="10"/>
      <c r="C1118" s="11"/>
      <c r="D1118" s="11"/>
      <c r="E1118" s="11"/>
      <c r="F1118" s="11"/>
      <c r="G1118" s="12"/>
      <c r="H1118" s="12"/>
      <c r="I1118" s="10"/>
      <c r="J1118" s="12"/>
      <c r="K1118" s="13" t="str">
        <f aca="false">IF(ISNUMBER(B1118),YEAR(B1118),"")</f>
        <v/>
      </c>
      <c r="L1118" s="13" t="str">
        <f aca="false">IF(ISNUMBER(B1118),MONTH(B1118),"")</f>
        <v/>
      </c>
      <c r="M1118" s="13" t="str">
        <f aca="false">IF(AND(ISNUMBER(B1118),ISNUMBER(I1118)),B1118-I1118+1,"")</f>
        <v/>
      </c>
      <c r="N1118" s="14" t="str">
        <f aca="false">IF(B1118="","",IF(M1118="","시작일 미입력",IF(M1118&lt;1,"시작일 이전(확인)",IF(M1118=1,"1일째",IF(M1118=2,"2일째",IF(M1118=3,"3일째",IF(M1118&lt;=7,"일주일 이내",IF(M1118&lt;=14,"이주일 이내","15일 이후"))))))))</f>
        <v/>
      </c>
      <c r="O1118" s="0" t="str">
        <f aca="false">IF(AND(COUNTA($A1118:$J1118)&gt;0,OR(클레임조회!$C$4="",AND(ISNUMBER($B1118),$B1118&gt;=클레임조회!$C$4)),OR(클레임조회!$C$5="",AND(ISNUMBER($B1118),$B1118&lt;=클레임조회!$C$5)),OR(클레임조회!$C$6="",$C1118=클레임조회!$C$6),OR(클레임조회!$C$7="",$D1118=클레임조회!$C$7),OR(클레임조회!$C$8="",$E1118=클레임조회!$C$8),OR(클레임조회!$C$9="",$F1118=클레임조회!$C$9),OR(클레임조회!$C$10="",ISNUMBER(SEARCH(클레임조회!$C$10,$C1118&amp;" "&amp;$F1118&amp;" "&amp;$G1118&amp;" "&amp;$H1118)))),COUNT(O$1:O1117)+1,"")</f>
        <v/>
      </c>
      <c r="P1118" s="0" t="str">
        <f aca="false">IF(AND(TRIM(C1118)&lt;&gt;"",COUNTIF(C$2:C1118,C1118)=1),MAX(P$1:P1117)+1,"")</f>
        <v/>
      </c>
      <c r="Q1118" s="0" t="str">
        <f aca="false">IF(AND(TRIM(F1118)&lt;&gt;"",COUNTIF(F$2:F1118,F1118)=1),MAX(Q$1:Q1117)+1,"")</f>
        <v/>
      </c>
    </row>
    <row r="1119" customFormat="false" ht="15" hidden="false" customHeight="false" outlineLevel="0" collapsed="false">
      <c r="A1119" s="9"/>
      <c r="B1119" s="10"/>
      <c r="C1119" s="11"/>
      <c r="D1119" s="11"/>
      <c r="E1119" s="11"/>
      <c r="F1119" s="11"/>
      <c r="G1119" s="12"/>
      <c r="H1119" s="12"/>
      <c r="I1119" s="10"/>
      <c r="J1119" s="12"/>
      <c r="K1119" s="13" t="str">
        <f aca="false">IF(ISNUMBER(B1119),YEAR(B1119),"")</f>
        <v/>
      </c>
      <c r="L1119" s="13" t="str">
        <f aca="false">IF(ISNUMBER(B1119),MONTH(B1119),"")</f>
        <v/>
      </c>
      <c r="M1119" s="13" t="str">
        <f aca="false">IF(AND(ISNUMBER(B1119),ISNUMBER(I1119)),B1119-I1119+1,"")</f>
        <v/>
      </c>
      <c r="N1119" s="14" t="str">
        <f aca="false">IF(B1119="","",IF(M1119="","시작일 미입력",IF(M1119&lt;1,"시작일 이전(확인)",IF(M1119=1,"1일째",IF(M1119=2,"2일째",IF(M1119=3,"3일째",IF(M1119&lt;=7,"일주일 이내",IF(M1119&lt;=14,"이주일 이내","15일 이후"))))))))</f>
        <v/>
      </c>
      <c r="O1119" s="0" t="str">
        <f aca="false">IF(AND(COUNTA($A1119:$J1119)&gt;0,OR(클레임조회!$C$4="",AND(ISNUMBER($B1119),$B1119&gt;=클레임조회!$C$4)),OR(클레임조회!$C$5="",AND(ISNUMBER($B1119),$B1119&lt;=클레임조회!$C$5)),OR(클레임조회!$C$6="",$C1119=클레임조회!$C$6),OR(클레임조회!$C$7="",$D1119=클레임조회!$C$7),OR(클레임조회!$C$8="",$E1119=클레임조회!$C$8),OR(클레임조회!$C$9="",$F1119=클레임조회!$C$9),OR(클레임조회!$C$10="",ISNUMBER(SEARCH(클레임조회!$C$10,$C1119&amp;" "&amp;$F1119&amp;" "&amp;$G1119&amp;" "&amp;$H1119)))),COUNT(O$1:O1118)+1,"")</f>
        <v/>
      </c>
      <c r="P1119" s="0" t="str">
        <f aca="false">IF(AND(TRIM(C1119)&lt;&gt;"",COUNTIF(C$2:C1119,C1119)=1),MAX(P$1:P1118)+1,"")</f>
        <v/>
      </c>
      <c r="Q1119" s="0" t="str">
        <f aca="false">IF(AND(TRIM(F1119)&lt;&gt;"",COUNTIF(F$2:F1119,F1119)=1),MAX(Q$1:Q1118)+1,"")</f>
        <v/>
      </c>
    </row>
    <row r="1120" customFormat="false" ht="15" hidden="false" customHeight="false" outlineLevel="0" collapsed="false">
      <c r="A1120" s="9"/>
      <c r="B1120" s="10"/>
      <c r="C1120" s="11"/>
      <c r="D1120" s="11"/>
      <c r="E1120" s="11"/>
      <c r="F1120" s="11"/>
      <c r="G1120" s="12"/>
      <c r="H1120" s="12"/>
      <c r="I1120" s="10"/>
      <c r="J1120" s="12"/>
      <c r="K1120" s="13" t="str">
        <f aca="false">IF(ISNUMBER(B1120),YEAR(B1120),"")</f>
        <v/>
      </c>
      <c r="L1120" s="13" t="str">
        <f aca="false">IF(ISNUMBER(B1120),MONTH(B1120),"")</f>
        <v/>
      </c>
      <c r="M1120" s="13" t="str">
        <f aca="false">IF(AND(ISNUMBER(B1120),ISNUMBER(I1120)),B1120-I1120+1,"")</f>
        <v/>
      </c>
      <c r="N1120" s="14" t="str">
        <f aca="false">IF(B1120="","",IF(M1120="","시작일 미입력",IF(M1120&lt;1,"시작일 이전(확인)",IF(M1120=1,"1일째",IF(M1120=2,"2일째",IF(M1120=3,"3일째",IF(M1120&lt;=7,"일주일 이내",IF(M1120&lt;=14,"이주일 이내","15일 이후"))))))))</f>
        <v/>
      </c>
      <c r="O1120" s="0" t="str">
        <f aca="false">IF(AND(COUNTA($A1120:$J1120)&gt;0,OR(클레임조회!$C$4="",AND(ISNUMBER($B1120),$B1120&gt;=클레임조회!$C$4)),OR(클레임조회!$C$5="",AND(ISNUMBER($B1120),$B1120&lt;=클레임조회!$C$5)),OR(클레임조회!$C$6="",$C1120=클레임조회!$C$6),OR(클레임조회!$C$7="",$D1120=클레임조회!$C$7),OR(클레임조회!$C$8="",$E1120=클레임조회!$C$8),OR(클레임조회!$C$9="",$F1120=클레임조회!$C$9),OR(클레임조회!$C$10="",ISNUMBER(SEARCH(클레임조회!$C$10,$C1120&amp;" "&amp;$F1120&amp;" "&amp;$G1120&amp;" "&amp;$H1120)))),COUNT(O$1:O1119)+1,"")</f>
        <v/>
      </c>
      <c r="P1120" s="0" t="str">
        <f aca="false">IF(AND(TRIM(C1120)&lt;&gt;"",COUNTIF(C$2:C1120,C1120)=1),MAX(P$1:P1119)+1,"")</f>
        <v/>
      </c>
      <c r="Q1120" s="0" t="str">
        <f aca="false">IF(AND(TRIM(F1120)&lt;&gt;"",COUNTIF(F$2:F1120,F1120)=1),MAX(Q$1:Q1119)+1,"")</f>
        <v/>
      </c>
    </row>
    <row r="1121" customFormat="false" ht="15" hidden="false" customHeight="false" outlineLevel="0" collapsed="false">
      <c r="A1121" s="9"/>
      <c r="B1121" s="10"/>
      <c r="C1121" s="11"/>
      <c r="D1121" s="11"/>
      <c r="E1121" s="11"/>
      <c r="F1121" s="11"/>
      <c r="G1121" s="12"/>
      <c r="H1121" s="12"/>
      <c r="I1121" s="10"/>
      <c r="J1121" s="12"/>
      <c r="K1121" s="13" t="str">
        <f aca="false">IF(ISNUMBER(B1121),YEAR(B1121),"")</f>
        <v/>
      </c>
      <c r="L1121" s="13" t="str">
        <f aca="false">IF(ISNUMBER(B1121),MONTH(B1121),"")</f>
        <v/>
      </c>
      <c r="M1121" s="13" t="str">
        <f aca="false">IF(AND(ISNUMBER(B1121),ISNUMBER(I1121)),B1121-I1121+1,"")</f>
        <v/>
      </c>
      <c r="N1121" s="14" t="str">
        <f aca="false">IF(B1121="","",IF(M1121="","시작일 미입력",IF(M1121&lt;1,"시작일 이전(확인)",IF(M1121=1,"1일째",IF(M1121=2,"2일째",IF(M1121=3,"3일째",IF(M1121&lt;=7,"일주일 이내",IF(M1121&lt;=14,"이주일 이내","15일 이후"))))))))</f>
        <v/>
      </c>
      <c r="O1121" s="0" t="str">
        <f aca="false">IF(AND(COUNTA($A1121:$J1121)&gt;0,OR(클레임조회!$C$4="",AND(ISNUMBER($B1121),$B1121&gt;=클레임조회!$C$4)),OR(클레임조회!$C$5="",AND(ISNUMBER($B1121),$B1121&lt;=클레임조회!$C$5)),OR(클레임조회!$C$6="",$C1121=클레임조회!$C$6),OR(클레임조회!$C$7="",$D1121=클레임조회!$C$7),OR(클레임조회!$C$8="",$E1121=클레임조회!$C$8),OR(클레임조회!$C$9="",$F1121=클레임조회!$C$9),OR(클레임조회!$C$10="",ISNUMBER(SEARCH(클레임조회!$C$10,$C1121&amp;" "&amp;$F1121&amp;" "&amp;$G1121&amp;" "&amp;$H1121)))),COUNT(O$1:O1120)+1,"")</f>
        <v/>
      </c>
      <c r="P1121" s="0" t="str">
        <f aca="false">IF(AND(TRIM(C1121)&lt;&gt;"",COUNTIF(C$2:C1121,C1121)=1),MAX(P$1:P1120)+1,"")</f>
        <v/>
      </c>
      <c r="Q1121" s="0" t="str">
        <f aca="false">IF(AND(TRIM(F1121)&lt;&gt;"",COUNTIF(F$2:F1121,F1121)=1),MAX(Q$1:Q1120)+1,"")</f>
        <v/>
      </c>
    </row>
    <row r="1122" customFormat="false" ht="15" hidden="false" customHeight="false" outlineLevel="0" collapsed="false">
      <c r="A1122" s="9"/>
      <c r="B1122" s="10"/>
      <c r="C1122" s="11"/>
      <c r="D1122" s="11"/>
      <c r="E1122" s="11"/>
      <c r="F1122" s="11"/>
      <c r="G1122" s="12"/>
      <c r="H1122" s="12"/>
      <c r="I1122" s="10"/>
      <c r="J1122" s="12"/>
      <c r="K1122" s="13" t="str">
        <f aca="false">IF(ISNUMBER(B1122),YEAR(B1122),"")</f>
        <v/>
      </c>
      <c r="L1122" s="13" t="str">
        <f aca="false">IF(ISNUMBER(B1122),MONTH(B1122),"")</f>
        <v/>
      </c>
      <c r="M1122" s="13" t="str">
        <f aca="false">IF(AND(ISNUMBER(B1122),ISNUMBER(I1122)),B1122-I1122+1,"")</f>
        <v/>
      </c>
      <c r="N1122" s="14" t="str">
        <f aca="false">IF(B1122="","",IF(M1122="","시작일 미입력",IF(M1122&lt;1,"시작일 이전(확인)",IF(M1122=1,"1일째",IF(M1122=2,"2일째",IF(M1122=3,"3일째",IF(M1122&lt;=7,"일주일 이내",IF(M1122&lt;=14,"이주일 이내","15일 이후"))))))))</f>
        <v/>
      </c>
      <c r="O1122" s="0" t="str">
        <f aca="false">IF(AND(COUNTA($A1122:$J1122)&gt;0,OR(클레임조회!$C$4="",AND(ISNUMBER($B1122),$B1122&gt;=클레임조회!$C$4)),OR(클레임조회!$C$5="",AND(ISNUMBER($B1122),$B1122&lt;=클레임조회!$C$5)),OR(클레임조회!$C$6="",$C1122=클레임조회!$C$6),OR(클레임조회!$C$7="",$D1122=클레임조회!$C$7),OR(클레임조회!$C$8="",$E1122=클레임조회!$C$8),OR(클레임조회!$C$9="",$F1122=클레임조회!$C$9),OR(클레임조회!$C$10="",ISNUMBER(SEARCH(클레임조회!$C$10,$C1122&amp;" "&amp;$F1122&amp;" "&amp;$G1122&amp;" "&amp;$H1122)))),COUNT(O$1:O1121)+1,"")</f>
        <v/>
      </c>
      <c r="P1122" s="0" t="str">
        <f aca="false">IF(AND(TRIM(C1122)&lt;&gt;"",COUNTIF(C$2:C1122,C1122)=1),MAX(P$1:P1121)+1,"")</f>
        <v/>
      </c>
      <c r="Q1122" s="0" t="str">
        <f aca="false">IF(AND(TRIM(F1122)&lt;&gt;"",COUNTIF(F$2:F1122,F1122)=1),MAX(Q$1:Q1121)+1,"")</f>
        <v/>
      </c>
    </row>
    <row r="1123" customFormat="false" ht="15" hidden="false" customHeight="false" outlineLevel="0" collapsed="false">
      <c r="A1123" s="9"/>
      <c r="B1123" s="10"/>
      <c r="C1123" s="11"/>
      <c r="D1123" s="11"/>
      <c r="E1123" s="11"/>
      <c r="F1123" s="11"/>
      <c r="G1123" s="12"/>
      <c r="H1123" s="12"/>
      <c r="I1123" s="10"/>
      <c r="J1123" s="12"/>
      <c r="K1123" s="13" t="str">
        <f aca="false">IF(ISNUMBER(B1123),YEAR(B1123),"")</f>
        <v/>
      </c>
      <c r="L1123" s="13" t="str">
        <f aca="false">IF(ISNUMBER(B1123),MONTH(B1123),"")</f>
        <v/>
      </c>
      <c r="M1123" s="13" t="str">
        <f aca="false">IF(AND(ISNUMBER(B1123),ISNUMBER(I1123)),B1123-I1123+1,"")</f>
        <v/>
      </c>
      <c r="N1123" s="14" t="str">
        <f aca="false">IF(B1123="","",IF(M1123="","시작일 미입력",IF(M1123&lt;1,"시작일 이전(확인)",IF(M1123=1,"1일째",IF(M1123=2,"2일째",IF(M1123=3,"3일째",IF(M1123&lt;=7,"일주일 이내",IF(M1123&lt;=14,"이주일 이내","15일 이후"))))))))</f>
        <v/>
      </c>
      <c r="O1123" s="0" t="str">
        <f aca="false">IF(AND(COUNTA($A1123:$J1123)&gt;0,OR(클레임조회!$C$4="",AND(ISNUMBER($B1123),$B1123&gt;=클레임조회!$C$4)),OR(클레임조회!$C$5="",AND(ISNUMBER($B1123),$B1123&lt;=클레임조회!$C$5)),OR(클레임조회!$C$6="",$C1123=클레임조회!$C$6),OR(클레임조회!$C$7="",$D1123=클레임조회!$C$7),OR(클레임조회!$C$8="",$E1123=클레임조회!$C$8),OR(클레임조회!$C$9="",$F1123=클레임조회!$C$9),OR(클레임조회!$C$10="",ISNUMBER(SEARCH(클레임조회!$C$10,$C1123&amp;" "&amp;$F1123&amp;" "&amp;$G1123&amp;" "&amp;$H1123)))),COUNT(O$1:O1122)+1,"")</f>
        <v/>
      </c>
      <c r="P1123" s="0" t="str">
        <f aca="false">IF(AND(TRIM(C1123)&lt;&gt;"",COUNTIF(C$2:C1123,C1123)=1),MAX(P$1:P1122)+1,"")</f>
        <v/>
      </c>
      <c r="Q1123" s="0" t="str">
        <f aca="false">IF(AND(TRIM(F1123)&lt;&gt;"",COUNTIF(F$2:F1123,F1123)=1),MAX(Q$1:Q1122)+1,"")</f>
        <v/>
      </c>
    </row>
    <row r="1124" customFormat="false" ht="15" hidden="false" customHeight="false" outlineLevel="0" collapsed="false">
      <c r="A1124" s="9"/>
      <c r="B1124" s="10"/>
      <c r="C1124" s="11"/>
      <c r="D1124" s="11"/>
      <c r="E1124" s="11"/>
      <c r="F1124" s="11"/>
      <c r="G1124" s="12"/>
      <c r="H1124" s="12"/>
      <c r="I1124" s="10"/>
      <c r="J1124" s="12"/>
      <c r="K1124" s="13" t="str">
        <f aca="false">IF(ISNUMBER(B1124),YEAR(B1124),"")</f>
        <v/>
      </c>
      <c r="L1124" s="13" t="str">
        <f aca="false">IF(ISNUMBER(B1124),MONTH(B1124),"")</f>
        <v/>
      </c>
      <c r="M1124" s="13" t="str">
        <f aca="false">IF(AND(ISNUMBER(B1124),ISNUMBER(I1124)),B1124-I1124+1,"")</f>
        <v/>
      </c>
      <c r="N1124" s="14" t="str">
        <f aca="false">IF(B1124="","",IF(M1124="","시작일 미입력",IF(M1124&lt;1,"시작일 이전(확인)",IF(M1124=1,"1일째",IF(M1124=2,"2일째",IF(M1124=3,"3일째",IF(M1124&lt;=7,"일주일 이내",IF(M1124&lt;=14,"이주일 이내","15일 이후"))))))))</f>
        <v/>
      </c>
      <c r="O1124" s="0" t="str">
        <f aca="false">IF(AND(COUNTA($A1124:$J1124)&gt;0,OR(클레임조회!$C$4="",AND(ISNUMBER($B1124),$B1124&gt;=클레임조회!$C$4)),OR(클레임조회!$C$5="",AND(ISNUMBER($B1124),$B1124&lt;=클레임조회!$C$5)),OR(클레임조회!$C$6="",$C1124=클레임조회!$C$6),OR(클레임조회!$C$7="",$D1124=클레임조회!$C$7),OR(클레임조회!$C$8="",$E1124=클레임조회!$C$8),OR(클레임조회!$C$9="",$F1124=클레임조회!$C$9),OR(클레임조회!$C$10="",ISNUMBER(SEARCH(클레임조회!$C$10,$C1124&amp;" "&amp;$F1124&amp;" "&amp;$G1124&amp;" "&amp;$H1124)))),COUNT(O$1:O1123)+1,"")</f>
        <v/>
      </c>
      <c r="P1124" s="0" t="str">
        <f aca="false">IF(AND(TRIM(C1124)&lt;&gt;"",COUNTIF(C$2:C1124,C1124)=1),MAX(P$1:P1123)+1,"")</f>
        <v/>
      </c>
      <c r="Q1124" s="0" t="str">
        <f aca="false">IF(AND(TRIM(F1124)&lt;&gt;"",COUNTIF(F$2:F1124,F1124)=1),MAX(Q$1:Q1123)+1,"")</f>
        <v/>
      </c>
    </row>
    <row r="1125" customFormat="false" ht="15" hidden="false" customHeight="false" outlineLevel="0" collapsed="false">
      <c r="A1125" s="9"/>
      <c r="B1125" s="10"/>
      <c r="C1125" s="11"/>
      <c r="D1125" s="11"/>
      <c r="E1125" s="11"/>
      <c r="F1125" s="11"/>
      <c r="G1125" s="12"/>
      <c r="H1125" s="12"/>
      <c r="I1125" s="10"/>
      <c r="J1125" s="12"/>
      <c r="K1125" s="13" t="str">
        <f aca="false">IF(ISNUMBER(B1125),YEAR(B1125),"")</f>
        <v/>
      </c>
      <c r="L1125" s="13" t="str">
        <f aca="false">IF(ISNUMBER(B1125),MONTH(B1125),"")</f>
        <v/>
      </c>
      <c r="M1125" s="13" t="str">
        <f aca="false">IF(AND(ISNUMBER(B1125),ISNUMBER(I1125)),B1125-I1125+1,"")</f>
        <v/>
      </c>
      <c r="N1125" s="14" t="str">
        <f aca="false">IF(B1125="","",IF(M1125="","시작일 미입력",IF(M1125&lt;1,"시작일 이전(확인)",IF(M1125=1,"1일째",IF(M1125=2,"2일째",IF(M1125=3,"3일째",IF(M1125&lt;=7,"일주일 이내",IF(M1125&lt;=14,"이주일 이내","15일 이후"))))))))</f>
        <v/>
      </c>
      <c r="O1125" s="0" t="str">
        <f aca="false">IF(AND(COUNTA($A1125:$J1125)&gt;0,OR(클레임조회!$C$4="",AND(ISNUMBER($B1125),$B1125&gt;=클레임조회!$C$4)),OR(클레임조회!$C$5="",AND(ISNUMBER($B1125),$B1125&lt;=클레임조회!$C$5)),OR(클레임조회!$C$6="",$C1125=클레임조회!$C$6),OR(클레임조회!$C$7="",$D1125=클레임조회!$C$7),OR(클레임조회!$C$8="",$E1125=클레임조회!$C$8),OR(클레임조회!$C$9="",$F1125=클레임조회!$C$9),OR(클레임조회!$C$10="",ISNUMBER(SEARCH(클레임조회!$C$10,$C1125&amp;" "&amp;$F1125&amp;" "&amp;$G1125&amp;" "&amp;$H1125)))),COUNT(O$1:O1124)+1,"")</f>
        <v/>
      </c>
      <c r="P1125" s="0" t="str">
        <f aca="false">IF(AND(TRIM(C1125)&lt;&gt;"",COUNTIF(C$2:C1125,C1125)=1),MAX(P$1:P1124)+1,"")</f>
        <v/>
      </c>
      <c r="Q1125" s="0" t="str">
        <f aca="false">IF(AND(TRIM(F1125)&lt;&gt;"",COUNTIF(F$2:F1125,F1125)=1),MAX(Q$1:Q1124)+1,"")</f>
        <v/>
      </c>
    </row>
    <row r="1126" customFormat="false" ht="15" hidden="false" customHeight="false" outlineLevel="0" collapsed="false">
      <c r="A1126" s="9"/>
      <c r="B1126" s="10"/>
      <c r="C1126" s="11"/>
      <c r="D1126" s="11"/>
      <c r="E1126" s="11"/>
      <c r="F1126" s="11"/>
      <c r="G1126" s="12"/>
      <c r="H1126" s="12"/>
      <c r="I1126" s="10"/>
      <c r="J1126" s="12"/>
      <c r="K1126" s="13" t="str">
        <f aca="false">IF(ISNUMBER(B1126),YEAR(B1126),"")</f>
        <v/>
      </c>
      <c r="L1126" s="13" t="str">
        <f aca="false">IF(ISNUMBER(B1126),MONTH(B1126),"")</f>
        <v/>
      </c>
      <c r="M1126" s="13" t="str">
        <f aca="false">IF(AND(ISNUMBER(B1126),ISNUMBER(I1126)),B1126-I1126+1,"")</f>
        <v/>
      </c>
      <c r="N1126" s="14" t="str">
        <f aca="false">IF(B1126="","",IF(M1126="","시작일 미입력",IF(M1126&lt;1,"시작일 이전(확인)",IF(M1126=1,"1일째",IF(M1126=2,"2일째",IF(M1126=3,"3일째",IF(M1126&lt;=7,"일주일 이내",IF(M1126&lt;=14,"이주일 이내","15일 이후"))))))))</f>
        <v/>
      </c>
      <c r="O1126" s="0" t="str">
        <f aca="false">IF(AND(COUNTA($A1126:$J1126)&gt;0,OR(클레임조회!$C$4="",AND(ISNUMBER($B1126),$B1126&gt;=클레임조회!$C$4)),OR(클레임조회!$C$5="",AND(ISNUMBER($B1126),$B1126&lt;=클레임조회!$C$5)),OR(클레임조회!$C$6="",$C1126=클레임조회!$C$6),OR(클레임조회!$C$7="",$D1126=클레임조회!$C$7),OR(클레임조회!$C$8="",$E1126=클레임조회!$C$8),OR(클레임조회!$C$9="",$F1126=클레임조회!$C$9),OR(클레임조회!$C$10="",ISNUMBER(SEARCH(클레임조회!$C$10,$C1126&amp;" "&amp;$F1126&amp;" "&amp;$G1126&amp;" "&amp;$H1126)))),COUNT(O$1:O1125)+1,"")</f>
        <v/>
      </c>
      <c r="P1126" s="0" t="str">
        <f aca="false">IF(AND(TRIM(C1126)&lt;&gt;"",COUNTIF(C$2:C1126,C1126)=1),MAX(P$1:P1125)+1,"")</f>
        <v/>
      </c>
      <c r="Q1126" s="0" t="str">
        <f aca="false">IF(AND(TRIM(F1126)&lt;&gt;"",COUNTIF(F$2:F1126,F1126)=1),MAX(Q$1:Q1125)+1,"")</f>
        <v/>
      </c>
    </row>
    <row r="1127" customFormat="false" ht="15" hidden="false" customHeight="false" outlineLevel="0" collapsed="false">
      <c r="A1127" s="9"/>
      <c r="B1127" s="10"/>
      <c r="C1127" s="11"/>
      <c r="D1127" s="11"/>
      <c r="E1127" s="11"/>
      <c r="F1127" s="11"/>
      <c r="G1127" s="12"/>
      <c r="H1127" s="12"/>
      <c r="I1127" s="10"/>
      <c r="J1127" s="12"/>
      <c r="K1127" s="13" t="str">
        <f aca="false">IF(ISNUMBER(B1127),YEAR(B1127),"")</f>
        <v/>
      </c>
      <c r="L1127" s="13" t="str">
        <f aca="false">IF(ISNUMBER(B1127),MONTH(B1127),"")</f>
        <v/>
      </c>
      <c r="M1127" s="13" t="str">
        <f aca="false">IF(AND(ISNUMBER(B1127),ISNUMBER(I1127)),B1127-I1127+1,"")</f>
        <v/>
      </c>
      <c r="N1127" s="14" t="str">
        <f aca="false">IF(B1127="","",IF(M1127="","시작일 미입력",IF(M1127&lt;1,"시작일 이전(확인)",IF(M1127=1,"1일째",IF(M1127=2,"2일째",IF(M1127=3,"3일째",IF(M1127&lt;=7,"일주일 이내",IF(M1127&lt;=14,"이주일 이내","15일 이후"))))))))</f>
        <v/>
      </c>
      <c r="O1127" s="0" t="str">
        <f aca="false">IF(AND(COUNTA($A1127:$J1127)&gt;0,OR(클레임조회!$C$4="",AND(ISNUMBER($B1127),$B1127&gt;=클레임조회!$C$4)),OR(클레임조회!$C$5="",AND(ISNUMBER($B1127),$B1127&lt;=클레임조회!$C$5)),OR(클레임조회!$C$6="",$C1127=클레임조회!$C$6),OR(클레임조회!$C$7="",$D1127=클레임조회!$C$7),OR(클레임조회!$C$8="",$E1127=클레임조회!$C$8),OR(클레임조회!$C$9="",$F1127=클레임조회!$C$9),OR(클레임조회!$C$10="",ISNUMBER(SEARCH(클레임조회!$C$10,$C1127&amp;" "&amp;$F1127&amp;" "&amp;$G1127&amp;" "&amp;$H1127)))),COUNT(O$1:O1126)+1,"")</f>
        <v/>
      </c>
      <c r="P1127" s="0" t="str">
        <f aca="false">IF(AND(TRIM(C1127)&lt;&gt;"",COUNTIF(C$2:C1127,C1127)=1),MAX(P$1:P1126)+1,"")</f>
        <v/>
      </c>
      <c r="Q1127" s="0" t="str">
        <f aca="false">IF(AND(TRIM(F1127)&lt;&gt;"",COUNTIF(F$2:F1127,F1127)=1),MAX(Q$1:Q1126)+1,"")</f>
        <v/>
      </c>
    </row>
    <row r="1128" customFormat="false" ht="15" hidden="false" customHeight="false" outlineLevel="0" collapsed="false">
      <c r="A1128" s="9"/>
      <c r="B1128" s="10"/>
      <c r="C1128" s="11"/>
      <c r="D1128" s="11"/>
      <c r="E1128" s="11"/>
      <c r="F1128" s="11"/>
      <c r="G1128" s="12"/>
      <c r="H1128" s="12"/>
      <c r="I1128" s="10"/>
      <c r="J1128" s="12"/>
      <c r="K1128" s="13" t="str">
        <f aca="false">IF(ISNUMBER(B1128),YEAR(B1128),"")</f>
        <v/>
      </c>
      <c r="L1128" s="13" t="str">
        <f aca="false">IF(ISNUMBER(B1128),MONTH(B1128),"")</f>
        <v/>
      </c>
      <c r="M1128" s="13" t="str">
        <f aca="false">IF(AND(ISNUMBER(B1128),ISNUMBER(I1128)),B1128-I1128+1,"")</f>
        <v/>
      </c>
      <c r="N1128" s="14" t="str">
        <f aca="false">IF(B1128="","",IF(M1128="","시작일 미입력",IF(M1128&lt;1,"시작일 이전(확인)",IF(M1128=1,"1일째",IF(M1128=2,"2일째",IF(M1128=3,"3일째",IF(M1128&lt;=7,"일주일 이내",IF(M1128&lt;=14,"이주일 이내","15일 이후"))))))))</f>
        <v/>
      </c>
      <c r="O1128" s="0" t="str">
        <f aca="false">IF(AND(COUNTA($A1128:$J1128)&gt;0,OR(클레임조회!$C$4="",AND(ISNUMBER($B1128),$B1128&gt;=클레임조회!$C$4)),OR(클레임조회!$C$5="",AND(ISNUMBER($B1128),$B1128&lt;=클레임조회!$C$5)),OR(클레임조회!$C$6="",$C1128=클레임조회!$C$6),OR(클레임조회!$C$7="",$D1128=클레임조회!$C$7),OR(클레임조회!$C$8="",$E1128=클레임조회!$C$8),OR(클레임조회!$C$9="",$F1128=클레임조회!$C$9),OR(클레임조회!$C$10="",ISNUMBER(SEARCH(클레임조회!$C$10,$C1128&amp;" "&amp;$F1128&amp;" "&amp;$G1128&amp;" "&amp;$H1128)))),COUNT(O$1:O1127)+1,"")</f>
        <v/>
      </c>
      <c r="P1128" s="0" t="str">
        <f aca="false">IF(AND(TRIM(C1128)&lt;&gt;"",COUNTIF(C$2:C1128,C1128)=1),MAX(P$1:P1127)+1,"")</f>
        <v/>
      </c>
      <c r="Q1128" s="0" t="str">
        <f aca="false">IF(AND(TRIM(F1128)&lt;&gt;"",COUNTIF(F$2:F1128,F1128)=1),MAX(Q$1:Q1127)+1,"")</f>
        <v/>
      </c>
    </row>
    <row r="1129" customFormat="false" ht="15" hidden="false" customHeight="false" outlineLevel="0" collapsed="false">
      <c r="A1129" s="9"/>
      <c r="B1129" s="10"/>
      <c r="C1129" s="11"/>
      <c r="D1129" s="11"/>
      <c r="E1129" s="11"/>
      <c r="F1129" s="11"/>
      <c r="G1129" s="12"/>
      <c r="H1129" s="12"/>
      <c r="I1129" s="10"/>
      <c r="J1129" s="12"/>
      <c r="K1129" s="13" t="str">
        <f aca="false">IF(ISNUMBER(B1129),YEAR(B1129),"")</f>
        <v/>
      </c>
      <c r="L1129" s="13" t="str">
        <f aca="false">IF(ISNUMBER(B1129),MONTH(B1129),"")</f>
        <v/>
      </c>
      <c r="M1129" s="13" t="str">
        <f aca="false">IF(AND(ISNUMBER(B1129),ISNUMBER(I1129)),B1129-I1129+1,"")</f>
        <v/>
      </c>
      <c r="N1129" s="14" t="str">
        <f aca="false">IF(B1129="","",IF(M1129="","시작일 미입력",IF(M1129&lt;1,"시작일 이전(확인)",IF(M1129=1,"1일째",IF(M1129=2,"2일째",IF(M1129=3,"3일째",IF(M1129&lt;=7,"일주일 이내",IF(M1129&lt;=14,"이주일 이내","15일 이후"))))))))</f>
        <v/>
      </c>
      <c r="O1129" s="0" t="str">
        <f aca="false">IF(AND(COUNTA($A1129:$J1129)&gt;0,OR(클레임조회!$C$4="",AND(ISNUMBER($B1129),$B1129&gt;=클레임조회!$C$4)),OR(클레임조회!$C$5="",AND(ISNUMBER($B1129),$B1129&lt;=클레임조회!$C$5)),OR(클레임조회!$C$6="",$C1129=클레임조회!$C$6),OR(클레임조회!$C$7="",$D1129=클레임조회!$C$7),OR(클레임조회!$C$8="",$E1129=클레임조회!$C$8),OR(클레임조회!$C$9="",$F1129=클레임조회!$C$9),OR(클레임조회!$C$10="",ISNUMBER(SEARCH(클레임조회!$C$10,$C1129&amp;" "&amp;$F1129&amp;" "&amp;$G1129&amp;" "&amp;$H1129)))),COUNT(O$1:O1128)+1,"")</f>
        <v/>
      </c>
      <c r="P1129" s="0" t="str">
        <f aca="false">IF(AND(TRIM(C1129)&lt;&gt;"",COUNTIF(C$2:C1129,C1129)=1),MAX(P$1:P1128)+1,"")</f>
        <v/>
      </c>
      <c r="Q1129" s="0" t="str">
        <f aca="false">IF(AND(TRIM(F1129)&lt;&gt;"",COUNTIF(F$2:F1129,F1129)=1),MAX(Q$1:Q1128)+1,"")</f>
        <v/>
      </c>
    </row>
    <row r="1130" customFormat="false" ht="15" hidden="false" customHeight="false" outlineLevel="0" collapsed="false">
      <c r="A1130" s="9"/>
      <c r="B1130" s="10"/>
      <c r="C1130" s="11"/>
      <c r="D1130" s="11"/>
      <c r="E1130" s="11"/>
      <c r="F1130" s="11"/>
      <c r="G1130" s="12"/>
      <c r="H1130" s="12"/>
      <c r="I1130" s="10"/>
      <c r="J1130" s="12"/>
      <c r="K1130" s="13" t="str">
        <f aca="false">IF(ISNUMBER(B1130),YEAR(B1130),"")</f>
        <v/>
      </c>
      <c r="L1130" s="13" t="str">
        <f aca="false">IF(ISNUMBER(B1130),MONTH(B1130),"")</f>
        <v/>
      </c>
      <c r="M1130" s="13" t="str">
        <f aca="false">IF(AND(ISNUMBER(B1130),ISNUMBER(I1130)),B1130-I1130+1,"")</f>
        <v/>
      </c>
      <c r="N1130" s="14" t="str">
        <f aca="false">IF(B1130="","",IF(M1130="","시작일 미입력",IF(M1130&lt;1,"시작일 이전(확인)",IF(M1130=1,"1일째",IF(M1130=2,"2일째",IF(M1130=3,"3일째",IF(M1130&lt;=7,"일주일 이내",IF(M1130&lt;=14,"이주일 이내","15일 이후"))))))))</f>
        <v/>
      </c>
      <c r="O1130" s="0" t="str">
        <f aca="false">IF(AND(COUNTA($A1130:$J1130)&gt;0,OR(클레임조회!$C$4="",AND(ISNUMBER($B1130),$B1130&gt;=클레임조회!$C$4)),OR(클레임조회!$C$5="",AND(ISNUMBER($B1130),$B1130&lt;=클레임조회!$C$5)),OR(클레임조회!$C$6="",$C1130=클레임조회!$C$6),OR(클레임조회!$C$7="",$D1130=클레임조회!$C$7),OR(클레임조회!$C$8="",$E1130=클레임조회!$C$8),OR(클레임조회!$C$9="",$F1130=클레임조회!$C$9),OR(클레임조회!$C$10="",ISNUMBER(SEARCH(클레임조회!$C$10,$C1130&amp;" "&amp;$F1130&amp;" "&amp;$G1130&amp;" "&amp;$H1130)))),COUNT(O$1:O1129)+1,"")</f>
        <v/>
      </c>
      <c r="P1130" s="0" t="str">
        <f aca="false">IF(AND(TRIM(C1130)&lt;&gt;"",COUNTIF(C$2:C1130,C1130)=1),MAX(P$1:P1129)+1,"")</f>
        <v/>
      </c>
      <c r="Q1130" s="0" t="str">
        <f aca="false">IF(AND(TRIM(F1130)&lt;&gt;"",COUNTIF(F$2:F1130,F1130)=1),MAX(Q$1:Q1129)+1,"")</f>
        <v/>
      </c>
    </row>
    <row r="1131" customFormat="false" ht="15" hidden="false" customHeight="false" outlineLevel="0" collapsed="false">
      <c r="A1131" s="9"/>
      <c r="B1131" s="10"/>
      <c r="C1131" s="11"/>
      <c r="D1131" s="11"/>
      <c r="E1131" s="11"/>
      <c r="F1131" s="11"/>
      <c r="G1131" s="12"/>
      <c r="H1131" s="12"/>
      <c r="I1131" s="10"/>
      <c r="J1131" s="12"/>
      <c r="K1131" s="13" t="str">
        <f aca="false">IF(ISNUMBER(B1131),YEAR(B1131),"")</f>
        <v/>
      </c>
      <c r="L1131" s="13" t="str">
        <f aca="false">IF(ISNUMBER(B1131),MONTH(B1131),"")</f>
        <v/>
      </c>
      <c r="M1131" s="13" t="str">
        <f aca="false">IF(AND(ISNUMBER(B1131),ISNUMBER(I1131)),B1131-I1131+1,"")</f>
        <v/>
      </c>
      <c r="N1131" s="14" t="str">
        <f aca="false">IF(B1131="","",IF(M1131="","시작일 미입력",IF(M1131&lt;1,"시작일 이전(확인)",IF(M1131=1,"1일째",IF(M1131=2,"2일째",IF(M1131=3,"3일째",IF(M1131&lt;=7,"일주일 이내",IF(M1131&lt;=14,"이주일 이내","15일 이후"))))))))</f>
        <v/>
      </c>
      <c r="O1131" s="0" t="str">
        <f aca="false">IF(AND(COUNTA($A1131:$J1131)&gt;0,OR(클레임조회!$C$4="",AND(ISNUMBER($B1131),$B1131&gt;=클레임조회!$C$4)),OR(클레임조회!$C$5="",AND(ISNUMBER($B1131),$B1131&lt;=클레임조회!$C$5)),OR(클레임조회!$C$6="",$C1131=클레임조회!$C$6),OR(클레임조회!$C$7="",$D1131=클레임조회!$C$7),OR(클레임조회!$C$8="",$E1131=클레임조회!$C$8),OR(클레임조회!$C$9="",$F1131=클레임조회!$C$9),OR(클레임조회!$C$10="",ISNUMBER(SEARCH(클레임조회!$C$10,$C1131&amp;" "&amp;$F1131&amp;" "&amp;$G1131&amp;" "&amp;$H1131)))),COUNT(O$1:O1130)+1,"")</f>
        <v/>
      </c>
      <c r="P1131" s="0" t="str">
        <f aca="false">IF(AND(TRIM(C1131)&lt;&gt;"",COUNTIF(C$2:C1131,C1131)=1),MAX(P$1:P1130)+1,"")</f>
        <v/>
      </c>
      <c r="Q1131" s="0" t="str">
        <f aca="false">IF(AND(TRIM(F1131)&lt;&gt;"",COUNTIF(F$2:F1131,F1131)=1),MAX(Q$1:Q1130)+1,"")</f>
        <v/>
      </c>
    </row>
    <row r="1132" customFormat="false" ht="15" hidden="false" customHeight="false" outlineLevel="0" collapsed="false">
      <c r="A1132" s="9"/>
      <c r="B1132" s="10"/>
      <c r="C1132" s="11"/>
      <c r="D1132" s="11"/>
      <c r="E1132" s="11"/>
      <c r="F1132" s="11"/>
      <c r="G1132" s="12"/>
      <c r="H1132" s="12"/>
      <c r="I1132" s="10"/>
      <c r="J1132" s="12"/>
      <c r="K1132" s="13" t="str">
        <f aca="false">IF(ISNUMBER(B1132),YEAR(B1132),"")</f>
        <v/>
      </c>
      <c r="L1132" s="13" t="str">
        <f aca="false">IF(ISNUMBER(B1132),MONTH(B1132),"")</f>
        <v/>
      </c>
      <c r="M1132" s="13" t="str">
        <f aca="false">IF(AND(ISNUMBER(B1132),ISNUMBER(I1132)),B1132-I1132+1,"")</f>
        <v/>
      </c>
      <c r="N1132" s="14" t="str">
        <f aca="false">IF(B1132="","",IF(M1132="","시작일 미입력",IF(M1132&lt;1,"시작일 이전(확인)",IF(M1132=1,"1일째",IF(M1132=2,"2일째",IF(M1132=3,"3일째",IF(M1132&lt;=7,"일주일 이내",IF(M1132&lt;=14,"이주일 이내","15일 이후"))))))))</f>
        <v/>
      </c>
      <c r="O1132" s="0" t="str">
        <f aca="false">IF(AND(COUNTA($A1132:$J1132)&gt;0,OR(클레임조회!$C$4="",AND(ISNUMBER($B1132),$B1132&gt;=클레임조회!$C$4)),OR(클레임조회!$C$5="",AND(ISNUMBER($B1132),$B1132&lt;=클레임조회!$C$5)),OR(클레임조회!$C$6="",$C1132=클레임조회!$C$6),OR(클레임조회!$C$7="",$D1132=클레임조회!$C$7),OR(클레임조회!$C$8="",$E1132=클레임조회!$C$8),OR(클레임조회!$C$9="",$F1132=클레임조회!$C$9),OR(클레임조회!$C$10="",ISNUMBER(SEARCH(클레임조회!$C$10,$C1132&amp;" "&amp;$F1132&amp;" "&amp;$G1132&amp;" "&amp;$H1132)))),COUNT(O$1:O1131)+1,"")</f>
        <v/>
      </c>
      <c r="P1132" s="0" t="str">
        <f aca="false">IF(AND(TRIM(C1132)&lt;&gt;"",COUNTIF(C$2:C1132,C1132)=1),MAX(P$1:P1131)+1,"")</f>
        <v/>
      </c>
      <c r="Q1132" s="0" t="str">
        <f aca="false">IF(AND(TRIM(F1132)&lt;&gt;"",COUNTIF(F$2:F1132,F1132)=1),MAX(Q$1:Q1131)+1,"")</f>
        <v/>
      </c>
    </row>
    <row r="1133" customFormat="false" ht="15" hidden="false" customHeight="false" outlineLevel="0" collapsed="false">
      <c r="A1133" s="9"/>
      <c r="B1133" s="10"/>
      <c r="C1133" s="11"/>
      <c r="D1133" s="11"/>
      <c r="E1133" s="11"/>
      <c r="F1133" s="11"/>
      <c r="G1133" s="12"/>
      <c r="H1133" s="12"/>
      <c r="I1133" s="10"/>
      <c r="J1133" s="12"/>
      <c r="K1133" s="13" t="str">
        <f aca="false">IF(ISNUMBER(B1133),YEAR(B1133),"")</f>
        <v/>
      </c>
      <c r="L1133" s="13" t="str">
        <f aca="false">IF(ISNUMBER(B1133),MONTH(B1133),"")</f>
        <v/>
      </c>
      <c r="M1133" s="13" t="str">
        <f aca="false">IF(AND(ISNUMBER(B1133),ISNUMBER(I1133)),B1133-I1133+1,"")</f>
        <v/>
      </c>
      <c r="N1133" s="14" t="str">
        <f aca="false">IF(B1133="","",IF(M1133="","시작일 미입력",IF(M1133&lt;1,"시작일 이전(확인)",IF(M1133=1,"1일째",IF(M1133=2,"2일째",IF(M1133=3,"3일째",IF(M1133&lt;=7,"일주일 이내",IF(M1133&lt;=14,"이주일 이내","15일 이후"))))))))</f>
        <v/>
      </c>
      <c r="O1133" s="0" t="str">
        <f aca="false">IF(AND(COUNTA($A1133:$J1133)&gt;0,OR(클레임조회!$C$4="",AND(ISNUMBER($B1133),$B1133&gt;=클레임조회!$C$4)),OR(클레임조회!$C$5="",AND(ISNUMBER($B1133),$B1133&lt;=클레임조회!$C$5)),OR(클레임조회!$C$6="",$C1133=클레임조회!$C$6),OR(클레임조회!$C$7="",$D1133=클레임조회!$C$7),OR(클레임조회!$C$8="",$E1133=클레임조회!$C$8),OR(클레임조회!$C$9="",$F1133=클레임조회!$C$9),OR(클레임조회!$C$10="",ISNUMBER(SEARCH(클레임조회!$C$10,$C1133&amp;" "&amp;$F1133&amp;" "&amp;$G1133&amp;" "&amp;$H1133)))),COUNT(O$1:O1132)+1,"")</f>
        <v/>
      </c>
      <c r="P1133" s="0" t="str">
        <f aca="false">IF(AND(TRIM(C1133)&lt;&gt;"",COUNTIF(C$2:C1133,C1133)=1),MAX(P$1:P1132)+1,"")</f>
        <v/>
      </c>
      <c r="Q1133" s="0" t="str">
        <f aca="false">IF(AND(TRIM(F1133)&lt;&gt;"",COUNTIF(F$2:F1133,F1133)=1),MAX(Q$1:Q1132)+1,"")</f>
        <v/>
      </c>
    </row>
    <row r="1134" customFormat="false" ht="15" hidden="false" customHeight="false" outlineLevel="0" collapsed="false">
      <c r="A1134" s="9"/>
      <c r="B1134" s="10"/>
      <c r="C1134" s="11"/>
      <c r="D1134" s="11"/>
      <c r="E1134" s="11"/>
      <c r="F1134" s="11"/>
      <c r="G1134" s="12"/>
      <c r="H1134" s="12"/>
      <c r="I1134" s="10"/>
      <c r="J1134" s="12"/>
      <c r="K1134" s="13" t="str">
        <f aca="false">IF(ISNUMBER(B1134),YEAR(B1134),"")</f>
        <v/>
      </c>
      <c r="L1134" s="13" t="str">
        <f aca="false">IF(ISNUMBER(B1134),MONTH(B1134),"")</f>
        <v/>
      </c>
      <c r="M1134" s="13" t="str">
        <f aca="false">IF(AND(ISNUMBER(B1134),ISNUMBER(I1134)),B1134-I1134+1,"")</f>
        <v/>
      </c>
      <c r="N1134" s="14" t="str">
        <f aca="false">IF(B1134="","",IF(M1134="","시작일 미입력",IF(M1134&lt;1,"시작일 이전(확인)",IF(M1134=1,"1일째",IF(M1134=2,"2일째",IF(M1134=3,"3일째",IF(M1134&lt;=7,"일주일 이내",IF(M1134&lt;=14,"이주일 이내","15일 이후"))))))))</f>
        <v/>
      </c>
      <c r="O1134" s="0" t="str">
        <f aca="false">IF(AND(COUNTA($A1134:$J1134)&gt;0,OR(클레임조회!$C$4="",AND(ISNUMBER($B1134),$B1134&gt;=클레임조회!$C$4)),OR(클레임조회!$C$5="",AND(ISNUMBER($B1134),$B1134&lt;=클레임조회!$C$5)),OR(클레임조회!$C$6="",$C1134=클레임조회!$C$6),OR(클레임조회!$C$7="",$D1134=클레임조회!$C$7),OR(클레임조회!$C$8="",$E1134=클레임조회!$C$8),OR(클레임조회!$C$9="",$F1134=클레임조회!$C$9),OR(클레임조회!$C$10="",ISNUMBER(SEARCH(클레임조회!$C$10,$C1134&amp;" "&amp;$F1134&amp;" "&amp;$G1134&amp;" "&amp;$H1134)))),COUNT(O$1:O1133)+1,"")</f>
        <v/>
      </c>
      <c r="P1134" s="0" t="str">
        <f aca="false">IF(AND(TRIM(C1134)&lt;&gt;"",COUNTIF(C$2:C1134,C1134)=1),MAX(P$1:P1133)+1,"")</f>
        <v/>
      </c>
      <c r="Q1134" s="0" t="str">
        <f aca="false">IF(AND(TRIM(F1134)&lt;&gt;"",COUNTIF(F$2:F1134,F1134)=1),MAX(Q$1:Q1133)+1,"")</f>
        <v/>
      </c>
    </row>
    <row r="1135" customFormat="false" ht="15" hidden="false" customHeight="false" outlineLevel="0" collapsed="false">
      <c r="A1135" s="9"/>
      <c r="B1135" s="10"/>
      <c r="C1135" s="11"/>
      <c r="D1135" s="11"/>
      <c r="E1135" s="11"/>
      <c r="F1135" s="11"/>
      <c r="G1135" s="12"/>
      <c r="H1135" s="12"/>
      <c r="I1135" s="10"/>
      <c r="J1135" s="12"/>
      <c r="K1135" s="13" t="str">
        <f aca="false">IF(ISNUMBER(B1135),YEAR(B1135),"")</f>
        <v/>
      </c>
      <c r="L1135" s="13" t="str">
        <f aca="false">IF(ISNUMBER(B1135),MONTH(B1135),"")</f>
        <v/>
      </c>
      <c r="M1135" s="13" t="str">
        <f aca="false">IF(AND(ISNUMBER(B1135),ISNUMBER(I1135)),B1135-I1135+1,"")</f>
        <v/>
      </c>
      <c r="N1135" s="14" t="str">
        <f aca="false">IF(B1135="","",IF(M1135="","시작일 미입력",IF(M1135&lt;1,"시작일 이전(확인)",IF(M1135=1,"1일째",IF(M1135=2,"2일째",IF(M1135=3,"3일째",IF(M1135&lt;=7,"일주일 이내",IF(M1135&lt;=14,"이주일 이내","15일 이후"))))))))</f>
        <v/>
      </c>
      <c r="O1135" s="0" t="str">
        <f aca="false">IF(AND(COUNTA($A1135:$J1135)&gt;0,OR(클레임조회!$C$4="",AND(ISNUMBER($B1135),$B1135&gt;=클레임조회!$C$4)),OR(클레임조회!$C$5="",AND(ISNUMBER($B1135),$B1135&lt;=클레임조회!$C$5)),OR(클레임조회!$C$6="",$C1135=클레임조회!$C$6),OR(클레임조회!$C$7="",$D1135=클레임조회!$C$7),OR(클레임조회!$C$8="",$E1135=클레임조회!$C$8),OR(클레임조회!$C$9="",$F1135=클레임조회!$C$9),OR(클레임조회!$C$10="",ISNUMBER(SEARCH(클레임조회!$C$10,$C1135&amp;" "&amp;$F1135&amp;" "&amp;$G1135&amp;" "&amp;$H1135)))),COUNT(O$1:O1134)+1,"")</f>
        <v/>
      </c>
      <c r="P1135" s="0" t="str">
        <f aca="false">IF(AND(TRIM(C1135)&lt;&gt;"",COUNTIF(C$2:C1135,C1135)=1),MAX(P$1:P1134)+1,"")</f>
        <v/>
      </c>
      <c r="Q1135" s="0" t="str">
        <f aca="false">IF(AND(TRIM(F1135)&lt;&gt;"",COUNTIF(F$2:F1135,F1135)=1),MAX(Q$1:Q1134)+1,"")</f>
        <v/>
      </c>
    </row>
    <row r="1136" customFormat="false" ht="15" hidden="false" customHeight="false" outlineLevel="0" collapsed="false">
      <c r="A1136" s="9"/>
      <c r="B1136" s="10"/>
      <c r="C1136" s="11"/>
      <c r="D1136" s="11"/>
      <c r="E1136" s="11"/>
      <c r="F1136" s="11"/>
      <c r="G1136" s="12"/>
      <c r="H1136" s="12"/>
      <c r="I1136" s="10"/>
      <c r="J1136" s="12"/>
      <c r="K1136" s="13" t="str">
        <f aca="false">IF(ISNUMBER(B1136),YEAR(B1136),"")</f>
        <v/>
      </c>
      <c r="L1136" s="13" t="str">
        <f aca="false">IF(ISNUMBER(B1136),MONTH(B1136),"")</f>
        <v/>
      </c>
      <c r="M1136" s="13" t="str">
        <f aca="false">IF(AND(ISNUMBER(B1136),ISNUMBER(I1136)),B1136-I1136+1,"")</f>
        <v/>
      </c>
      <c r="N1136" s="14" t="str">
        <f aca="false">IF(B1136="","",IF(M1136="","시작일 미입력",IF(M1136&lt;1,"시작일 이전(확인)",IF(M1136=1,"1일째",IF(M1136=2,"2일째",IF(M1136=3,"3일째",IF(M1136&lt;=7,"일주일 이내",IF(M1136&lt;=14,"이주일 이내","15일 이후"))))))))</f>
        <v/>
      </c>
      <c r="O1136" s="0" t="str">
        <f aca="false">IF(AND(COUNTA($A1136:$J1136)&gt;0,OR(클레임조회!$C$4="",AND(ISNUMBER($B1136),$B1136&gt;=클레임조회!$C$4)),OR(클레임조회!$C$5="",AND(ISNUMBER($B1136),$B1136&lt;=클레임조회!$C$5)),OR(클레임조회!$C$6="",$C1136=클레임조회!$C$6),OR(클레임조회!$C$7="",$D1136=클레임조회!$C$7),OR(클레임조회!$C$8="",$E1136=클레임조회!$C$8),OR(클레임조회!$C$9="",$F1136=클레임조회!$C$9),OR(클레임조회!$C$10="",ISNUMBER(SEARCH(클레임조회!$C$10,$C1136&amp;" "&amp;$F1136&amp;" "&amp;$G1136&amp;" "&amp;$H1136)))),COUNT(O$1:O1135)+1,"")</f>
        <v/>
      </c>
      <c r="P1136" s="0" t="str">
        <f aca="false">IF(AND(TRIM(C1136)&lt;&gt;"",COUNTIF(C$2:C1136,C1136)=1),MAX(P$1:P1135)+1,"")</f>
        <v/>
      </c>
      <c r="Q1136" s="0" t="str">
        <f aca="false">IF(AND(TRIM(F1136)&lt;&gt;"",COUNTIF(F$2:F1136,F1136)=1),MAX(Q$1:Q1135)+1,"")</f>
        <v/>
      </c>
    </row>
    <row r="1137" customFormat="false" ht="15" hidden="false" customHeight="false" outlineLevel="0" collapsed="false">
      <c r="A1137" s="9"/>
      <c r="B1137" s="10"/>
      <c r="C1137" s="11"/>
      <c r="D1137" s="11"/>
      <c r="E1137" s="11"/>
      <c r="F1137" s="11"/>
      <c r="G1137" s="12"/>
      <c r="H1137" s="12"/>
      <c r="I1137" s="10"/>
      <c r="J1137" s="12"/>
      <c r="K1137" s="13" t="str">
        <f aca="false">IF(ISNUMBER(B1137),YEAR(B1137),"")</f>
        <v/>
      </c>
      <c r="L1137" s="13" t="str">
        <f aca="false">IF(ISNUMBER(B1137),MONTH(B1137),"")</f>
        <v/>
      </c>
      <c r="M1137" s="13" t="str">
        <f aca="false">IF(AND(ISNUMBER(B1137),ISNUMBER(I1137)),B1137-I1137+1,"")</f>
        <v/>
      </c>
      <c r="N1137" s="14" t="str">
        <f aca="false">IF(B1137="","",IF(M1137="","시작일 미입력",IF(M1137&lt;1,"시작일 이전(확인)",IF(M1137=1,"1일째",IF(M1137=2,"2일째",IF(M1137=3,"3일째",IF(M1137&lt;=7,"일주일 이내",IF(M1137&lt;=14,"이주일 이내","15일 이후"))))))))</f>
        <v/>
      </c>
      <c r="O1137" s="0" t="str">
        <f aca="false">IF(AND(COUNTA($A1137:$J1137)&gt;0,OR(클레임조회!$C$4="",AND(ISNUMBER($B1137),$B1137&gt;=클레임조회!$C$4)),OR(클레임조회!$C$5="",AND(ISNUMBER($B1137),$B1137&lt;=클레임조회!$C$5)),OR(클레임조회!$C$6="",$C1137=클레임조회!$C$6),OR(클레임조회!$C$7="",$D1137=클레임조회!$C$7),OR(클레임조회!$C$8="",$E1137=클레임조회!$C$8),OR(클레임조회!$C$9="",$F1137=클레임조회!$C$9),OR(클레임조회!$C$10="",ISNUMBER(SEARCH(클레임조회!$C$10,$C1137&amp;" "&amp;$F1137&amp;" "&amp;$G1137&amp;" "&amp;$H1137)))),COUNT(O$1:O1136)+1,"")</f>
        <v/>
      </c>
      <c r="P1137" s="0" t="str">
        <f aca="false">IF(AND(TRIM(C1137)&lt;&gt;"",COUNTIF(C$2:C1137,C1137)=1),MAX(P$1:P1136)+1,"")</f>
        <v/>
      </c>
      <c r="Q1137" s="0" t="str">
        <f aca="false">IF(AND(TRIM(F1137)&lt;&gt;"",COUNTIF(F$2:F1137,F1137)=1),MAX(Q$1:Q1136)+1,"")</f>
        <v/>
      </c>
    </row>
    <row r="1138" customFormat="false" ht="15" hidden="false" customHeight="false" outlineLevel="0" collapsed="false">
      <c r="A1138" s="9"/>
      <c r="B1138" s="10"/>
      <c r="C1138" s="11"/>
      <c r="D1138" s="11"/>
      <c r="E1138" s="11"/>
      <c r="F1138" s="11"/>
      <c r="G1138" s="12"/>
      <c r="H1138" s="12"/>
      <c r="I1138" s="10"/>
      <c r="J1138" s="12"/>
      <c r="K1138" s="13" t="str">
        <f aca="false">IF(ISNUMBER(B1138),YEAR(B1138),"")</f>
        <v/>
      </c>
      <c r="L1138" s="13" t="str">
        <f aca="false">IF(ISNUMBER(B1138),MONTH(B1138),"")</f>
        <v/>
      </c>
      <c r="M1138" s="13" t="str">
        <f aca="false">IF(AND(ISNUMBER(B1138),ISNUMBER(I1138)),B1138-I1138+1,"")</f>
        <v/>
      </c>
      <c r="N1138" s="14" t="str">
        <f aca="false">IF(B1138="","",IF(M1138="","시작일 미입력",IF(M1138&lt;1,"시작일 이전(확인)",IF(M1138=1,"1일째",IF(M1138=2,"2일째",IF(M1138=3,"3일째",IF(M1138&lt;=7,"일주일 이내",IF(M1138&lt;=14,"이주일 이내","15일 이후"))))))))</f>
        <v/>
      </c>
      <c r="O1138" s="0" t="str">
        <f aca="false">IF(AND(COUNTA($A1138:$J1138)&gt;0,OR(클레임조회!$C$4="",AND(ISNUMBER($B1138),$B1138&gt;=클레임조회!$C$4)),OR(클레임조회!$C$5="",AND(ISNUMBER($B1138),$B1138&lt;=클레임조회!$C$5)),OR(클레임조회!$C$6="",$C1138=클레임조회!$C$6),OR(클레임조회!$C$7="",$D1138=클레임조회!$C$7),OR(클레임조회!$C$8="",$E1138=클레임조회!$C$8),OR(클레임조회!$C$9="",$F1138=클레임조회!$C$9),OR(클레임조회!$C$10="",ISNUMBER(SEARCH(클레임조회!$C$10,$C1138&amp;" "&amp;$F1138&amp;" "&amp;$G1138&amp;" "&amp;$H1138)))),COUNT(O$1:O1137)+1,"")</f>
        <v/>
      </c>
      <c r="P1138" s="0" t="str">
        <f aca="false">IF(AND(TRIM(C1138)&lt;&gt;"",COUNTIF(C$2:C1138,C1138)=1),MAX(P$1:P1137)+1,"")</f>
        <v/>
      </c>
      <c r="Q1138" s="0" t="str">
        <f aca="false">IF(AND(TRIM(F1138)&lt;&gt;"",COUNTIF(F$2:F1138,F1138)=1),MAX(Q$1:Q1137)+1,"")</f>
        <v/>
      </c>
    </row>
    <row r="1139" customFormat="false" ht="15" hidden="false" customHeight="false" outlineLevel="0" collapsed="false">
      <c r="A1139" s="9"/>
      <c r="B1139" s="10"/>
      <c r="C1139" s="11"/>
      <c r="D1139" s="11"/>
      <c r="E1139" s="11"/>
      <c r="F1139" s="11"/>
      <c r="G1139" s="12"/>
      <c r="H1139" s="12"/>
      <c r="I1139" s="10"/>
      <c r="J1139" s="12"/>
      <c r="K1139" s="13" t="str">
        <f aca="false">IF(ISNUMBER(B1139),YEAR(B1139),"")</f>
        <v/>
      </c>
      <c r="L1139" s="13" t="str">
        <f aca="false">IF(ISNUMBER(B1139),MONTH(B1139),"")</f>
        <v/>
      </c>
      <c r="M1139" s="13" t="str">
        <f aca="false">IF(AND(ISNUMBER(B1139),ISNUMBER(I1139)),B1139-I1139+1,"")</f>
        <v/>
      </c>
      <c r="N1139" s="14" t="str">
        <f aca="false">IF(B1139="","",IF(M1139="","시작일 미입력",IF(M1139&lt;1,"시작일 이전(확인)",IF(M1139=1,"1일째",IF(M1139=2,"2일째",IF(M1139=3,"3일째",IF(M1139&lt;=7,"일주일 이내",IF(M1139&lt;=14,"이주일 이내","15일 이후"))))))))</f>
        <v/>
      </c>
      <c r="O1139" s="0" t="str">
        <f aca="false">IF(AND(COUNTA($A1139:$J1139)&gt;0,OR(클레임조회!$C$4="",AND(ISNUMBER($B1139),$B1139&gt;=클레임조회!$C$4)),OR(클레임조회!$C$5="",AND(ISNUMBER($B1139),$B1139&lt;=클레임조회!$C$5)),OR(클레임조회!$C$6="",$C1139=클레임조회!$C$6),OR(클레임조회!$C$7="",$D1139=클레임조회!$C$7),OR(클레임조회!$C$8="",$E1139=클레임조회!$C$8),OR(클레임조회!$C$9="",$F1139=클레임조회!$C$9),OR(클레임조회!$C$10="",ISNUMBER(SEARCH(클레임조회!$C$10,$C1139&amp;" "&amp;$F1139&amp;" "&amp;$G1139&amp;" "&amp;$H1139)))),COUNT(O$1:O1138)+1,"")</f>
        <v/>
      </c>
      <c r="P1139" s="0" t="str">
        <f aca="false">IF(AND(TRIM(C1139)&lt;&gt;"",COUNTIF(C$2:C1139,C1139)=1),MAX(P$1:P1138)+1,"")</f>
        <v/>
      </c>
      <c r="Q1139" s="0" t="str">
        <f aca="false">IF(AND(TRIM(F1139)&lt;&gt;"",COUNTIF(F$2:F1139,F1139)=1),MAX(Q$1:Q1138)+1,"")</f>
        <v/>
      </c>
    </row>
    <row r="1140" customFormat="false" ht="15" hidden="false" customHeight="false" outlineLevel="0" collapsed="false">
      <c r="A1140" s="9"/>
      <c r="B1140" s="10"/>
      <c r="C1140" s="11"/>
      <c r="D1140" s="11"/>
      <c r="E1140" s="11"/>
      <c r="F1140" s="11"/>
      <c r="G1140" s="12"/>
      <c r="H1140" s="12"/>
      <c r="I1140" s="10"/>
      <c r="J1140" s="12"/>
      <c r="K1140" s="13" t="str">
        <f aca="false">IF(ISNUMBER(B1140),YEAR(B1140),"")</f>
        <v/>
      </c>
      <c r="L1140" s="13" t="str">
        <f aca="false">IF(ISNUMBER(B1140),MONTH(B1140),"")</f>
        <v/>
      </c>
      <c r="M1140" s="13" t="str">
        <f aca="false">IF(AND(ISNUMBER(B1140),ISNUMBER(I1140)),B1140-I1140+1,"")</f>
        <v/>
      </c>
      <c r="N1140" s="14" t="str">
        <f aca="false">IF(B1140="","",IF(M1140="","시작일 미입력",IF(M1140&lt;1,"시작일 이전(확인)",IF(M1140=1,"1일째",IF(M1140=2,"2일째",IF(M1140=3,"3일째",IF(M1140&lt;=7,"일주일 이내",IF(M1140&lt;=14,"이주일 이내","15일 이후"))))))))</f>
        <v/>
      </c>
      <c r="O1140" s="0" t="str">
        <f aca="false">IF(AND(COUNTA($A1140:$J1140)&gt;0,OR(클레임조회!$C$4="",AND(ISNUMBER($B1140),$B1140&gt;=클레임조회!$C$4)),OR(클레임조회!$C$5="",AND(ISNUMBER($B1140),$B1140&lt;=클레임조회!$C$5)),OR(클레임조회!$C$6="",$C1140=클레임조회!$C$6),OR(클레임조회!$C$7="",$D1140=클레임조회!$C$7),OR(클레임조회!$C$8="",$E1140=클레임조회!$C$8),OR(클레임조회!$C$9="",$F1140=클레임조회!$C$9),OR(클레임조회!$C$10="",ISNUMBER(SEARCH(클레임조회!$C$10,$C1140&amp;" "&amp;$F1140&amp;" "&amp;$G1140&amp;" "&amp;$H1140)))),COUNT(O$1:O1139)+1,"")</f>
        <v/>
      </c>
      <c r="P1140" s="0" t="str">
        <f aca="false">IF(AND(TRIM(C1140)&lt;&gt;"",COUNTIF(C$2:C1140,C1140)=1),MAX(P$1:P1139)+1,"")</f>
        <v/>
      </c>
      <c r="Q1140" s="0" t="str">
        <f aca="false">IF(AND(TRIM(F1140)&lt;&gt;"",COUNTIF(F$2:F1140,F1140)=1),MAX(Q$1:Q1139)+1,"")</f>
        <v/>
      </c>
    </row>
    <row r="1141" customFormat="false" ht="15" hidden="false" customHeight="false" outlineLevel="0" collapsed="false">
      <c r="A1141" s="9"/>
      <c r="B1141" s="10"/>
      <c r="C1141" s="11"/>
      <c r="D1141" s="11"/>
      <c r="E1141" s="11"/>
      <c r="F1141" s="11"/>
      <c r="G1141" s="12"/>
      <c r="H1141" s="12"/>
      <c r="I1141" s="10"/>
      <c r="J1141" s="12"/>
      <c r="K1141" s="13" t="str">
        <f aca="false">IF(ISNUMBER(B1141),YEAR(B1141),"")</f>
        <v/>
      </c>
      <c r="L1141" s="13" t="str">
        <f aca="false">IF(ISNUMBER(B1141),MONTH(B1141),"")</f>
        <v/>
      </c>
      <c r="M1141" s="13" t="str">
        <f aca="false">IF(AND(ISNUMBER(B1141),ISNUMBER(I1141)),B1141-I1141+1,"")</f>
        <v/>
      </c>
      <c r="N1141" s="14" t="str">
        <f aca="false">IF(B1141="","",IF(M1141="","시작일 미입력",IF(M1141&lt;1,"시작일 이전(확인)",IF(M1141=1,"1일째",IF(M1141=2,"2일째",IF(M1141=3,"3일째",IF(M1141&lt;=7,"일주일 이내",IF(M1141&lt;=14,"이주일 이내","15일 이후"))))))))</f>
        <v/>
      </c>
      <c r="O1141" s="0" t="str">
        <f aca="false">IF(AND(COUNTA($A1141:$J1141)&gt;0,OR(클레임조회!$C$4="",AND(ISNUMBER($B1141),$B1141&gt;=클레임조회!$C$4)),OR(클레임조회!$C$5="",AND(ISNUMBER($B1141),$B1141&lt;=클레임조회!$C$5)),OR(클레임조회!$C$6="",$C1141=클레임조회!$C$6),OR(클레임조회!$C$7="",$D1141=클레임조회!$C$7),OR(클레임조회!$C$8="",$E1141=클레임조회!$C$8),OR(클레임조회!$C$9="",$F1141=클레임조회!$C$9),OR(클레임조회!$C$10="",ISNUMBER(SEARCH(클레임조회!$C$10,$C1141&amp;" "&amp;$F1141&amp;" "&amp;$G1141&amp;" "&amp;$H1141)))),COUNT(O$1:O1140)+1,"")</f>
        <v/>
      </c>
      <c r="P1141" s="0" t="str">
        <f aca="false">IF(AND(TRIM(C1141)&lt;&gt;"",COUNTIF(C$2:C1141,C1141)=1),MAX(P$1:P1140)+1,"")</f>
        <v/>
      </c>
      <c r="Q1141" s="0" t="str">
        <f aca="false">IF(AND(TRIM(F1141)&lt;&gt;"",COUNTIF(F$2:F1141,F1141)=1),MAX(Q$1:Q1140)+1,"")</f>
        <v/>
      </c>
    </row>
    <row r="1142" customFormat="false" ht="15" hidden="false" customHeight="false" outlineLevel="0" collapsed="false">
      <c r="A1142" s="9"/>
      <c r="B1142" s="10"/>
      <c r="C1142" s="11"/>
      <c r="D1142" s="11"/>
      <c r="E1142" s="11"/>
      <c r="F1142" s="11"/>
      <c r="G1142" s="12"/>
      <c r="H1142" s="12"/>
      <c r="I1142" s="10"/>
      <c r="J1142" s="12"/>
      <c r="K1142" s="13" t="str">
        <f aca="false">IF(ISNUMBER(B1142),YEAR(B1142),"")</f>
        <v/>
      </c>
      <c r="L1142" s="13" t="str">
        <f aca="false">IF(ISNUMBER(B1142),MONTH(B1142),"")</f>
        <v/>
      </c>
      <c r="M1142" s="13" t="str">
        <f aca="false">IF(AND(ISNUMBER(B1142),ISNUMBER(I1142)),B1142-I1142+1,"")</f>
        <v/>
      </c>
      <c r="N1142" s="14" t="str">
        <f aca="false">IF(B1142="","",IF(M1142="","시작일 미입력",IF(M1142&lt;1,"시작일 이전(확인)",IF(M1142=1,"1일째",IF(M1142=2,"2일째",IF(M1142=3,"3일째",IF(M1142&lt;=7,"일주일 이내",IF(M1142&lt;=14,"이주일 이내","15일 이후"))))))))</f>
        <v/>
      </c>
      <c r="O1142" s="0" t="str">
        <f aca="false">IF(AND(COUNTA($A1142:$J1142)&gt;0,OR(클레임조회!$C$4="",AND(ISNUMBER($B1142),$B1142&gt;=클레임조회!$C$4)),OR(클레임조회!$C$5="",AND(ISNUMBER($B1142),$B1142&lt;=클레임조회!$C$5)),OR(클레임조회!$C$6="",$C1142=클레임조회!$C$6),OR(클레임조회!$C$7="",$D1142=클레임조회!$C$7),OR(클레임조회!$C$8="",$E1142=클레임조회!$C$8),OR(클레임조회!$C$9="",$F1142=클레임조회!$C$9),OR(클레임조회!$C$10="",ISNUMBER(SEARCH(클레임조회!$C$10,$C1142&amp;" "&amp;$F1142&amp;" "&amp;$G1142&amp;" "&amp;$H1142)))),COUNT(O$1:O1141)+1,"")</f>
        <v/>
      </c>
      <c r="P1142" s="0" t="str">
        <f aca="false">IF(AND(TRIM(C1142)&lt;&gt;"",COUNTIF(C$2:C1142,C1142)=1),MAX(P$1:P1141)+1,"")</f>
        <v/>
      </c>
      <c r="Q1142" s="0" t="str">
        <f aca="false">IF(AND(TRIM(F1142)&lt;&gt;"",COUNTIF(F$2:F1142,F1142)=1),MAX(Q$1:Q1141)+1,"")</f>
        <v/>
      </c>
    </row>
    <row r="1143" customFormat="false" ht="15" hidden="false" customHeight="false" outlineLevel="0" collapsed="false">
      <c r="A1143" s="9"/>
      <c r="B1143" s="10"/>
      <c r="C1143" s="11"/>
      <c r="D1143" s="11"/>
      <c r="E1143" s="11"/>
      <c r="F1143" s="11"/>
      <c r="G1143" s="12"/>
      <c r="H1143" s="12"/>
      <c r="I1143" s="10"/>
      <c r="J1143" s="12"/>
      <c r="K1143" s="13" t="str">
        <f aca="false">IF(ISNUMBER(B1143),YEAR(B1143),"")</f>
        <v/>
      </c>
      <c r="L1143" s="13" t="str">
        <f aca="false">IF(ISNUMBER(B1143),MONTH(B1143),"")</f>
        <v/>
      </c>
      <c r="M1143" s="13" t="str">
        <f aca="false">IF(AND(ISNUMBER(B1143),ISNUMBER(I1143)),B1143-I1143+1,"")</f>
        <v/>
      </c>
      <c r="N1143" s="14" t="str">
        <f aca="false">IF(B1143="","",IF(M1143="","시작일 미입력",IF(M1143&lt;1,"시작일 이전(확인)",IF(M1143=1,"1일째",IF(M1143=2,"2일째",IF(M1143=3,"3일째",IF(M1143&lt;=7,"일주일 이내",IF(M1143&lt;=14,"이주일 이내","15일 이후"))))))))</f>
        <v/>
      </c>
      <c r="O1143" s="0" t="str">
        <f aca="false">IF(AND(COUNTA($A1143:$J1143)&gt;0,OR(클레임조회!$C$4="",AND(ISNUMBER($B1143),$B1143&gt;=클레임조회!$C$4)),OR(클레임조회!$C$5="",AND(ISNUMBER($B1143),$B1143&lt;=클레임조회!$C$5)),OR(클레임조회!$C$6="",$C1143=클레임조회!$C$6),OR(클레임조회!$C$7="",$D1143=클레임조회!$C$7),OR(클레임조회!$C$8="",$E1143=클레임조회!$C$8),OR(클레임조회!$C$9="",$F1143=클레임조회!$C$9),OR(클레임조회!$C$10="",ISNUMBER(SEARCH(클레임조회!$C$10,$C1143&amp;" "&amp;$F1143&amp;" "&amp;$G1143&amp;" "&amp;$H1143)))),COUNT(O$1:O1142)+1,"")</f>
        <v/>
      </c>
      <c r="P1143" s="0" t="str">
        <f aca="false">IF(AND(TRIM(C1143)&lt;&gt;"",COUNTIF(C$2:C1143,C1143)=1),MAX(P$1:P1142)+1,"")</f>
        <v/>
      </c>
      <c r="Q1143" s="0" t="str">
        <f aca="false">IF(AND(TRIM(F1143)&lt;&gt;"",COUNTIF(F$2:F1143,F1143)=1),MAX(Q$1:Q1142)+1,"")</f>
        <v/>
      </c>
    </row>
    <row r="1144" customFormat="false" ht="15" hidden="false" customHeight="false" outlineLevel="0" collapsed="false">
      <c r="A1144" s="9"/>
      <c r="B1144" s="10"/>
      <c r="C1144" s="11"/>
      <c r="D1144" s="11"/>
      <c r="E1144" s="11"/>
      <c r="F1144" s="11"/>
      <c r="G1144" s="12"/>
      <c r="H1144" s="12"/>
      <c r="I1144" s="10"/>
      <c r="J1144" s="12"/>
      <c r="K1144" s="13" t="str">
        <f aca="false">IF(ISNUMBER(B1144),YEAR(B1144),"")</f>
        <v/>
      </c>
      <c r="L1144" s="13" t="str">
        <f aca="false">IF(ISNUMBER(B1144),MONTH(B1144),"")</f>
        <v/>
      </c>
      <c r="M1144" s="13" t="str">
        <f aca="false">IF(AND(ISNUMBER(B1144),ISNUMBER(I1144)),B1144-I1144+1,"")</f>
        <v/>
      </c>
      <c r="N1144" s="14" t="str">
        <f aca="false">IF(B1144="","",IF(M1144="","시작일 미입력",IF(M1144&lt;1,"시작일 이전(확인)",IF(M1144=1,"1일째",IF(M1144=2,"2일째",IF(M1144=3,"3일째",IF(M1144&lt;=7,"일주일 이내",IF(M1144&lt;=14,"이주일 이내","15일 이후"))))))))</f>
        <v/>
      </c>
      <c r="O1144" s="0" t="str">
        <f aca="false">IF(AND(COUNTA($A1144:$J1144)&gt;0,OR(클레임조회!$C$4="",AND(ISNUMBER($B1144),$B1144&gt;=클레임조회!$C$4)),OR(클레임조회!$C$5="",AND(ISNUMBER($B1144),$B1144&lt;=클레임조회!$C$5)),OR(클레임조회!$C$6="",$C1144=클레임조회!$C$6),OR(클레임조회!$C$7="",$D1144=클레임조회!$C$7),OR(클레임조회!$C$8="",$E1144=클레임조회!$C$8),OR(클레임조회!$C$9="",$F1144=클레임조회!$C$9),OR(클레임조회!$C$10="",ISNUMBER(SEARCH(클레임조회!$C$10,$C1144&amp;" "&amp;$F1144&amp;" "&amp;$G1144&amp;" "&amp;$H1144)))),COUNT(O$1:O1143)+1,"")</f>
        <v/>
      </c>
      <c r="P1144" s="0" t="str">
        <f aca="false">IF(AND(TRIM(C1144)&lt;&gt;"",COUNTIF(C$2:C1144,C1144)=1),MAX(P$1:P1143)+1,"")</f>
        <v/>
      </c>
      <c r="Q1144" s="0" t="str">
        <f aca="false">IF(AND(TRIM(F1144)&lt;&gt;"",COUNTIF(F$2:F1144,F1144)=1),MAX(Q$1:Q1143)+1,"")</f>
        <v/>
      </c>
    </row>
    <row r="1145" customFormat="false" ht="15" hidden="false" customHeight="false" outlineLevel="0" collapsed="false">
      <c r="A1145" s="9"/>
      <c r="B1145" s="10"/>
      <c r="C1145" s="11"/>
      <c r="D1145" s="11"/>
      <c r="E1145" s="11"/>
      <c r="F1145" s="11"/>
      <c r="G1145" s="12"/>
      <c r="H1145" s="12"/>
      <c r="I1145" s="10"/>
      <c r="J1145" s="12"/>
      <c r="K1145" s="13" t="str">
        <f aca="false">IF(ISNUMBER(B1145),YEAR(B1145),"")</f>
        <v/>
      </c>
      <c r="L1145" s="13" t="str">
        <f aca="false">IF(ISNUMBER(B1145),MONTH(B1145),"")</f>
        <v/>
      </c>
      <c r="M1145" s="13" t="str">
        <f aca="false">IF(AND(ISNUMBER(B1145),ISNUMBER(I1145)),B1145-I1145+1,"")</f>
        <v/>
      </c>
      <c r="N1145" s="14" t="str">
        <f aca="false">IF(B1145="","",IF(M1145="","시작일 미입력",IF(M1145&lt;1,"시작일 이전(확인)",IF(M1145=1,"1일째",IF(M1145=2,"2일째",IF(M1145=3,"3일째",IF(M1145&lt;=7,"일주일 이내",IF(M1145&lt;=14,"이주일 이내","15일 이후"))))))))</f>
        <v/>
      </c>
      <c r="O1145" s="0" t="str">
        <f aca="false">IF(AND(COUNTA($A1145:$J1145)&gt;0,OR(클레임조회!$C$4="",AND(ISNUMBER($B1145),$B1145&gt;=클레임조회!$C$4)),OR(클레임조회!$C$5="",AND(ISNUMBER($B1145),$B1145&lt;=클레임조회!$C$5)),OR(클레임조회!$C$6="",$C1145=클레임조회!$C$6),OR(클레임조회!$C$7="",$D1145=클레임조회!$C$7),OR(클레임조회!$C$8="",$E1145=클레임조회!$C$8),OR(클레임조회!$C$9="",$F1145=클레임조회!$C$9),OR(클레임조회!$C$10="",ISNUMBER(SEARCH(클레임조회!$C$10,$C1145&amp;" "&amp;$F1145&amp;" "&amp;$G1145&amp;" "&amp;$H1145)))),COUNT(O$1:O1144)+1,"")</f>
        <v/>
      </c>
      <c r="P1145" s="0" t="str">
        <f aca="false">IF(AND(TRIM(C1145)&lt;&gt;"",COUNTIF(C$2:C1145,C1145)=1),MAX(P$1:P1144)+1,"")</f>
        <v/>
      </c>
      <c r="Q1145" s="0" t="str">
        <f aca="false">IF(AND(TRIM(F1145)&lt;&gt;"",COUNTIF(F$2:F1145,F1145)=1),MAX(Q$1:Q1144)+1,"")</f>
        <v/>
      </c>
    </row>
    <row r="1146" customFormat="false" ht="15" hidden="false" customHeight="false" outlineLevel="0" collapsed="false">
      <c r="A1146" s="9"/>
      <c r="B1146" s="10"/>
      <c r="C1146" s="11"/>
      <c r="D1146" s="11"/>
      <c r="E1146" s="11"/>
      <c r="F1146" s="11"/>
      <c r="G1146" s="12"/>
      <c r="H1146" s="12"/>
      <c r="I1146" s="10"/>
      <c r="J1146" s="12"/>
      <c r="K1146" s="13" t="str">
        <f aca="false">IF(ISNUMBER(B1146),YEAR(B1146),"")</f>
        <v/>
      </c>
      <c r="L1146" s="13" t="str">
        <f aca="false">IF(ISNUMBER(B1146),MONTH(B1146),"")</f>
        <v/>
      </c>
      <c r="M1146" s="13" t="str">
        <f aca="false">IF(AND(ISNUMBER(B1146),ISNUMBER(I1146)),B1146-I1146+1,"")</f>
        <v/>
      </c>
      <c r="N1146" s="14" t="str">
        <f aca="false">IF(B1146="","",IF(M1146="","시작일 미입력",IF(M1146&lt;1,"시작일 이전(확인)",IF(M1146=1,"1일째",IF(M1146=2,"2일째",IF(M1146=3,"3일째",IF(M1146&lt;=7,"일주일 이내",IF(M1146&lt;=14,"이주일 이내","15일 이후"))))))))</f>
        <v/>
      </c>
      <c r="O1146" s="0" t="str">
        <f aca="false">IF(AND(COUNTA($A1146:$J1146)&gt;0,OR(클레임조회!$C$4="",AND(ISNUMBER($B1146),$B1146&gt;=클레임조회!$C$4)),OR(클레임조회!$C$5="",AND(ISNUMBER($B1146),$B1146&lt;=클레임조회!$C$5)),OR(클레임조회!$C$6="",$C1146=클레임조회!$C$6),OR(클레임조회!$C$7="",$D1146=클레임조회!$C$7),OR(클레임조회!$C$8="",$E1146=클레임조회!$C$8),OR(클레임조회!$C$9="",$F1146=클레임조회!$C$9),OR(클레임조회!$C$10="",ISNUMBER(SEARCH(클레임조회!$C$10,$C1146&amp;" "&amp;$F1146&amp;" "&amp;$G1146&amp;" "&amp;$H1146)))),COUNT(O$1:O1145)+1,"")</f>
        <v/>
      </c>
      <c r="P1146" s="0" t="str">
        <f aca="false">IF(AND(TRIM(C1146)&lt;&gt;"",COUNTIF(C$2:C1146,C1146)=1),MAX(P$1:P1145)+1,"")</f>
        <v/>
      </c>
      <c r="Q1146" s="0" t="str">
        <f aca="false">IF(AND(TRIM(F1146)&lt;&gt;"",COUNTIF(F$2:F1146,F1146)=1),MAX(Q$1:Q1145)+1,"")</f>
        <v/>
      </c>
    </row>
    <row r="1147" customFormat="false" ht="15" hidden="false" customHeight="false" outlineLevel="0" collapsed="false">
      <c r="A1147" s="9"/>
      <c r="B1147" s="10"/>
      <c r="C1147" s="11"/>
      <c r="D1147" s="11"/>
      <c r="E1147" s="11"/>
      <c r="F1147" s="11"/>
      <c r="G1147" s="12"/>
      <c r="H1147" s="12"/>
      <c r="I1147" s="10"/>
      <c r="J1147" s="12"/>
      <c r="K1147" s="13" t="str">
        <f aca="false">IF(ISNUMBER(B1147),YEAR(B1147),"")</f>
        <v/>
      </c>
      <c r="L1147" s="13" t="str">
        <f aca="false">IF(ISNUMBER(B1147),MONTH(B1147),"")</f>
        <v/>
      </c>
      <c r="M1147" s="13" t="str">
        <f aca="false">IF(AND(ISNUMBER(B1147),ISNUMBER(I1147)),B1147-I1147+1,"")</f>
        <v/>
      </c>
      <c r="N1147" s="14" t="str">
        <f aca="false">IF(B1147="","",IF(M1147="","시작일 미입력",IF(M1147&lt;1,"시작일 이전(확인)",IF(M1147=1,"1일째",IF(M1147=2,"2일째",IF(M1147=3,"3일째",IF(M1147&lt;=7,"일주일 이내",IF(M1147&lt;=14,"이주일 이내","15일 이후"))))))))</f>
        <v/>
      </c>
      <c r="O1147" s="0" t="str">
        <f aca="false">IF(AND(COUNTA($A1147:$J1147)&gt;0,OR(클레임조회!$C$4="",AND(ISNUMBER($B1147),$B1147&gt;=클레임조회!$C$4)),OR(클레임조회!$C$5="",AND(ISNUMBER($B1147),$B1147&lt;=클레임조회!$C$5)),OR(클레임조회!$C$6="",$C1147=클레임조회!$C$6),OR(클레임조회!$C$7="",$D1147=클레임조회!$C$7),OR(클레임조회!$C$8="",$E1147=클레임조회!$C$8),OR(클레임조회!$C$9="",$F1147=클레임조회!$C$9),OR(클레임조회!$C$10="",ISNUMBER(SEARCH(클레임조회!$C$10,$C1147&amp;" "&amp;$F1147&amp;" "&amp;$G1147&amp;" "&amp;$H1147)))),COUNT(O$1:O1146)+1,"")</f>
        <v/>
      </c>
      <c r="P1147" s="0" t="str">
        <f aca="false">IF(AND(TRIM(C1147)&lt;&gt;"",COUNTIF(C$2:C1147,C1147)=1),MAX(P$1:P1146)+1,"")</f>
        <v/>
      </c>
      <c r="Q1147" s="0" t="str">
        <f aca="false">IF(AND(TRIM(F1147)&lt;&gt;"",COUNTIF(F$2:F1147,F1147)=1),MAX(Q$1:Q1146)+1,"")</f>
        <v/>
      </c>
    </row>
    <row r="1148" customFormat="false" ht="15" hidden="false" customHeight="false" outlineLevel="0" collapsed="false">
      <c r="A1148" s="9"/>
      <c r="B1148" s="10"/>
      <c r="C1148" s="11"/>
      <c r="D1148" s="11"/>
      <c r="E1148" s="11"/>
      <c r="F1148" s="11"/>
      <c r="G1148" s="12"/>
      <c r="H1148" s="12"/>
      <c r="I1148" s="10"/>
      <c r="J1148" s="12"/>
      <c r="K1148" s="13" t="str">
        <f aca="false">IF(ISNUMBER(B1148),YEAR(B1148),"")</f>
        <v/>
      </c>
      <c r="L1148" s="13" t="str">
        <f aca="false">IF(ISNUMBER(B1148),MONTH(B1148),"")</f>
        <v/>
      </c>
      <c r="M1148" s="13" t="str">
        <f aca="false">IF(AND(ISNUMBER(B1148),ISNUMBER(I1148)),B1148-I1148+1,"")</f>
        <v/>
      </c>
      <c r="N1148" s="14" t="str">
        <f aca="false">IF(B1148="","",IF(M1148="","시작일 미입력",IF(M1148&lt;1,"시작일 이전(확인)",IF(M1148=1,"1일째",IF(M1148=2,"2일째",IF(M1148=3,"3일째",IF(M1148&lt;=7,"일주일 이내",IF(M1148&lt;=14,"이주일 이내","15일 이후"))))))))</f>
        <v/>
      </c>
      <c r="O1148" s="0" t="str">
        <f aca="false">IF(AND(COUNTA($A1148:$J1148)&gt;0,OR(클레임조회!$C$4="",AND(ISNUMBER($B1148),$B1148&gt;=클레임조회!$C$4)),OR(클레임조회!$C$5="",AND(ISNUMBER($B1148),$B1148&lt;=클레임조회!$C$5)),OR(클레임조회!$C$6="",$C1148=클레임조회!$C$6),OR(클레임조회!$C$7="",$D1148=클레임조회!$C$7),OR(클레임조회!$C$8="",$E1148=클레임조회!$C$8),OR(클레임조회!$C$9="",$F1148=클레임조회!$C$9),OR(클레임조회!$C$10="",ISNUMBER(SEARCH(클레임조회!$C$10,$C1148&amp;" "&amp;$F1148&amp;" "&amp;$G1148&amp;" "&amp;$H1148)))),COUNT(O$1:O1147)+1,"")</f>
        <v/>
      </c>
      <c r="P1148" s="0" t="str">
        <f aca="false">IF(AND(TRIM(C1148)&lt;&gt;"",COUNTIF(C$2:C1148,C1148)=1),MAX(P$1:P1147)+1,"")</f>
        <v/>
      </c>
      <c r="Q1148" s="0" t="str">
        <f aca="false">IF(AND(TRIM(F1148)&lt;&gt;"",COUNTIF(F$2:F1148,F1148)=1),MAX(Q$1:Q1147)+1,"")</f>
        <v/>
      </c>
    </row>
    <row r="1149" customFormat="false" ht="15" hidden="false" customHeight="false" outlineLevel="0" collapsed="false">
      <c r="A1149" s="9"/>
      <c r="B1149" s="10"/>
      <c r="C1149" s="11"/>
      <c r="D1149" s="11"/>
      <c r="E1149" s="11"/>
      <c r="F1149" s="11"/>
      <c r="G1149" s="12"/>
      <c r="H1149" s="12"/>
      <c r="I1149" s="10"/>
      <c r="J1149" s="12"/>
      <c r="K1149" s="13" t="str">
        <f aca="false">IF(ISNUMBER(B1149),YEAR(B1149),"")</f>
        <v/>
      </c>
      <c r="L1149" s="13" t="str">
        <f aca="false">IF(ISNUMBER(B1149),MONTH(B1149),"")</f>
        <v/>
      </c>
      <c r="M1149" s="13" t="str">
        <f aca="false">IF(AND(ISNUMBER(B1149),ISNUMBER(I1149)),B1149-I1149+1,"")</f>
        <v/>
      </c>
      <c r="N1149" s="14" t="str">
        <f aca="false">IF(B1149="","",IF(M1149="","시작일 미입력",IF(M1149&lt;1,"시작일 이전(확인)",IF(M1149=1,"1일째",IF(M1149=2,"2일째",IF(M1149=3,"3일째",IF(M1149&lt;=7,"일주일 이내",IF(M1149&lt;=14,"이주일 이내","15일 이후"))))))))</f>
        <v/>
      </c>
      <c r="O1149" s="0" t="str">
        <f aca="false">IF(AND(COUNTA($A1149:$J1149)&gt;0,OR(클레임조회!$C$4="",AND(ISNUMBER($B1149),$B1149&gt;=클레임조회!$C$4)),OR(클레임조회!$C$5="",AND(ISNUMBER($B1149),$B1149&lt;=클레임조회!$C$5)),OR(클레임조회!$C$6="",$C1149=클레임조회!$C$6),OR(클레임조회!$C$7="",$D1149=클레임조회!$C$7),OR(클레임조회!$C$8="",$E1149=클레임조회!$C$8),OR(클레임조회!$C$9="",$F1149=클레임조회!$C$9),OR(클레임조회!$C$10="",ISNUMBER(SEARCH(클레임조회!$C$10,$C1149&amp;" "&amp;$F1149&amp;" "&amp;$G1149&amp;" "&amp;$H1149)))),COUNT(O$1:O1148)+1,"")</f>
        <v/>
      </c>
      <c r="P1149" s="0" t="str">
        <f aca="false">IF(AND(TRIM(C1149)&lt;&gt;"",COUNTIF(C$2:C1149,C1149)=1),MAX(P$1:P1148)+1,"")</f>
        <v/>
      </c>
      <c r="Q1149" s="0" t="str">
        <f aca="false">IF(AND(TRIM(F1149)&lt;&gt;"",COUNTIF(F$2:F1149,F1149)=1),MAX(Q$1:Q1148)+1,"")</f>
        <v/>
      </c>
    </row>
    <row r="1150" customFormat="false" ht="15" hidden="false" customHeight="false" outlineLevel="0" collapsed="false">
      <c r="A1150" s="9"/>
      <c r="B1150" s="10"/>
      <c r="C1150" s="11"/>
      <c r="D1150" s="11"/>
      <c r="E1150" s="11"/>
      <c r="F1150" s="11"/>
      <c r="G1150" s="12"/>
      <c r="H1150" s="12"/>
      <c r="I1150" s="10"/>
      <c r="J1150" s="12"/>
      <c r="K1150" s="13" t="str">
        <f aca="false">IF(ISNUMBER(B1150),YEAR(B1150),"")</f>
        <v/>
      </c>
      <c r="L1150" s="13" t="str">
        <f aca="false">IF(ISNUMBER(B1150),MONTH(B1150),"")</f>
        <v/>
      </c>
      <c r="M1150" s="13" t="str">
        <f aca="false">IF(AND(ISNUMBER(B1150),ISNUMBER(I1150)),B1150-I1150+1,"")</f>
        <v/>
      </c>
      <c r="N1150" s="14" t="str">
        <f aca="false">IF(B1150="","",IF(M1150="","시작일 미입력",IF(M1150&lt;1,"시작일 이전(확인)",IF(M1150=1,"1일째",IF(M1150=2,"2일째",IF(M1150=3,"3일째",IF(M1150&lt;=7,"일주일 이내",IF(M1150&lt;=14,"이주일 이내","15일 이후"))))))))</f>
        <v/>
      </c>
      <c r="O1150" s="0" t="str">
        <f aca="false">IF(AND(COUNTA($A1150:$J1150)&gt;0,OR(클레임조회!$C$4="",AND(ISNUMBER($B1150),$B1150&gt;=클레임조회!$C$4)),OR(클레임조회!$C$5="",AND(ISNUMBER($B1150),$B1150&lt;=클레임조회!$C$5)),OR(클레임조회!$C$6="",$C1150=클레임조회!$C$6),OR(클레임조회!$C$7="",$D1150=클레임조회!$C$7),OR(클레임조회!$C$8="",$E1150=클레임조회!$C$8),OR(클레임조회!$C$9="",$F1150=클레임조회!$C$9),OR(클레임조회!$C$10="",ISNUMBER(SEARCH(클레임조회!$C$10,$C1150&amp;" "&amp;$F1150&amp;" "&amp;$G1150&amp;" "&amp;$H1150)))),COUNT(O$1:O1149)+1,"")</f>
        <v/>
      </c>
      <c r="P1150" s="0" t="str">
        <f aca="false">IF(AND(TRIM(C1150)&lt;&gt;"",COUNTIF(C$2:C1150,C1150)=1),MAX(P$1:P1149)+1,"")</f>
        <v/>
      </c>
      <c r="Q1150" s="0" t="str">
        <f aca="false">IF(AND(TRIM(F1150)&lt;&gt;"",COUNTIF(F$2:F1150,F1150)=1),MAX(Q$1:Q1149)+1,"")</f>
        <v/>
      </c>
    </row>
    <row r="1151" customFormat="false" ht="15" hidden="false" customHeight="false" outlineLevel="0" collapsed="false">
      <c r="A1151" s="9"/>
      <c r="B1151" s="10"/>
      <c r="C1151" s="11"/>
      <c r="D1151" s="11"/>
      <c r="E1151" s="11"/>
      <c r="F1151" s="11"/>
      <c r="G1151" s="12"/>
      <c r="H1151" s="12"/>
      <c r="I1151" s="10"/>
      <c r="J1151" s="12"/>
      <c r="K1151" s="13" t="str">
        <f aca="false">IF(ISNUMBER(B1151),YEAR(B1151),"")</f>
        <v/>
      </c>
      <c r="L1151" s="13" t="str">
        <f aca="false">IF(ISNUMBER(B1151),MONTH(B1151),"")</f>
        <v/>
      </c>
      <c r="M1151" s="13" t="str">
        <f aca="false">IF(AND(ISNUMBER(B1151),ISNUMBER(I1151)),B1151-I1151+1,"")</f>
        <v/>
      </c>
      <c r="N1151" s="14" t="str">
        <f aca="false">IF(B1151="","",IF(M1151="","시작일 미입력",IF(M1151&lt;1,"시작일 이전(확인)",IF(M1151=1,"1일째",IF(M1151=2,"2일째",IF(M1151=3,"3일째",IF(M1151&lt;=7,"일주일 이내",IF(M1151&lt;=14,"이주일 이내","15일 이후"))))))))</f>
        <v/>
      </c>
      <c r="O1151" s="0" t="str">
        <f aca="false">IF(AND(COUNTA($A1151:$J1151)&gt;0,OR(클레임조회!$C$4="",AND(ISNUMBER($B1151),$B1151&gt;=클레임조회!$C$4)),OR(클레임조회!$C$5="",AND(ISNUMBER($B1151),$B1151&lt;=클레임조회!$C$5)),OR(클레임조회!$C$6="",$C1151=클레임조회!$C$6),OR(클레임조회!$C$7="",$D1151=클레임조회!$C$7),OR(클레임조회!$C$8="",$E1151=클레임조회!$C$8),OR(클레임조회!$C$9="",$F1151=클레임조회!$C$9),OR(클레임조회!$C$10="",ISNUMBER(SEARCH(클레임조회!$C$10,$C1151&amp;" "&amp;$F1151&amp;" "&amp;$G1151&amp;" "&amp;$H1151)))),COUNT(O$1:O1150)+1,"")</f>
        <v/>
      </c>
      <c r="P1151" s="0" t="str">
        <f aca="false">IF(AND(TRIM(C1151)&lt;&gt;"",COUNTIF(C$2:C1151,C1151)=1),MAX(P$1:P1150)+1,"")</f>
        <v/>
      </c>
      <c r="Q1151" s="0" t="str">
        <f aca="false">IF(AND(TRIM(F1151)&lt;&gt;"",COUNTIF(F$2:F1151,F1151)=1),MAX(Q$1:Q1150)+1,"")</f>
        <v/>
      </c>
    </row>
    <row r="1152" customFormat="false" ht="15" hidden="false" customHeight="false" outlineLevel="0" collapsed="false">
      <c r="A1152" s="9"/>
      <c r="B1152" s="10"/>
      <c r="C1152" s="11"/>
      <c r="D1152" s="11"/>
      <c r="E1152" s="11"/>
      <c r="F1152" s="11"/>
      <c r="G1152" s="12"/>
      <c r="H1152" s="12"/>
      <c r="I1152" s="10"/>
      <c r="J1152" s="12"/>
      <c r="K1152" s="13" t="str">
        <f aca="false">IF(ISNUMBER(B1152),YEAR(B1152),"")</f>
        <v/>
      </c>
      <c r="L1152" s="13" t="str">
        <f aca="false">IF(ISNUMBER(B1152),MONTH(B1152),"")</f>
        <v/>
      </c>
      <c r="M1152" s="13" t="str">
        <f aca="false">IF(AND(ISNUMBER(B1152),ISNUMBER(I1152)),B1152-I1152+1,"")</f>
        <v/>
      </c>
      <c r="N1152" s="14" t="str">
        <f aca="false">IF(B1152="","",IF(M1152="","시작일 미입력",IF(M1152&lt;1,"시작일 이전(확인)",IF(M1152=1,"1일째",IF(M1152=2,"2일째",IF(M1152=3,"3일째",IF(M1152&lt;=7,"일주일 이내",IF(M1152&lt;=14,"이주일 이내","15일 이후"))))))))</f>
        <v/>
      </c>
      <c r="O1152" s="0" t="str">
        <f aca="false">IF(AND(COUNTA($A1152:$J1152)&gt;0,OR(클레임조회!$C$4="",AND(ISNUMBER($B1152),$B1152&gt;=클레임조회!$C$4)),OR(클레임조회!$C$5="",AND(ISNUMBER($B1152),$B1152&lt;=클레임조회!$C$5)),OR(클레임조회!$C$6="",$C1152=클레임조회!$C$6),OR(클레임조회!$C$7="",$D1152=클레임조회!$C$7),OR(클레임조회!$C$8="",$E1152=클레임조회!$C$8),OR(클레임조회!$C$9="",$F1152=클레임조회!$C$9),OR(클레임조회!$C$10="",ISNUMBER(SEARCH(클레임조회!$C$10,$C1152&amp;" "&amp;$F1152&amp;" "&amp;$G1152&amp;" "&amp;$H1152)))),COUNT(O$1:O1151)+1,"")</f>
        <v/>
      </c>
      <c r="P1152" s="0" t="str">
        <f aca="false">IF(AND(TRIM(C1152)&lt;&gt;"",COUNTIF(C$2:C1152,C1152)=1),MAX(P$1:P1151)+1,"")</f>
        <v/>
      </c>
      <c r="Q1152" s="0" t="str">
        <f aca="false">IF(AND(TRIM(F1152)&lt;&gt;"",COUNTIF(F$2:F1152,F1152)=1),MAX(Q$1:Q1151)+1,"")</f>
        <v/>
      </c>
    </row>
    <row r="1153" customFormat="false" ht="15" hidden="false" customHeight="false" outlineLevel="0" collapsed="false">
      <c r="A1153" s="9"/>
      <c r="B1153" s="10"/>
      <c r="C1153" s="11"/>
      <c r="D1153" s="11"/>
      <c r="E1153" s="11"/>
      <c r="F1153" s="11"/>
      <c r="G1153" s="12"/>
      <c r="H1153" s="12"/>
      <c r="I1153" s="10"/>
      <c r="J1153" s="12"/>
      <c r="K1153" s="13" t="str">
        <f aca="false">IF(ISNUMBER(B1153),YEAR(B1153),"")</f>
        <v/>
      </c>
      <c r="L1153" s="13" t="str">
        <f aca="false">IF(ISNUMBER(B1153),MONTH(B1153),"")</f>
        <v/>
      </c>
      <c r="M1153" s="13" t="str">
        <f aca="false">IF(AND(ISNUMBER(B1153),ISNUMBER(I1153)),B1153-I1153+1,"")</f>
        <v/>
      </c>
      <c r="N1153" s="14" t="str">
        <f aca="false">IF(B1153="","",IF(M1153="","시작일 미입력",IF(M1153&lt;1,"시작일 이전(확인)",IF(M1153=1,"1일째",IF(M1153=2,"2일째",IF(M1153=3,"3일째",IF(M1153&lt;=7,"일주일 이내",IF(M1153&lt;=14,"이주일 이내","15일 이후"))))))))</f>
        <v/>
      </c>
      <c r="O1153" s="0" t="str">
        <f aca="false">IF(AND(COUNTA($A1153:$J1153)&gt;0,OR(클레임조회!$C$4="",AND(ISNUMBER($B1153),$B1153&gt;=클레임조회!$C$4)),OR(클레임조회!$C$5="",AND(ISNUMBER($B1153),$B1153&lt;=클레임조회!$C$5)),OR(클레임조회!$C$6="",$C1153=클레임조회!$C$6),OR(클레임조회!$C$7="",$D1153=클레임조회!$C$7),OR(클레임조회!$C$8="",$E1153=클레임조회!$C$8),OR(클레임조회!$C$9="",$F1153=클레임조회!$C$9),OR(클레임조회!$C$10="",ISNUMBER(SEARCH(클레임조회!$C$10,$C1153&amp;" "&amp;$F1153&amp;" "&amp;$G1153&amp;" "&amp;$H1153)))),COUNT(O$1:O1152)+1,"")</f>
        <v/>
      </c>
      <c r="P1153" s="0" t="str">
        <f aca="false">IF(AND(TRIM(C1153)&lt;&gt;"",COUNTIF(C$2:C1153,C1153)=1),MAX(P$1:P1152)+1,"")</f>
        <v/>
      </c>
      <c r="Q1153" s="0" t="str">
        <f aca="false">IF(AND(TRIM(F1153)&lt;&gt;"",COUNTIF(F$2:F1153,F1153)=1),MAX(Q$1:Q1152)+1,"")</f>
        <v/>
      </c>
    </row>
    <row r="1154" customFormat="false" ht="15" hidden="false" customHeight="false" outlineLevel="0" collapsed="false">
      <c r="A1154" s="9"/>
      <c r="B1154" s="10"/>
      <c r="C1154" s="11"/>
      <c r="D1154" s="11"/>
      <c r="E1154" s="11"/>
      <c r="F1154" s="11"/>
      <c r="G1154" s="12"/>
      <c r="H1154" s="12"/>
      <c r="I1154" s="10"/>
      <c r="J1154" s="12"/>
      <c r="K1154" s="13" t="str">
        <f aca="false">IF(ISNUMBER(B1154),YEAR(B1154),"")</f>
        <v/>
      </c>
      <c r="L1154" s="13" t="str">
        <f aca="false">IF(ISNUMBER(B1154),MONTH(B1154),"")</f>
        <v/>
      </c>
      <c r="M1154" s="13" t="str">
        <f aca="false">IF(AND(ISNUMBER(B1154),ISNUMBER(I1154)),B1154-I1154+1,"")</f>
        <v/>
      </c>
      <c r="N1154" s="14" t="str">
        <f aca="false">IF(B1154="","",IF(M1154="","시작일 미입력",IF(M1154&lt;1,"시작일 이전(확인)",IF(M1154=1,"1일째",IF(M1154=2,"2일째",IF(M1154=3,"3일째",IF(M1154&lt;=7,"일주일 이내",IF(M1154&lt;=14,"이주일 이내","15일 이후"))))))))</f>
        <v/>
      </c>
      <c r="O1154" s="0" t="str">
        <f aca="false">IF(AND(COUNTA($A1154:$J1154)&gt;0,OR(클레임조회!$C$4="",AND(ISNUMBER($B1154),$B1154&gt;=클레임조회!$C$4)),OR(클레임조회!$C$5="",AND(ISNUMBER($B1154),$B1154&lt;=클레임조회!$C$5)),OR(클레임조회!$C$6="",$C1154=클레임조회!$C$6),OR(클레임조회!$C$7="",$D1154=클레임조회!$C$7),OR(클레임조회!$C$8="",$E1154=클레임조회!$C$8),OR(클레임조회!$C$9="",$F1154=클레임조회!$C$9),OR(클레임조회!$C$10="",ISNUMBER(SEARCH(클레임조회!$C$10,$C1154&amp;" "&amp;$F1154&amp;" "&amp;$G1154&amp;" "&amp;$H1154)))),COUNT(O$1:O1153)+1,"")</f>
        <v/>
      </c>
      <c r="P1154" s="0" t="str">
        <f aca="false">IF(AND(TRIM(C1154)&lt;&gt;"",COUNTIF(C$2:C1154,C1154)=1),MAX(P$1:P1153)+1,"")</f>
        <v/>
      </c>
      <c r="Q1154" s="0" t="str">
        <f aca="false">IF(AND(TRIM(F1154)&lt;&gt;"",COUNTIF(F$2:F1154,F1154)=1),MAX(Q$1:Q1153)+1,"")</f>
        <v/>
      </c>
    </row>
    <row r="1155" customFormat="false" ht="15" hidden="false" customHeight="false" outlineLevel="0" collapsed="false">
      <c r="A1155" s="9"/>
      <c r="B1155" s="10"/>
      <c r="C1155" s="11"/>
      <c r="D1155" s="11"/>
      <c r="E1155" s="11"/>
      <c r="F1155" s="11"/>
      <c r="G1155" s="12"/>
      <c r="H1155" s="12"/>
      <c r="I1155" s="10"/>
      <c r="J1155" s="12"/>
      <c r="K1155" s="13" t="str">
        <f aca="false">IF(ISNUMBER(B1155),YEAR(B1155),"")</f>
        <v/>
      </c>
      <c r="L1155" s="13" t="str">
        <f aca="false">IF(ISNUMBER(B1155),MONTH(B1155),"")</f>
        <v/>
      </c>
      <c r="M1155" s="13" t="str">
        <f aca="false">IF(AND(ISNUMBER(B1155),ISNUMBER(I1155)),B1155-I1155+1,"")</f>
        <v/>
      </c>
      <c r="N1155" s="14" t="str">
        <f aca="false">IF(B1155="","",IF(M1155="","시작일 미입력",IF(M1155&lt;1,"시작일 이전(확인)",IF(M1155=1,"1일째",IF(M1155=2,"2일째",IF(M1155=3,"3일째",IF(M1155&lt;=7,"일주일 이내",IF(M1155&lt;=14,"이주일 이내","15일 이후"))))))))</f>
        <v/>
      </c>
      <c r="O1155" s="0" t="str">
        <f aca="false">IF(AND(COUNTA($A1155:$J1155)&gt;0,OR(클레임조회!$C$4="",AND(ISNUMBER($B1155),$B1155&gt;=클레임조회!$C$4)),OR(클레임조회!$C$5="",AND(ISNUMBER($B1155),$B1155&lt;=클레임조회!$C$5)),OR(클레임조회!$C$6="",$C1155=클레임조회!$C$6),OR(클레임조회!$C$7="",$D1155=클레임조회!$C$7),OR(클레임조회!$C$8="",$E1155=클레임조회!$C$8),OR(클레임조회!$C$9="",$F1155=클레임조회!$C$9),OR(클레임조회!$C$10="",ISNUMBER(SEARCH(클레임조회!$C$10,$C1155&amp;" "&amp;$F1155&amp;" "&amp;$G1155&amp;" "&amp;$H1155)))),COUNT(O$1:O1154)+1,"")</f>
        <v/>
      </c>
      <c r="P1155" s="0" t="str">
        <f aca="false">IF(AND(TRIM(C1155)&lt;&gt;"",COUNTIF(C$2:C1155,C1155)=1),MAX(P$1:P1154)+1,"")</f>
        <v/>
      </c>
      <c r="Q1155" s="0" t="str">
        <f aca="false">IF(AND(TRIM(F1155)&lt;&gt;"",COUNTIF(F$2:F1155,F1155)=1),MAX(Q$1:Q1154)+1,"")</f>
        <v/>
      </c>
    </row>
    <row r="1156" customFormat="false" ht="15" hidden="false" customHeight="false" outlineLevel="0" collapsed="false">
      <c r="A1156" s="9"/>
      <c r="B1156" s="10"/>
      <c r="C1156" s="11"/>
      <c r="D1156" s="11"/>
      <c r="E1156" s="11"/>
      <c r="F1156" s="11"/>
      <c r="G1156" s="12"/>
      <c r="H1156" s="12"/>
      <c r="I1156" s="10"/>
      <c r="J1156" s="12"/>
      <c r="K1156" s="13" t="str">
        <f aca="false">IF(ISNUMBER(B1156),YEAR(B1156),"")</f>
        <v/>
      </c>
      <c r="L1156" s="13" t="str">
        <f aca="false">IF(ISNUMBER(B1156),MONTH(B1156),"")</f>
        <v/>
      </c>
      <c r="M1156" s="13" t="str">
        <f aca="false">IF(AND(ISNUMBER(B1156),ISNUMBER(I1156)),B1156-I1156+1,"")</f>
        <v/>
      </c>
      <c r="N1156" s="14" t="str">
        <f aca="false">IF(B1156="","",IF(M1156="","시작일 미입력",IF(M1156&lt;1,"시작일 이전(확인)",IF(M1156=1,"1일째",IF(M1156=2,"2일째",IF(M1156=3,"3일째",IF(M1156&lt;=7,"일주일 이내",IF(M1156&lt;=14,"이주일 이내","15일 이후"))))))))</f>
        <v/>
      </c>
      <c r="O1156" s="0" t="str">
        <f aca="false">IF(AND(COUNTA($A1156:$J1156)&gt;0,OR(클레임조회!$C$4="",AND(ISNUMBER($B1156),$B1156&gt;=클레임조회!$C$4)),OR(클레임조회!$C$5="",AND(ISNUMBER($B1156),$B1156&lt;=클레임조회!$C$5)),OR(클레임조회!$C$6="",$C1156=클레임조회!$C$6),OR(클레임조회!$C$7="",$D1156=클레임조회!$C$7),OR(클레임조회!$C$8="",$E1156=클레임조회!$C$8),OR(클레임조회!$C$9="",$F1156=클레임조회!$C$9),OR(클레임조회!$C$10="",ISNUMBER(SEARCH(클레임조회!$C$10,$C1156&amp;" "&amp;$F1156&amp;" "&amp;$G1156&amp;" "&amp;$H1156)))),COUNT(O$1:O1155)+1,"")</f>
        <v/>
      </c>
      <c r="P1156" s="0" t="str">
        <f aca="false">IF(AND(TRIM(C1156)&lt;&gt;"",COUNTIF(C$2:C1156,C1156)=1),MAX(P$1:P1155)+1,"")</f>
        <v/>
      </c>
      <c r="Q1156" s="0" t="str">
        <f aca="false">IF(AND(TRIM(F1156)&lt;&gt;"",COUNTIF(F$2:F1156,F1156)=1),MAX(Q$1:Q1155)+1,"")</f>
        <v/>
      </c>
    </row>
    <row r="1157" customFormat="false" ht="15" hidden="false" customHeight="false" outlineLevel="0" collapsed="false">
      <c r="A1157" s="9"/>
      <c r="B1157" s="10"/>
      <c r="C1157" s="11"/>
      <c r="D1157" s="11"/>
      <c r="E1157" s="11"/>
      <c r="F1157" s="11"/>
      <c r="G1157" s="12"/>
      <c r="H1157" s="12"/>
      <c r="I1157" s="10"/>
      <c r="J1157" s="12"/>
      <c r="K1157" s="13" t="str">
        <f aca="false">IF(ISNUMBER(B1157),YEAR(B1157),"")</f>
        <v/>
      </c>
      <c r="L1157" s="13" t="str">
        <f aca="false">IF(ISNUMBER(B1157),MONTH(B1157),"")</f>
        <v/>
      </c>
      <c r="M1157" s="13" t="str">
        <f aca="false">IF(AND(ISNUMBER(B1157),ISNUMBER(I1157)),B1157-I1157+1,"")</f>
        <v/>
      </c>
      <c r="N1157" s="14" t="str">
        <f aca="false">IF(B1157="","",IF(M1157="","시작일 미입력",IF(M1157&lt;1,"시작일 이전(확인)",IF(M1157=1,"1일째",IF(M1157=2,"2일째",IF(M1157=3,"3일째",IF(M1157&lt;=7,"일주일 이내",IF(M1157&lt;=14,"이주일 이내","15일 이후"))))))))</f>
        <v/>
      </c>
      <c r="O1157" s="0" t="str">
        <f aca="false">IF(AND(COUNTA($A1157:$J1157)&gt;0,OR(클레임조회!$C$4="",AND(ISNUMBER($B1157),$B1157&gt;=클레임조회!$C$4)),OR(클레임조회!$C$5="",AND(ISNUMBER($B1157),$B1157&lt;=클레임조회!$C$5)),OR(클레임조회!$C$6="",$C1157=클레임조회!$C$6),OR(클레임조회!$C$7="",$D1157=클레임조회!$C$7),OR(클레임조회!$C$8="",$E1157=클레임조회!$C$8),OR(클레임조회!$C$9="",$F1157=클레임조회!$C$9),OR(클레임조회!$C$10="",ISNUMBER(SEARCH(클레임조회!$C$10,$C1157&amp;" "&amp;$F1157&amp;" "&amp;$G1157&amp;" "&amp;$H1157)))),COUNT(O$1:O1156)+1,"")</f>
        <v/>
      </c>
      <c r="P1157" s="0" t="str">
        <f aca="false">IF(AND(TRIM(C1157)&lt;&gt;"",COUNTIF(C$2:C1157,C1157)=1),MAX(P$1:P1156)+1,"")</f>
        <v/>
      </c>
      <c r="Q1157" s="0" t="str">
        <f aca="false">IF(AND(TRIM(F1157)&lt;&gt;"",COUNTIF(F$2:F1157,F1157)=1),MAX(Q$1:Q1156)+1,"")</f>
        <v/>
      </c>
    </row>
    <row r="1158" customFormat="false" ht="15" hidden="false" customHeight="false" outlineLevel="0" collapsed="false">
      <c r="A1158" s="9"/>
      <c r="B1158" s="10"/>
      <c r="C1158" s="11"/>
      <c r="D1158" s="11"/>
      <c r="E1158" s="11"/>
      <c r="F1158" s="11"/>
      <c r="G1158" s="12"/>
      <c r="H1158" s="12"/>
      <c r="I1158" s="10"/>
      <c r="J1158" s="12"/>
      <c r="K1158" s="13" t="str">
        <f aca="false">IF(ISNUMBER(B1158),YEAR(B1158),"")</f>
        <v/>
      </c>
      <c r="L1158" s="13" t="str">
        <f aca="false">IF(ISNUMBER(B1158),MONTH(B1158),"")</f>
        <v/>
      </c>
      <c r="M1158" s="13" t="str">
        <f aca="false">IF(AND(ISNUMBER(B1158),ISNUMBER(I1158)),B1158-I1158+1,"")</f>
        <v/>
      </c>
      <c r="N1158" s="14" t="str">
        <f aca="false">IF(B1158="","",IF(M1158="","시작일 미입력",IF(M1158&lt;1,"시작일 이전(확인)",IF(M1158=1,"1일째",IF(M1158=2,"2일째",IF(M1158=3,"3일째",IF(M1158&lt;=7,"일주일 이내",IF(M1158&lt;=14,"이주일 이내","15일 이후"))))))))</f>
        <v/>
      </c>
      <c r="O1158" s="0" t="str">
        <f aca="false">IF(AND(COUNTA($A1158:$J1158)&gt;0,OR(클레임조회!$C$4="",AND(ISNUMBER($B1158),$B1158&gt;=클레임조회!$C$4)),OR(클레임조회!$C$5="",AND(ISNUMBER($B1158),$B1158&lt;=클레임조회!$C$5)),OR(클레임조회!$C$6="",$C1158=클레임조회!$C$6),OR(클레임조회!$C$7="",$D1158=클레임조회!$C$7),OR(클레임조회!$C$8="",$E1158=클레임조회!$C$8),OR(클레임조회!$C$9="",$F1158=클레임조회!$C$9),OR(클레임조회!$C$10="",ISNUMBER(SEARCH(클레임조회!$C$10,$C1158&amp;" "&amp;$F1158&amp;" "&amp;$G1158&amp;" "&amp;$H1158)))),COUNT(O$1:O1157)+1,"")</f>
        <v/>
      </c>
      <c r="P1158" s="0" t="str">
        <f aca="false">IF(AND(TRIM(C1158)&lt;&gt;"",COUNTIF(C$2:C1158,C1158)=1),MAX(P$1:P1157)+1,"")</f>
        <v/>
      </c>
      <c r="Q1158" s="0" t="str">
        <f aca="false">IF(AND(TRIM(F1158)&lt;&gt;"",COUNTIF(F$2:F1158,F1158)=1),MAX(Q$1:Q1157)+1,"")</f>
        <v/>
      </c>
    </row>
    <row r="1159" customFormat="false" ht="15" hidden="false" customHeight="false" outlineLevel="0" collapsed="false">
      <c r="A1159" s="9"/>
      <c r="B1159" s="10"/>
      <c r="C1159" s="11"/>
      <c r="D1159" s="11"/>
      <c r="E1159" s="11"/>
      <c r="F1159" s="11"/>
      <c r="G1159" s="12"/>
      <c r="H1159" s="12"/>
      <c r="I1159" s="10"/>
      <c r="J1159" s="12"/>
      <c r="K1159" s="13" t="str">
        <f aca="false">IF(ISNUMBER(B1159),YEAR(B1159),"")</f>
        <v/>
      </c>
      <c r="L1159" s="13" t="str">
        <f aca="false">IF(ISNUMBER(B1159),MONTH(B1159),"")</f>
        <v/>
      </c>
      <c r="M1159" s="13" t="str">
        <f aca="false">IF(AND(ISNUMBER(B1159),ISNUMBER(I1159)),B1159-I1159+1,"")</f>
        <v/>
      </c>
      <c r="N1159" s="14" t="str">
        <f aca="false">IF(B1159="","",IF(M1159="","시작일 미입력",IF(M1159&lt;1,"시작일 이전(확인)",IF(M1159=1,"1일째",IF(M1159=2,"2일째",IF(M1159=3,"3일째",IF(M1159&lt;=7,"일주일 이내",IF(M1159&lt;=14,"이주일 이내","15일 이후"))))))))</f>
        <v/>
      </c>
      <c r="O1159" s="0" t="str">
        <f aca="false">IF(AND(COUNTA($A1159:$J1159)&gt;0,OR(클레임조회!$C$4="",AND(ISNUMBER($B1159),$B1159&gt;=클레임조회!$C$4)),OR(클레임조회!$C$5="",AND(ISNUMBER($B1159),$B1159&lt;=클레임조회!$C$5)),OR(클레임조회!$C$6="",$C1159=클레임조회!$C$6),OR(클레임조회!$C$7="",$D1159=클레임조회!$C$7),OR(클레임조회!$C$8="",$E1159=클레임조회!$C$8),OR(클레임조회!$C$9="",$F1159=클레임조회!$C$9),OR(클레임조회!$C$10="",ISNUMBER(SEARCH(클레임조회!$C$10,$C1159&amp;" "&amp;$F1159&amp;" "&amp;$G1159&amp;" "&amp;$H1159)))),COUNT(O$1:O1158)+1,"")</f>
        <v/>
      </c>
      <c r="P1159" s="0" t="str">
        <f aca="false">IF(AND(TRIM(C1159)&lt;&gt;"",COUNTIF(C$2:C1159,C1159)=1),MAX(P$1:P1158)+1,"")</f>
        <v/>
      </c>
      <c r="Q1159" s="0" t="str">
        <f aca="false">IF(AND(TRIM(F1159)&lt;&gt;"",COUNTIF(F$2:F1159,F1159)=1),MAX(Q$1:Q1158)+1,"")</f>
        <v/>
      </c>
    </row>
    <row r="1160" customFormat="false" ht="15" hidden="false" customHeight="false" outlineLevel="0" collapsed="false">
      <c r="A1160" s="9"/>
      <c r="B1160" s="10"/>
      <c r="C1160" s="11"/>
      <c r="D1160" s="11"/>
      <c r="E1160" s="11"/>
      <c r="F1160" s="11"/>
      <c r="G1160" s="12"/>
      <c r="H1160" s="12"/>
      <c r="I1160" s="10"/>
      <c r="J1160" s="12"/>
      <c r="K1160" s="13" t="str">
        <f aca="false">IF(ISNUMBER(B1160),YEAR(B1160),"")</f>
        <v/>
      </c>
      <c r="L1160" s="13" t="str">
        <f aca="false">IF(ISNUMBER(B1160),MONTH(B1160),"")</f>
        <v/>
      </c>
      <c r="M1160" s="13" t="str">
        <f aca="false">IF(AND(ISNUMBER(B1160),ISNUMBER(I1160)),B1160-I1160+1,"")</f>
        <v/>
      </c>
      <c r="N1160" s="14" t="str">
        <f aca="false">IF(B1160="","",IF(M1160="","시작일 미입력",IF(M1160&lt;1,"시작일 이전(확인)",IF(M1160=1,"1일째",IF(M1160=2,"2일째",IF(M1160=3,"3일째",IF(M1160&lt;=7,"일주일 이내",IF(M1160&lt;=14,"이주일 이내","15일 이후"))))))))</f>
        <v/>
      </c>
      <c r="O1160" s="0" t="str">
        <f aca="false">IF(AND(COUNTA($A1160:$J1160)&gt;0,OR(클레임조회!$C$4="",AND(ISNUMBER($B1160),$B1160&gt;=클레임조회!$C$4)),OR(클레임조회!$C$5="",AND(ISNUMBER($B1160),$B1160&lt;=클레임조회!$C$5)),OR(클레임조회!$C$6="",$C1160=클레임조회!$C$6),OR(클레임조회!$C$7="",$D1160=클레임조회!$C$7),OR(클레임조회!$C$8="",$E1160=클레임조회!$C$8),OR(클레임조회!$C$9="",$F1160=클레임조회!$C$9),OR(클레임조회!$C$10="",ISNUMBER(SEARCH(클레임조회!$C$10,$C1160&amp;" "&amp;$F1160&amp;" "&amp;$G1160&amp;" "&amp;$H1160)))),COUNT(O$1:O1159)+1,"")</f>
        <v/>
      </c>
      <c r="P1160" s="0" t="str">
        <f aca="false">IF(AND(TRIM(C1160)&lt;&gt;"",COUNTIF(C$2:C1160,C1160)=1),MAX(P$1:P1159)+1,"")</f>
        <v/>
      </c>
      <c r="Q1160" s="0" t="str">
        <f aca="false">IF(AND(TRIM(F1160)&lt;&gt;"",COUNTIF(F$2:F1160,F1160)=1),MAX(Q$1:Q1159)+1,"")</f>
        <v/>
      </c>
    </row>
    <row r="1161" customFormat="false" ht="15" hidden="false" customHeight="false" outlineLevel="0" collapsed="false">
      <c r="A1161" s="9"/>
      <c r="B1161" s="10"/>
      <c r="C1161" s="11"/>
      <c r="D1161" s="11"/>
      <c r="E1161" s="11"/>
      <c r="F1161" s="11"/>
      <c r="G1161" s="12"/>
      <c r="H1161" s="12"/>
      <c r="I1161" s="10"/>
      <c r="J1161" s="12"/>
      <c r="K1161" s="13" t="str">
        <f aca="false">IF(ISNUMBER(B1161),YEAR(B1161),"")</f>
        <v/>
      </c>
      <c r="L1161" s="13" t="str">
        <f aca="false">IF(ISNUMBER(B1161),MONTH(B1161),"")</f>
        <v/>
      </c>
      <c r="M1161" s="13" t="str">
        <f aca="false">IF(AND(ISNUMBER(B1161),ISNUMBER(I1161)),B1161-I1161+1,"")</f>
        <v/>
      </c>
      <c r="N1161" s="14" t="str">
        <f aca="false">IF(B1161="","",IF(M1161="","시작일 미입력",IF(M1161&lt;1,"시작일 이전(확인)",IF(M1161=1,"1일째",IF(M1161=2,"2일째",IF(M1161=3,"3일째",IF(M1161&lt;=7,"일주일 이내",IF(M1161&lt;=14,"이주일 이내","15일 이후"))))))))</f>
        <v/>
      </c>
      <c r="O1161" s="0" t="str">
        <f aca="false">IF(AND(COUNTA($A1161:$J1161)&gt;0,OR(클레임조회!$C$4="",AND(ISNUMBER($B1161),$B1161&gt;=클레임조회!$C$4)),OR(클레임조회!$C$5="",AND(ISNUMBER($B1161),$B1161&lt;=클레임조회!$C$5)),OR(클레임조회!$C$6="",$C1161=클레임조회!$C$6),OR(클레임조회!$C$7="",$D1161=클레임조회!$C$7),OR(클레임조회!$C$8="",$E1161=클레임조회!$C$8),OR(클레임조회!$C$9="",$F1161=클레임조회!$C$9),OR(클레임조회!$C$10="",ISNUMBER(SEARCH(클레임조회!$C$10,$C1161&amp;" "&amp;$F1161&amp;" "&amp;$G1161&amp;" "&amp;$H1161)))),COUNT(O$1:O1160)+1,"")</f>
        <v/>
      </c>
      <c r="P1161" s="0" t="str">
        <f aca="false">IF(AND(TRIM(C1161)&lt;&gt;"",COUNTIF(C$2:C1161,C1161)=1),MAX(P$1:P1160)+1,"")</f>
        <v/>
      </c>
      <c r="Q1161" s="0" t="str">
        <f aca="false">IF(AND(TRIM(F1161)&lt;&gt;"",COUNTIF(F$2:F1161,F1161)=1),MAX(Q$1:Q1160)+1,"")</f>
        <v/>
      </c>
    </row>
    <row r="1162" customFormat="false" ht="15" hidden="false" customHeight="false" outlineLevel="0" collapsed="false">
      <c r="A1162" s="9"/>
      <c r="B1162" s="10"/>
      <c r="C1162" s="11"/>
      <c r="D1162" s="11"/>
      <c r="E1162" s="11"/>
      <c r="F1162" s="11"/>
      <c r="G1162" s="12"/>
      <c r="H1162" s="12"/>
      <c r="I1162" s="10"/>
      <c r="J1162" s="12"/>
      <c r="K1162" s="13" t="str">
        <f aca="false">IF(ISNUMBER(B1162),YEAR(B1162),"")</f>
        <v/>
      </c>
      <c r="L1162" s="13" t="str">
        <f aca="false">IF(ISNUMBER(B1162),MONTH(B1162),"")</f>
        <v/>
      </c>
      <c r="M1162" s="13" t="str">
        <f aca="false">IF(AND(ISNUMBER(B1162),ISNUMBER(I1162)),B1162-I1162+1,"")</f>
        <v/>
      </c>
      <c r="N1162" s="14" t="str">
        <f aca="false">IF(B1162="","",IF(M1162="","시작일 미입력",IF(M1162&lt;1,"시작일 이전(확인)",IF(M1162=1,"1일째",IF(M1162=2,"2일째",IF(M1162=3,"3일째",IF(M1162&lt;=7,"일주일 이내",IF(M1162&lt;=14,"이주일 이내","15일 이후"))))))))</f>
        <v/>
      </c>
      <c r="O1162" s="0" t="str">
        <f aca="false">IF(AND(COUNTA($A1162:$J1162)&gt;0,OR(클레임조회!$C$4="",AND(ISNUMBER($B1162),$B1162&gt;=클레임조회!$C$4)),OR(클레임조회!$C$5="",AND(ISNUMBER($B1162),$B1162&lt;=클레임조회!$C$5)),OR(클레임조회!$C$6="",$C1162=클레임조회!$C$6),OR(클레임조회!$C$7="",$D1162=클레임조회!$C$7),OR(클레임조회!$C$8="",$E1162=클레임조회!$C$8),OR(클레임조회!$C$9="",$F1162=클레임조회!$C$9),OR(클레임조회!$C$10="",ISNUMBER(SEARCH(클레임조회!$C$10,$C1162&amp;" "&amp;$F1162&amp;" "&amp;$G1162&amp;" "&amp;$H1162)))),COUNT(O$1:O1161)+1,"")</f>
        <v/>
      </c>
      <c r="P1162" s="0" t="str">
        <f aca="false">IF(AND(TRIM(C1162)&lt;&gt;"",COUNTIF(C$2:C1162,C1162)=1),MAX(P$1:P1161)+1,"")</f>
        <v/>
      </c>
      <c r="Q1162" s="0" t="str">
        <f aca="false">IF(AND(TRIM(F1162)&lt;&gt;"",COUNTIF(F$2:F1162,F1162)=1),MAX(Q$1:Q1161)+1,"")</f>
        <v/>
      </c>
    </row>
    <row r="1163" customFormat="false" ht="15" hidden="false" customHeight="false" outlineLevel="0" collapsed="false">
      <c r="A1163" s="9"/>
      <c r="B1163" s="10"/>
      <c r="C1163" s="11"/>
      <c r="D1163" s="11"/>
      <c r="E1163" s="11"/>
      <c r="F1163" s="11"/>
      <c r="G1163" s="12"/>
      <c r="H1163" s="12"/>
      <c r="I1163" s="10"/>
      <c r="J1163" s="12"/>
      <c r="K1163" s="13" t="str">
        <f aca="false">IF(ISNUMBER(B1163),YEAR(B1163),"")</f>
        <v/>
      </c>
      <c r="L1163" s="13" t="str">
        <f aca="false">IF(ISNUMBER(B1163),MONTH(B1163),"")</f>
        <v/>
      </c>
      <c r="M1163" s="13" t="str">
        <f aca="false">IF(AND(ISNUMBER(B1163),ISNUMBER(I1163)),B1163-I1163+1,"")</f>
        <v/>
      </c>
      <c r="N1163" s="14" t="str">
        <f aca="false">IF(B1163="","",IF(M1163="","시작일 미입력",IF(M1163&lt;1,"시작일 이전(확인)",IF(M1163=1,"1일째",IF(M1163=2,"2일째",IF(M1163=3,"3일째",IF(M1163&lt;=7,"일주일 이내",IF(M1163&lt;=14,"이주일 이내","15일 이후"))))))))</f>
        <v/>
      </c>
      <c r="O1163" s="0" t="str">
        <f aca="false">IF(AND(COUNTA($A1163:$J1163)&gt;0,OR(클레임조회!$C$4="",AND(ISNUMBER($B1163),$B1163&gt;=클레임조회!$C$4)),OR(클레임조회!$C$5="",AND(ISNUMBER($B1163),$B1163&lt;=클레임조회!$C$5)),OR(클레임조회!$C$6="",$C1163=클레임조회!$C$6),OR(클레임조회!$C$7="",$D1163=클레임조회!$C$7),OR(클레임조회!$C$8="",$E1163=클레임조회!$C$8),OR(클레임조회!$C$9="",$F1163=클레임조회!$C$9),OR(클레임조회!$C$10="",ISNUMBER(SEARCH(클레임조회!$C$10,$C1163&amp;" "&amp;$F1163&amp;" "&amp;$G1163&amp;" "&amp;$H1163)))),COUNT(O$1:O1162)+1,"")</f>
        <v/>
      </c>
      <c r="P1163" s="0" t="str">
        <f aca="false">IF(AND(TRIM(C1163)&lt;&gt;"",COUNTIF(C$2:C1163,C1163)=1),MAX(P$1:P1162)+1,"")</f>
        <v/>
      </c>
      <c r="Q1163" s="0" t="str">
        <f aca="false">IF(AND(TRIM(F1163)&lt;&gt;"",COUNTIF(F$2:F1163,F1163)=1),MAX(Q$1:Q1162)+1,"")</f>
        <v/>
      </c>
    </row>
    <row r="1164" customFormat="false" ht="15" hidden="false" customHeight="false" outlineLevel="0" collapsed="false">
      <c r="A1164" s="9"/>
      <c r="B1164" s="10"/>
      <c r="C1164" s="11"/>
      <c r="D1164" s="11"/>
      <c r="E1164" s="11"/>
      <c r="F1164" s="11"/>
      <c r="G1164" s="12"/>
      <c r="H1164" s="12"/>
      <c r="I1164" s="10"/>
      <c r="J1164" s="12"/>
      <c r="K1164" s="13" t="str">
        <f aca="false">IF(ISNUMBER(B1164),YEAR(B1164),"")</f>
        <v/>
      </c>
      <c r="L1164" s="13" t="str">
        <f aca="false">IF(ISNUMBER(B1164),MONTH(B1164),"")</f>
        <v/>
      </c>
      <c r="M1164" s="13" t="str">
        <f aca="false">IF(AND(ISNUMBER(B1164),ISNUMBER(I1164)),B1164-I1164+1,"")</f>
        <v/>
      </c>
      <c r="N1164" s="14" t="str">
        <f aca="false">IF(B1164="","",IF(M1164="","시작일 미입력",IF(M1164&lt;1,"시작일 이전(확인)",IF(M1164=1,"1일째",IF(M1164=2,"2일째",IF(M1164=3,"3일째",IF(M1164&lt;=7,"일주일 이내",IF(M1164&lt;=14,"이주일 이내","15일 이후"))))))))</f>
        <v/>
      </c>
      <c r="O1164" s="0" t="str">
        <f aca="false">IF(AND(COUNTA($A1164:$J1164)&gt;0,OR(클레임조회!$C$4="",AND(ISNUMBER($B1164),$B1164&gt;=클레임조회!$C$4)),OR(클레임조회!$C$5="",AND(ISNUMBER($B1164),$B1164&lt;=클레임조회!$C$5)),OR(클레임조회!$C$6="",$C1164=클레임조회!$C$6),OR(클레임조회!$C$7="",$D1164=클레임조회!$C$7),OR(클레임조회!$C$8="",$E1164=클레임조회!$C$8),OR(클레임조회!$C$9="",$F1164=클레임조회!$C$9),OR(클레임조회!$C$10="",ISNUMBER(SEARCH(클레임조회!$C$10,$C1164&amp;" "&amp;$F1164&amp;" "&amp;$G1164&amp;" "&amp;$H1164)))),COUNT(O$1:O1163)+1,"")</f>
        <v/>
      </c>
      <c r="P1164" s="0" t="str">
        <f aca="false">IF(AND(TRIM(C1164)&lt;&gt;"",COUNTIF(C$2:C1164,C1164)=1),MAX(P$1:P1163)+1,"")</f>
        <v/>
      </c>
      <c r="Q1164" s="0" t="str">
        <f aca="false">IF(AND(TRIM(F1164)&lt;&gt;"",COUNTIF(F$2:F1164,F1164)=1),MAX(Q$1:Q1163)+1,"")</f>
        <v/>
      </c>
    </row>
    <row r="1165" customFormat="false" ht="15" hidden="false" customHeight="false" outlineLevel="0" collapsed="false">
      <c r="A1165" s="9"/>
      <c r="B1165" s="10"/>
      <c r="C1165" s="11"/>
      <c r="D1165" s="11"/>
      <c r="E1165" s="11"/>
      <c r="F1165" s="11"/>
      <c r="G1165" s="12"/>
      <c r="H1165" s="12"/>
      <c r="I1165" s="10"/>
      <c r="J1165" s="12"/>
      <c r="K1165" s="13" t="str">
        <f aca="false">IF(ISNUMBER(B1165),YEAR(B1165),"")</f>
        <v/>
      </c>
      <c r="L1165" s="13" t="str">
        <f aca="false">IF(ISNUMBER(B1165),MONTH(B1165),"")</f>
        <v/>
      </c>
      <c r="M1165" s="13" t="str">
        <f aca="false">IF(AND(ISNUMBER(B1165),ISNUMBER(I1165)),B1165-I1165+1,"")</f>
        <v/>
      </c>
      <c r="N1165" s="14" t="str">
        <f aca="false">IF(B1165="","",IF(M1165="","시작일 미입력",IF(M1165&lt;1,"시작일 이전(확인)",IF(M1165=1,"1일째",IF(M1165=2,"2일째",IF(M1165=3,"3일째",IF(M1165&lt;=7,"일주일 이내",IF(M1165&lt;=14,"이주일 이내","15일 이후"))))))))</f>
        <v/>
      </c>
      <c r="O1165" s="0" t="str">
        <f aca="false">IF(AND(COUNTA($A1165:$J1165)&gt;0,OR(클레임조회!$C$4="",AND(ISNUMBER($B1165),$B1165&gt;=클레임조회!$C$4)),OR(클레임조회!$C$5="",AND(ISNUMBER($B1165),$B1165&lt;=클레임조회!$C$5)),OR(클레임조회!$C$6="",$C1165=클레임조회!$C$6),OR(클레임조회!$C$7="",$D1165=클레임조회!$C$7),OR(클레임조회!$C$8="",$E1165=클레임조회!$C$8),OR(클레임조회!$C$9="",$F1165=클레임조회!$C$9),OR(클레임조회!$C$10="",ISNUMBER(SEARCH(클레임조회!$C$10,$C1165&amp;" "&amp;$F1165&amp;" "&amp;$G1165&amp;" "&amp;$H1165)))),COUNT(O$1:O1164)+1,"")</f>
        <v/>
      </c>
      <c r="P1165" s="0" t="str">
        <f aca="false">IF(AND(TRIM(C1165)&lt;&gt;"",COUNTIF(C$2:C1165,C1165)=1),MAX(P$1:P1164)+1,"")</f>
        <v/>
      </c>
      <c r="Q1165" s="0" t="str">
        <f aca="false">IF(AND(TRIM(F1165)&lt;&gt;"",COUNTIF(F$2:F1165,F1165)=1),MAX(Q$1:Q1164)+1,"")</f>
        <v/>
      </c>
    </row>
    <row r="1166" customFormat="false" ht="15" hidden="false" customHeight="false" outlineLevel="0" collapsed="false">
      <c r="A1166" s="9"/>
      <c r="B1166" s="10"/>
      <c r="C1166" s="11"/>
      <c r="D1166" s="11"/>
      <c r="E1166" s="11"/>
      <c r="F1166" s="11"/>
      <c r="G1166" s="12"/>
      <c r="H1166" s="12"/>
      <c r="I1166" s="10"/>
      <c r="J1166" s="12"/>
      <c r="K1166" s="13" t="str">
        <f aca="false">IF(ISNUMBER(B1166),YEAR(B1166),"")</f>
        <v/>
      </c>
      <c r="L1166" s="13" t="str">
        <f aca="false">IF(ISNUMBER(B1166),MONTH(B1166),"")</f>
        <v/>
      </c>
      <c r="M1166" s="13" t="str">
        <f aca="false">IF(AND(ISNUMBER(B1166),ISNUMBER(I1166)),B1166-I1166+1,"")</f>
        <v/>
      </c>
      <c r="N1166" s="14" t="str">
        <f aca="false">IF(B1166="","",IF(M1166="","시작일 미입력",IF(M1166&lt;1,"시작일 이전(확인)",IF(M1166=1,"1일째",IF(M1166=2,"2일째",IF(M1166=3,"3일째",IF(M1166&lt;=7,"일주일 이내",IF(M1166&lt;=14,"이주일 이내","15일 이후"))))))))</f>
        <v/>
      </c>
      <c r="O1166" s="0" t="str">
        <f aca="false">IF(AND(COUNTA($A1166:$J1166)&gt;0,OR(클레임조회!$C$4="",AND(ISNUMBER($B1166),$B1166&gt;=클레임조회!$C$4)),OR(클레임조회!$C$5="",AND(ISNUMBER($B1166),$B1166&lt;=클레임조회!$C$5)),OR(클레임조회!$C$6="",$C1166=클레임조회!$C$6),OR(클레임조회!$C$7="",$D1166=클레임조회!$C$7),OR(클레임조회!$C$8="",$E1166=클레임조회!$C$8),OR(클레임조회!$C$9="",$F1166=클레임조회!$C$9),OR(클레임조회!$C$10="",ISNUMBER(SEARCH(클레임조회!$C$10,$C1166&amp;" "&amp;$F1166&amp;" "&amp;$G1166&amp;" "&amp;$H1166)))),COUNT(O$1:O1165)+1,"")</f>
        <v/>
      </c>
      <c r="P1166" s="0" t="str">
        <f aca="false">IF(AND(TRIM(C1166)&lt;&gt;"",COUNTIF(C$2:C1166,C1166)=1),MAX(P$1:P1165)+1,"")</f>
        <v/>
      </c>
      <c r="Q1166" s="0" t="str">
        <f aca="false">IF(AND(TRIM(F1166)&lt;&gt;"",COUNTIF(F$2:F1166,F1166)=1),MAX(Q$1:Q1165)+1,"")</f>
        <v/>
      </c>
    </row>
    <row r="1167" customFormat="false" ht="15" hidden="false" customHeight="false" outlineLevel="0" collapsed="false">
      <c r="A1167" s="9"/>
      <c r="B1167" s="10"/>
      <c r="C1167" s="11"/>
      <c r="D1167" s="11"/>
      <c r="E1167" s="11"/>
      <c r="F1167" s="11"/>
      <c r="G1167" s="12"/>
      <c r="H1167" s="12"/>
      <c r="I1167" s="10"/>
      <c r="J1167" s="12"/>
      <c r="K1167" s="13" t="str">
        <f aca="false">IF(ISNUMBER(B1167),YEAR(B1167),"")</f>
        <v/>
      </c>
      <c r="L1167" s="13" t="str">
        <f aca="false">IF(ISNUMBER(B1167),MONTH(B1167),"")</f>
        <v/>
      </c>
      <c r="M1167" s="13" t="str">
        <f aca="false">IF(AND(ISNUMBER(B1167),ISNUMBER(I1167)),B1167-I1167+1,"")</f>
        <v/>
      </c>
      <c r="N1167" s="14" t="str">
        <f aca="false">IF(B1167="","",IF(M1167="","시작일 미입력",IF(M1167&lt;1,"시작일 이전(확인)",IF(M1167=1,"1일째",IF(M1167=2,"2일째",IF(M1167=3,"3일째",IF(M1167&lt;=7,"일주일 이내",IF(M1167&lt;=14,"이주일 이내","15일 이후"))))))))</f>
        <v/>
      </c>
      <c r="O1167" s="0" t="str">
        <f aca="false">IF(AND(COUNTA($A1167:$J1167)&gt;0,OR(클레임조회!$C$4="",AND(ISNUMBER($B1167),$B1167&gt;=클레임조회!$C$4)),OR(클레임조회!$C$5="",AND(ISNUMBER($B1167),$B1167&lt;=클레임조회!$C$5)),OR(클레임조회!$C$6="",$C1167=클레임조회!$C$6),OR(클레임조회!$C$7="",$D1167=클레임조회!$C$7),OR(클레임조회!$C$8="",$E1167=클레임조회!$C$8),OR(클레임조회!$C$9="",$F1167=클레임조회!$C$9),OR(클레임조회!$C$10="",ISNUMBER(SEARCH(클레임조회!$C$10,$C1167&amp;" "&amp;$F1167&amp;" "&amp;$G1167&amp;" "&amp;$H1167)))),COUNT(O$1:O1166)+1,"")</f>
        <v/>
      </c>
      <c r="P1167" s="0" t="str">
        <f aca="false">IF(AND(TRIM(C1167)&lt;&gt;"",COUNTIF(C$2:C1167,C1167)=1),MAX(P$1:P1166)+1,"")</f>
        <v/>
      </c>
      <c r="Q1167" s="0" t="str">
        <f aca="false">IF(AND(TRIM(F1167)&lt;&gt;"",COUNTIF(F$2:F1167,F1167)=1),MAX(Q$1:Q1166)+1,"")</f>
        <v/>
      </c>
    </row>
    <row r="1168" customFormat="false" ht="15" hidden="false" customHeight="false" outlineLevel="0" collapsed="false">
      <c r="A1168" s="9"/>
      <c r="B1168" s="10"/>
      <c r="C1168" s="11"/>
      <c r="D1168" s="11"/>
      <c r="E1168" s="11"/>
      <c r="F1168" s="11"/>
      <c r="G1168" s="12"/>
      <c r="H1168" s="12"/>
      <c r="I1168" s="10"/>
      <c r="J1168" s="12"/>
      <c r="K1168" s="13" t="str">
        <f aca="false">IF(ISNUMBER(B1168),YEAR(B1168),"")</f>
        <v/>
      </c>
      <c r="L1168" s="13" t="str">
        <f aca="false">IF(ISNUMBER(B1168),MONTH(B1168),"")</f>
        <v/>
      </c>
      <c r="M1168" s="13" t="str">
        <f aca="false">IF(AND(ISNUMBER(B1168),ISNUMBER(I1168)),B1168-I1168+1,"")</f>
        <v/>
      </c>
      <c r="N1168" s="14" t="str">
        <f aca="false">IF(B1168="","",IF(M1168="","시작일 미입력",IF(M1168&lt;1,"시작일 이전(확인)",IF(M1168=1,"1일째",IF(M1168=2,"2일째",IF(M1168=3,"3일째",IF(M1168&lt;=7,"일주일 이내",IF(M1168&lt;=14,"이주일 이내","15일 이후"))))))))</f>
        <v/>
      </c>
      <c r="O1168" s="0" t="str">
        <f aca="false">IF(AND(COUNTA($A1168:$J1168)&gt;0,OR(클레임조회!$C$4="",AND(ISNUMBER($B1168),$B1168&gt;=클레임조회!$C$4)),OR(클레임조회!$C$5="",AND(ISNUMBER($B1168),$B1168&lt;=클레임조회!$C$5)),OR(클레임조회!$C$6="",$C1168=클레임조회!$C$6),OR(클레임조회!$C$7="",$D1168=클레임조회!$C$7),OR(클레임조회!$C$8="",$E1168=클레임조회!$C$8),OR(클레임조회!$C$9="",$F1168=클레임조회!$C$9),OR(클레임조회!$C$10="",ISNUMBER(SEARCH(클레임조회!$C$10,$C1168&amp;" "&amp;$F1168&amp;" "&amp;$G1168&amp;" "&amp;$H1168)))),COUNT(O$1:O1167)+1,"")</f>
        <v/>
      </c>
      <c r="P1168" s="0" t="str">
        <f aca="false">IF(AND(TRIM(C1168)&lt;&gt;"",COUNTIF(C$2:C1168,C1168)=1),MAX(P$1:P1167)+1,"")</f>
        <v/>
      </c>
      <c r="Q1168" s="0" t="str">
        <f aca="false">IF(AND(TRIM(F1168)&lt;&gt;"",COUNTIF(F$2:F1168,F1168)=1),MAX(Q$1:Q1167)+1,"")</f>
        <v/>
      </c>
    </row>
    <row r="1169" customFormat="false" ht="15" hidden="false" customHeight="false" outlineLevel="0" collapsed="false">
      <c r="A1169" s="9"/>
      <c r="B1169" s="10"/>
      <c r="C1169" s="11"/>
      <c r="D1169" s="11"/>
      <c r="E1169" s="11"/>
      <c r="F1169" s="11"/>
      <c r="G1169" s="12"/>
      <c r="H1169" s="12"/>
      <c r="I1169" s="10"/>
      <c r="J1169" s="12"/>
      <c r="K1169" s="13" t="str">
        <f aca="false">IF(ISNUMBER(B1169),YEAR(B1169),"")</f>
        <v/>
      </c>
      <c r="L1169" s="13" t="str">
        <f aca="false">IF(ISNUMBER(B1169),MONTH(B1169),"")</f>
        <v/>
      </c>
      <c r="M1169" s="13" t="str">
        <f aca="false">IF(AND(ISNUMBER(B1169),ISNUMBER(I1169)),B1169-I1169+1,"")</f>
        <v/>
      </c>
      <c r="N1169" s="14" t="str">
        <f aca="false">IF(B1169="","",IF(M1169="","시작일 미입력",IF(M1169&lt;1,"시작일 이전(확인)",IF(M1169=1,"1일째",IF(M1169=2,"2일째",IF(M1169=3,"3일째",IF(M1169&lt;=7,"일주일 이내",IF(M1169&lt;=14,"이주일 이내","15일 이후"))))))))</f>
        <v/>
      </c>
      <c r="O1169" s="0" t="str">
        <f aca="false">IF(AND(COUNTA($A1169:$J1169)&gt;0,OR(클레임조회!$C$4="",AND(ISNUMBER($B1169),$B1169&gt;=클레임조회!$C$4)),OR(클레임조회!$C$5="",AND(ISNUMBER($B1169),$B1169&lt;=클레임조회!$C$5)),OR(클레임조회!$C$6="",$C1169=클레임조회!$C$6),OR(클레임조회!$C$7="",$D1169=클레임조회!$C$7),OR(클레임조회!$C$8="",$E1169=클레임조회!$C$8),OR(클레임조회!$C$9="",$F1169=클레임조회!$C$9),OR(클레임조회!$C$10="",ISNUMBER(SEARCH(클레임조회!$C$10,$C1169&amp;" "&amp;$F1169&amp;" "&amp;$G1169&amp;" "&amp;$H1169)))),COUNT(O$1:O1168)+1,"")</f>
        <v/>
      </c>
      <c r="P1169" s="0" t="str">
        <f aca="false">IF(AND(TRIM(C1169)&lt;&gt;"",COUNTIF(C$2:C1169,C1169)=1),MAX(P$1:P1168)+1,"")</f>
        <v/>
      </c>
      <c r="Q1169" s="0" t="str">
        <f aca="false">IF(AND(TRIM(F1169)&lt;&gt;"",COUNTIF(F$2:F1169,F1169)=1),MAX(Q$1:Q1168)+1,"")</f>
        <v/>
      </c>
    </row>
    <row r="1170" customFormat="false" ht="15" hidden="false" customHeight="false" outlineLevel="0" collapsed="false">
      <c r="A1170" s="9"/>
      <c r="B1170" s="10"/>
      <c r="C1170" s="11"/>
      <c r="D1170" s="11"/>
      <c r="E1170" s="11"/>
      <c r="F1170" s="11"/>
      <c r="G1170" s="12"/>
      <c r="H1170" s="12"/>
      <c r="I1170" s="10"/>
      <c r="J1170" s="12"/>
      <c r="K1170" s="13" t="str">
        <f aca="false">IF(ISNUMBER(B1170),YEAR(B1170),"")</f>
        <v/>
      </c>
      <c r="L1170" s="13" t="str">
        <f aca="false">IF(ISNUMBER(B1170),MONTH(B1170),"")</f>
        <v/>
      </c>
      <c r="M1170" s="13" t="str">
        <f aca="false">IF(AND(ISNUMBER(B1170),ISNUMBER(I1170)),B1170-I1170+1,"")</f>
        <v/>
      </c>
      <c r="N1170" s="14" t="str">
        <f aca="false">IF(B1170="","",IF(M1170="","시작일 미입력",IF(M1170&lt;1,"시작일 이전(확인)",IF(M1170=1,"1일째",IF(M1170=2,"2일째",IF(M1170=3,"3일째",IF(M1170&lt;=7,"일주일 이내",IF(M1170&lt;=14,"이주일 이내","15일 이후"))))))))</f>
        <v/>
      </c>
      <c r="O1170" s="0" t="str">
        <f aca="false">IF(AND(COUNTA($A1170:$J1170)&gt;0,OR(클레임조회!$C$4="",AND(ISNUMBER($B1170),$B1170&gt;=클레임조회!$C$4)),OR(클레임조회!$C$5="",AND(ISNUMBER($B1170),$B1170&lt;=클레임조회!$C$5)),OR(클레임조회!$C$6="",$C1170=클레임조회!$C$6),OR(클레임조회!$C$7="",$D1170=클레임조회!$C$7),OR(클레임조회!$C$8="",$E1170=클레임조회!$C$8),OR(클레임조회!$C$9="",$F1170=클레임조회!$C$9),OR(클레임조회!$C$10="",ISNUMBER(SEARCH(클레임조회!$C$10,$C1170&amp;" "&amp;$F1170&amp;" "&amp;$G1170&amp;" "&amp;$H1170)))),COUNT(O$1:O1169)+1,"")</f>
        <v/>
      </c>
      <c r="P1170" s="0" t="str">
        <f aca="false">IF(AND(TRIM(C1170)&lt;&gt;"",COUNTIF(C$2:C1170,C1170)=1),MAX(P$1:P1169)+1,"")</f>
        <v/>
      </c>
      <c r="Q1170" s="0" t="str">
        <f aca="false">IF(AND(TRIM(F1170)&lt;&gt;"",COUNTIF(F$2:F1170,F1170)=1),MAX(Q$1:Q1169)+1,"")</f>
        <v/>
      </c>
    </row>
    <row r="1171" customFormat="false" ht="15" hidden="false" customHeight="false" outlineLevel="0" collapsed="false">
      <c r="A1171" s="9"/>
      <c r="B1171" s="10"/>
      <c r="C1171" s="11"/>
      <c r="D1171" s="11"/>
      <c r="E1171" s="11"/>
      <c r="F1171" s="11"/>
      <c r="G1171" s="12"/>
      <c r="H1171" s="12"/>
      <c r="I1171" s="10"/>
      <c r="J1171" s="12"/>
      <c r="K1171" s="13" t="str">
        <f aca="false">IF(ISNUMBER(B1171),YEAR(B1171),"")</f>
        <v/>
      </c>
      <c r="L1171" s="13" t="str">
        <f aca="false">IF(ISNUMBER(B1171),MONTH(B1171),"")</f>
        <v/>
      </c>
      <c r="M1171" s="13" t="str">
        <f aca="false">IF(AND(ISNUMBER(B1171),ISNUMBER(I1171)),B1171-I1171+1,"")</f>
        <v/>
      </c>
      <c r="N1171" s="14" t="str">
        <f aca="false">IF(B1171="","",IF(M1171="","시작일 미입력",IF(M1171&lt;1,"시작일 이전(확인)",IF(M1171=1,"1일째",IF(M1171=2,"2일째",IF(M1171=3,"3일째",IF(M1171&lt;=7,"일주일 이내",IF(M1171&lt;=14,"이주일 이내","15일 이후"))))))))</f>
        <v/>
      </c>
      <c r="O1171" s="0" t="str">
        <f aca="false">IF(AND(COUNTA($A1171:$J1171)&gt;0,OR(클레임조회!$C$4="",AND(ISNUMBER($B1171),$B1171&gt;=클레임조회!$C$4)),OR(클레임조회!$C$5="",AND(ISNUMBER($B1171),$B1171&lt;=클레임조회!$C$5)),OR(클레임조회!$C$6="",$C1171=클레임조회!$C$6),OR(클레임조회!$C$7="",$D1171=클레임조회!$C$7),OR(클레임조회!$C$8="",$E1171=클레임조회!$C$8),OR(클레임조회!$C$9="",$F1171=클레임조회!$C$9),OR(클레임조회!$C$10="",ISNUMBER(SEARCH(클레임조회!$C$10,$C1171&amp;" "&amp;$F1171&amp;" "&amp;$G1171&amp;" "&amp;$H1171)))),COUNT(O$1:O1170)+1,"")</f>
        <v/>
      </c>
      <c r="P1171" s="0" t="str">
        <f aca="false">IF(AND(TRIM(C1171)&lt;&gt;"",COUNTIF(C$2:C1171,C1171)=1),MAX(P$1:P1170)+1,"")</f>
        <v/>
      </c>
      <c r="Q1171" s="0" t="str">
        <f aca="false">IF(AND(TRIM(F1171)&lt;&gt;"",COUNTIF(F$2:F1171,F1171)=1),MAX(Q$1:Q1170)+1,"")</f>
        <v/>
      </c>
    </row>
    <row r="1172" customFormat="false" ht="15" hidden="false" customHeight="false" outlineLevel="0" collapsed="false">
      <c r="A1172" s="9"/>
      <c r="B1172" s="10"/>
      <c r="C1172" s="11"/>
      <c r="D1172" s="11"/>
      <c r="E1172" s="11"/>
      <c r="F1172" s="11"/>
      <c r="G1172" s="12"/>
      <c r="H1172" s="12"/>
      <c r="I1172" s="10"/>
      <c r="J1172" s="12"/>
      <c r="K1172" s="13" t="str">
        <f aca="false">IF(ISNUMBER(B1172),YEAR(B1172),"")</f>
        <v/>
      </c>
      <c r="L1172" s="13" t="str">
        <f aca="false">IF(ISNUMBER(B1172),MONTH(B1172),"")</f>
        <v/>
      </c>
      <c r="M1172" s="13" t="str">
        <f aca="false">IF(AND(ISNUMBER(B1172),ISNUMBER(I1172)),B1172-I1172+1,"")</f>
        <v/>
      </c>
      <c r="N1172" s="14" t="str">
        <f aca="false">IF(B1172="","",IF(M1172="","시작일 미입력",IF(M1172&lt;1,"시작일 이전(확인)",IF(M1172=1,"1일째",IF(M1172=2,"2일째",IF(M1172=3,"3일째",IF(M1172&lt;=7,"일주일 이내",IF(M1172&lt;=14,"이주일 이내","15일 이후"))))))))</f>
        <v/>
      </c>
      <c r="O1172" s="0" t="str">
        <f aca="false">IF(AND(COUNTA($A1172:$J1172)&gt;0,OR(클레임조회!$C$4="",AND(ISNUMBER($B1172),$B1172&gt;=클레임조회!$C$4)),OR(클레임조회!$C$5="",AND(ISNUMBER($B1172),$B1172&lt;=클레임조회!$C$5)),OR(클레임조회!$C$6="",$C1172=클레임조회!$C$6),OR(클레임조회!$C$7="",$D1172=클레임조회!$C$7),OR(클레임조회!$C$8="",$E1172=클레임조회!$C$8),OR(클레임조회!$C$9="",$F1172=클레임조회!$C$9),OR(클레임조회!$C$10="",ISNUMBER(SEARCH(클레임조회!$C$10,$C1172&amp;" "&amp;$F1172&amp;" "&amp;$G1172&amp;" "&amp;$H1172)))),COUNT(O$1:O1171)+1,"")</f>
        <v/>
      </c>
      <c r="P1172" s="0" t="str">
        <f aca="false">IF(AND(TRIM(C1172)&lt;&gt;"",COUNTIF(C$2:C1172,C1172)=1),MAX(P$1:P1171)+1,"")</f>
        <v/>
      </c>
      <c r="Q1172" s="0" t="str">
        <f aca="false">IF(AND(TRIM(F1172)&lt;&gt;"",COUNTIF(F$2:F1172,F1172)=1),MAX(Q$1:Q1171)+1,"")</f>
        <v/>
      </c>
    </row>
    <row r="1173" customFormat="false" ht="15" hidden="false" customHeight="false" outlineLevel="0" collapsed="false">
      <c r="A1173" s="9"/>
      <c r="B1173" s="10"/>
      <c r="C1173" s="11"/>
      <c r="D1173" s="11"/>
      <c r="E1173" s="11"/>
      <c r="F1173" s="11"/>
      <c r="G1173" s="12"/>
      <c r="H1173" s="12"/>
      <c r="I1173" s="10"/>
      <c r="J1173" s="12"/>
      <c r="K1173" s="13" t="str">
        <f aca="false">IF(ISNUMBER(B1173),YEAR(B1173),"")</f>
        <v/>
      </c>
      <c r="L1173" s="13" t="str">
        <f aca="false">IF(ISNUMBER(B1173),MONTH(B1173),"")</f>
        <v/>
      </c>
      <c r="M1173" s="13" t="str">
        <f aca="false">IF(AND(ISNUMBER(B1173),ISNUMBER(I1173)),B1173-I1173+1,"")</f>
        <v/>
      </c>
      <c r="N1173" s="14" t="str">
        <f aca="false">IF(B1173="","",IF(M1173="","시작일 미입력",IF(M1173&lt;1,"시작일 이전(확인)",IF(M1173=1,"1일째",IF(M1173=2,"2일째",IF(M1173=3,"3일째",IF(M1173&lt;=7,"일주일 이내",IF(M1173&lt;=14,"이주일 이내","15일 이후"))))))))</f>
        <v/>
      </c>
      <c r="O1173" s="0" t="str">
        <f aca="false">IF(AND(COUNTA($A1173:$J1173)&gt;0,OR(클레임조회!$C$4="",AND(ISNUMBER($B1173),$B1173&gt;=클레임조회!$C$4)),OR(클레임조회!$C$5="",AND(ISNUMBER($B1173),$B1173&lt;=클레임조회!$C$5)),OR(클레임조회!$C$6="",$C1173=클레임조회!$C$6),OR(클레임조회!$C$7="",$D1173=클레임조회!$C$7),OR(클레임조회!$C$8="",$E1173=클레임조회!$C$8),OR(클레임조회!$C$9="",$F1173=클레임조회!$C$9),OR(클레임조회!$C$10="",ISNUMBER(SEARCH(클레임조회!$C$10,$C1173&amp;" "&amp;$F1173&amp;" "&amp;$G1173&amp;" "&amp;$H1173)))),COUNT(O$1:O1172)+1,"")</f>
        <v/>
      </c>
      <c r="P1173" s="0" t="str">
        <f aca="false">IF(AND(TRIM(C1173)&lt;&gt;"",COUNTIF(C$2:C1173,C1173)=1),MAX(P$1:P1172)+1,"")</f>
        <v/>
      </c>
      <c r="Q1173" s="0" t="str">
        <f aca="false">IF(AND(TRIM(F1173)&lt;&gt;"",COUNTIF(F$2:F1173,F1173)=1),MAX(Q$1:Q1172)+1,"")</f>
        <v/>
      </c>
    </row>
    <row r="1174" customFormat="false" ht="15" hidden="false" customHeight="false" outlineLevel="0" collapsed="false">
      <c r="A1174" s="9"/>
      <c r="B1174" s="10"/>
      <c r="C1174" s="11"/>
      <c r="D1174" s="11"/>
      <c r="E1174" s="11"/>
      <c r="F1174" s="11"/>
      <c r="G1174" s="12"/>
      <c r="H1174" s="12"/>
      <c r="I1174" s="10"/>
      <c r="J1174" s="12"/>
      <c r="K1174" s="13" t="str">
        <f aca="false">IF(ISNUMBER(B1174),YEAR(B1174),"")</f>
        <v/>
      </c>
      <c r="L1174" s="13" t="str">
        <f aca="false">IF(ISNUMBER(B1174),MONTH(B1174),"")</f>
        <v/>
      </c>
      <c r="M1174" s="13" t="str">
        <f aca="false">IF(AND(ISNUMBER(B1174),ISNUMBER(I1174)),B1174-I1174+1,"")</f>
        <v/>
      </c>
      <c r="N1174" s="14" t="str">
        <f aca="false">IF(B1174="","",IF(M1174="","시작일 미입력",IF(M1174&lt;1,"시작일 이전(확인)",IF(M1174=1,"1일째",IF(M1174=2,"2일째",IF(M1174=3,"3일째",IF(M1174&lt;=7,"일주일 이내",IF(M1174&lt;=14,"이주일 이내","15일 이후"))))))))</f>
        <v/>
      </c>
      <c r="O1174" s="0" t="str">
        <f aca="false">IF(AND(COUNTA($A1174:$J1174)&gt;0,OR(클레임조회!$C$4="",AND(ISNUMBER($B1174),$B1174&gt;=클레임조회!$C$4)),OR(클레임조회!$C$5="",AND(ISNUMBER($B1174),$B1174&lt;=클레임조회!$C$5)),OR(클레임조회!$C$6="",$C1174=클레임조회!$C$6),OR(클레임조회!$C$7="",$D1174=클레임조회!$C$7),OR(클레임조회!$C$8="",$E1174=클레임조회!$C$8),OR(클레임조회!$C$9="",$F1174=클레임조회!$C$9),OR(클레임조회!$C$10="",ISNUMBER(SEARCH(클레임조회!$C$10,$C1174&amp;" "&amp;$F1174&amp;" "&amp;$G1174&amp;" "&amp;$H1174)))),COUNT(O$1:O1173)+1,"")</f>
        <v/>
      </c>
      <c r="P1174" s="0" t="str">
        <f aca="false">IF(AND(TRIM(C1174)&lt;&gt;"",COUNTIF(C$2:C1174,C1174)=1),MAX(P$1:P1173)+1,"")</f>
        <v/>
      </c>
      <c r="Q1174" s="0" t="str">
        <f aca="false">IF(AND(TRIM(F1174)&lt;&gt;"",COUNTIF(F$2:F1174,F1174)=1),MAX(Q$1:Q1173)+1,"")</f>
        <v/>
      </c>
    </row>
    <row r="1175" customFormat="false" ht="15" hidden="false" customHeight="false" outlineLevel="0" collapsed="false">
      <c r="A1175" s="9"/>
      <c r="B1175" s="10"/>
      <c r="C1175" s="11"/>
      <c r="D1175" s="11"/>
      <c r="E1175" s="11"/>
      <c r="F1175" s="11"/>
      <c r="G1175" s="12"/>
      <c r="H1175" s="12"/>
      <c r="I1175" s="10"/>
      <c r="J1175" s="12"/>
      <c r="K1175" s="13" t="str">
        <f aca="false">IF(ISNUMBER(B1175),YEAR(B1175),"")</f>
        <v/>
      </c>
      <c r="L1175" s="13" t="str">
        <f aca="false">IF(ISNUMBER(B1175),MONTH(B1175),"")</f>
        <v/>
      </c>
      <c r="M1175" s="13" t="str">
        <f aca="false">IF(AND(ISNUMBER(B1175),ISNUMBER(I1175)),B1175-I1175+1,"")</f>
        <v/>
      </c>
      <c r="N1175" s="14" t="str">
        <f aca="false">IF(B1175="","",IF(M1175="","시작일 미입력",IF(M1175&lt;1,"시작일 이전(확인)",IF(M1175=1,"1일째",IF(M1175=2,"2일째",IF(M1175=3,"3일째",IF(M1175&lt;=7,"일주일 이내",IF(M1175&lt;=14,"이주일 이내","15일 이후"))))))))</f>
        <v/>
      </c>
      <c r="O1175" s="0" t="str">
        <f aca="false">IF(AND(COUNTA($A1175:$J1175)&gt;0,OR(클레임조회!$C$4="",AND(ISNUMBER($B1175),$B1175&gt;=클레임조회!$C$4)),OR(클레임조회!$C$5="",AND(ISNUMBER($B1175),$B1175&lt;=클레임조회!$C$5)),OR(클레임조회!$C$6="",$C1175=클레임조회!$C$6),OR(클레임조회!$C$7="",$D1175=클레임조회!$C$7),OR(클레임조회!$C$8="",$E1175=클레임조회!$C$8),OR(클레임조회!$C$9="",$F1175=클레임조회!$C$9),OR(클레임조회!$C$10="",ISNUMBER(SEARCH(클레임조회!$C$10,$C1175&amp;" "&amp;$F1175&amp;" "&amp;$G1175&amp;" "&amp;$H1175)))),COUNT(O$1:O1174)+1,"")</f>
        <v/>
      </c>
      <c r="P1175" s="0" t="str">
        <f aca="false">IF(AND(TRIM(C1175)&lt;&gt;"",COUNTIF(C$2:C1175,C1175)=1),MAX(P$1:P1174)+1,"")</f>
        <v/>
      </c>
      <c r="Q1175" s="0" t="str">
        <f aca="false">IF(AND(TRIM(F1175)&lt;&gt;"",COUNTIF(F$2:F1175,F1175)=1),MAX(Q$1:Q1174)+1,"")</f>
        <v/>
      </c>
    </row>
    <row r="1176" customFormat="false" ht="15" hidden="false" customHeight="false" outlineLevel="0" collapsed="false">
      <c r="A1176" s="9"/>
      <c r="B1176" s="10"/>
      <c r="C1176" s="11"/>
      <c r="D1176" s="11"/>
      <c r="E1176" s="11"/>
      <c r="F1176" s="11"/>
      <c r="G1176" s="12"/>
      <c r="H1176" s="12"/>
      <c r="I1176" s="10"/>
      <c r="J1176" s="12"/>
      <c r="K1176" s="13" t="str">
        <f aca="false">IF(ISNUMBER(B1176),YEAR(B1176),"")</f>
        <v/>
      </c>
      <c r="L1176" s="13" t="str">
        <f aca="false">IF(ISNUMBER(B1176),MONTH(B1176),"")</f>
        <v/>
      </c>
      <c r="M1176" s="13" t="str">
        <f aca="false">IF(AND(ISNUMBER(B1176),ISNUMBER(I1176)),B1176-I1176+1,"")</f>
        <v/>
      </c>
      <c r="N1176" s="14" t="str">
        <f aca="false">IF(B1176="","",IF(M1176="","시작일 미입력",IF(M1176&lt;1,"시작일 이전(확인)",IF(M1176=1,"1일째",IF(M1176=2,"2일째",IF(M1176=3,"3일째",IF(M1176&lt;=7,"일주일 이내",IF(M1176&lt;=14,"이주일 이내","15일 이후"))))))))</f>
        <v/>
      </c>
      <c r="O1176" s="0" t="str">
        <f aca="false">IF(AND(COUNTA($A1176:$J1176)&gt;0,OR(클레임조회!$C$4="",AND(ISNUMBER($B1176),$B1176&gt;=클레임조회!$C$4)),OR(클레임조회!$C$5="",AND(ISNUMBER($B1176),$B1176&lt;=클레임조회!$C$5)),OR(클레임조회!$C$6="",$C1176=클레임조회!$C$6),OR(클레임조회!$C$7="",$D1176=클레임조회!$C$7),OR(클레임조회!$C$8="",$E1176=클레임조회!$C$8),OR(클레임조회!$C$9="",$F1176=클레임조회!$C$9),OR(클레임조회!$C$10="",ISNUMBER(SEARCH(클레임조회!$C$10,$C1176&amp;" "&amp;$F1176&amp;" "&amp;$G1176&amp;" "&amp;$H1176)))),COUNT(O$1:O1175)+1,"")</f>
        <v/>
      </c>
      <c r="P1176" s="0" t="str">
        <f aca="false">IF(AND(TRIM(C1176)&lt;&gt;"",COUNTIF(C$2:C1176,C1176)=1),MAX(P$1:P1175)+1,"")</f>
        <v/>
      </c>
      <c r="Q1176" s="0" t="str">
        <f aca="false">IF(AND(TRIM(F1176)&lt;&gt;"",COUNTIF(F$2:F1176,F1176)=1),MAX(Q$1:Q1175)+1,"")</f>
        <v/>
      </c>
    </row>
    <row r="1177" customFormat="false" ht="15" hidden="false" customHeight="false" outlineLevel="0" collapsed="false">
      <c r="A1177" s="9"/>
      <c r="B1177" s="10"/>
      <c r="C1177" s="11"/>
      <c r="D1177" s="11"/>
      <c r="E1177" s="11"/>
      <c r="F1177" s="11"/>
      <c r="G1177" s="12"/>
      <c r="H1177" s="12"/>
      <c r="I1177" s="10"/>
      <c r="J1177" s="12"/>
      <c r="K1177" s="13" t="str">
        <f aca="false">IF(ISNUMBER(B1177),YEAR(B1177),"")</f>
        <v/>
      </c>
      <c r="L1177" s="13" t="str">
        <f aca="false">IF(ISNUMBER(B1177),MONTH(B1177),"")</f>
        <v/>
      </c>
      <c r="M1177" s="13" t="str">
        <f aca="false">IF(AND(ISNUMBER(B1177),ISNUMBER(I1177)),B1177-I1177+1,"")</f>
        <v/>
      </c>
      <c r="N1177" s="14" t="str">
        <f aca="false">IF(B1177="","",IF(M1177="","시작일 미입력",IF(M1177&lt;1,"시작일 이전(확인)",IF(M1177=1,"1일째",IF(M1177=2,"2일째",IF(M1177=3,"3일째",IF(M1177&lt;=7,"일주일 이내",IF(M1177&lt;=14,"이주일 이내","15일 이후"))))))))</f>
        <v/>
      </c>
      <c r="O1177" s="0" t="str">
        <f aca="false">IF(AND(COUNTA($A1177:$J1177)&gt;0,OR(클레임조회!$C$4="",AND(ISNUMBER($B1177),$B1177&gt;=클레임조회!$C$4)),OR(클레임조회!$C$5="",AND(ISNUMBER($B1177),$B1177&lt;=클레임조회!$C$5)),OR(클레임조회!$C$6="",$C1177=클레임조회!$C$6),OR(클레임조회!$C$7="",$D1177=클레임조회!$C$7),OR(클레임조회!$C$8="",$E1177=클레임조회!$C$8),OR(클레임조회!$C$9="",$F1177=클레임조회!$C$9),OR(클레임조회!$C$10="",ISNUMBER(SEARCH(클레임조회!$C$10,$C1177&amp;" "&amp;$F1177&amp;" "&amp;$G1177&amp;" "&amp;$H1177)))),COUNT(O$1:O1176)+1,"")</f>
        <v/>
      </c>
      <c r="P1177" s="0" t="str">
        <f aca="false">IF(AND(TRIM(C1177)&lt;&gt;"",COUNTIF(C$2:C1177,C1177)=1),MAX(P$1:P1176)+1,"")</f>
        <v/>
      </c>
      <c r="Q1177" s="0" t="str">
        <f aca="false">IF(AND(TRIM(F1177)&lt;&gt;"",COUNTIF(F$2:F1177,F1177)=1),MAX(Q$1:Q1176)+1,"")</f>
        <v/>
      </c>
    </row>
    <row r="1178" customFormat="false" ht="15" hidden="false" customHeight="false" outlineLevel="0" collapsed="false">
      <c r="A1178" s="9"/>
      <c r="B1178" s="10"/>
      <c r="C1178" s="11"/>
      <c r="D1178" s="11"/>
      <c r="E1178" s="11"/>
      <c r="F1178" s="11"/>
      <c r="G1178" s="12"/>
      <c r="H1178" s="12"/>
      <c r="I1178" s="10"/>
      <c r="J1178" s="12"/>
      <c r="K1178" s="13" t="str">
        <f aca="false">IF(ISNUMBER(B1178),YEAR(B1178),"")</f>
        <v/>
      </c>
      <c r="L1178" s="13" t="str">
        <f aca="false">IF(ISNUMBER(B1178),MONTH(B1178),"")</f>
        <v/>
      </c>
      <c r="M1178" s="13" t="str">
        <f aca="false">IF(AND(ISNUMBER(B1178),ISNUMBER(I1178)),B1178-I1178+1,"")</f>
        <v/>
      </c>
      <c r="N1178" s="14" t="str">
        <f aca="false">IF(B1178="","",IF(M1178="","시작일 미입력",IF(M1178&lt;1,"시작일 이전(확인)",IF(M1178=1,"1일째",IF(M1178=2,"2일째",IF(M1178=3,"3일째",IF(M1178&lt;=7,"일주일 이내",IF(M1178&lt;=14,"이주일 이내","15일 이후"))))))))</f>
        <v/>
      </c>
      <c r="O1178" s="0" t="str">
        <f aca="false">IF(AND(COUNTA($A1178:$J1178)&gt;0,OR(클레임조회!$C$4="",AND(ISNUMBER($B1178),$B1178&gt;=클레임조회!$C$4)),OR(클레임조회!$C$5="",AND(ISNUMBER($B1178),$B1178&lt;=클레임조회!$C$5)),OR(클레임조회!$C$6="",$C1178=클레임조회!$C$6),OR(클레임조회!$C$7="",$D1178=클레임조회!$C$7),OR(클레임조회!$C$8="",$E1178=클레임조회!$C$8),OR(클레임조회!$C$9="",$F1178=클레임조회!$C$9),OR(클레임조회!$C$10="",ISNUMBER(SEARCH(클레임조회!$C$10,$C1178&amp;" "&amp;$F1178&amp;" "&amp;$G1178&amp;" "&amp;$H1178)))),COUNT(O$1:O1177)+1,"")</f>
        <v/>
      </c>
      <c r="P1178" s="0" t="str">
        <f aca="false">IF(AND(TRIM(C1178)&lt;&gt;"",COUNTIF(C$2:C1178,C1178)=1),MAX(P$1:P1177)+1,"")</f>
        <v/>
      </c>
      <c r="Q1178" s="0" t="str">
        <f aca="false">IF(AND(TRIM(F1178)&lt;&gt;"",COUNTIF(F$2:F1178,F1178)=1),MAX(Q$1:Q1177)+1,"")</f>
        <v/>
      </c>
    </row>
    <row r="1179" customFormat="false" ht="15" hidden="false" customHeight="false" outlineLevel="0" collapsed="false">
      <c r="A1179" s="9"/>
      <c r="B1179" s="10"/>
      <c r="C1179" s="11"/>
      <c r="D1179" s="11"/>
      <c r="E1179" s="11"/>
      <c r="F1179" s="11"/>
      <c r="G1179" s="12"/>
      <c r="H1179" s="12"/>
      <c r="I1179" s="10"/>
      <c r="J1179" s="12"/>
      <c r="K1179" s="13" t="str">
        <f aca="false">IF(ISNUMBER(B1179),YEAR(B1179),"")</f>
        <v/>
      </c>
      <c r="L1179" s="13" t="str">
        <f aca="false">IF(ISNUMBER(B1179),MONTH(B1179),"")</f>
        <v/>
      </c>
      <c r="M1179" s="13" t="str">
        <f aca="false">IF(AND(ISNUMBER(B1179),ISNUMBER(I1179)),B1179-I1179+1,"")</f>
        <v/>
      </c>
      <c r="N1179" s="14" t="str">
        <f aca="false">IF(B1179="","",IF(M1179="","시작일 미입력",IF(M1179&lt;1,"시작일 이전(확인)",IF(M1179=1,"1일째",IF(M1179=2,"2일째",IF(M1179=3,"3일째",IF(M1179&lt;=7,"일주일 이내",IF(M1179&lt;=14,"이주일 이내","15일 이후"))))))))</f>
        <v/>
      </c>
      <c r="O1179" s="0" t="str">
        <f aca="false">IF(AND(COUNTA($A1179:$J1179)&gt;0,OR(클레임조회!$C$4="",AND(ISNUMBER($B1179),$B1179&gt;=클레임조회!$C$4)),OR(클레임조회!$C$5="",AND(ISNUMBER($B1179),$B1179&lt;=클레임조회!$C$5)),OR(클레임조회!$C$6="",$C1179=클레임조회!$C$6),OR(클레임조회!$C$7="",$D1179=클레임조회!$C$7),OR(클레임조회!$C$8="",$E1179=클레임조회!$C$8),OR(클레임조회!$C$9="",$F1179=클레임조회!$C$9),OR(클레임조회!$C$10="",ISNUMBER(SEARCH(클레임조회!$C$10,$C1179&amp;" "&amp;$F1179&amp;" "&amp;$G1179&amp;" "&amp;$H1179)))),COUNT(O$1:O1178)+1,"")</f>
        <v/>
      </c>
      <c r="P1179" s="0" t="str">
        <f aca="false">IF(AND(TRIM(C1179)&lt;&gt;"",COUNTIF(C$2:C1179,C1179)=1),MAX(P$1:P1178)+1,"")</f>
        <v/>
      </c>
      <c r="Q1179" s="0" t="str">
        <f aca="false">IF(AND(TRIM(F1179)&lt;&gt;"",COUNTIF(F$2:F1179,F1179)=1),MAX(Q$1:Q1178)+1,"")</f>
        <v/>
      </c>
    </row>
    <row r="1180" customFormat="false" ht="15" hidden="false" customHeight="false" outlineLevel="0" collapsed="false">
      <c r="A1180" s="9"/>
      <c r="B1180" s="10"/>
      <c r="C1180" s="11"/>
      <c r="D1180" s="11"/>
      <c r="E1180" s="11"/>
      <c r="F1180" s="11"/>
      <c r="G1180" s="12"/>
      <c r="H1180" s="12"/>
      <c r="I1180" s="10"/>
      <c r="J1180" s="12"/>
      <c r="K1180" s="13" t="str">
        <f aca="false">IF(ISNUMBER(B1180),YEAR(B1180),"")</f>
        <v/>
      </c>
      <c r="L1180" s="13" t="str">
        <f aca="false">IF(ISNUMBER(B1180),MONTH(B1180),"")</f>
        <v/>
      </c>
      <c r="M1180" s="13" t="str">
        <f aca="false">IF(AND(ISNUMBER(B1180),ISNUMBER(I1180)),B1180-I1180+1,"")</f>
        <v/>
      </c>
      <c r="N1180" s="14" t="str">
        <f aca="false">IF(B1180="","",IF(M1180="","시작일 미입력",IF(M1180&lt;1,"시작일 이전(확인)",IF(M1180=1,"1일째",IF(M1180=2,"2일째",IF(M1180=3,"3일째",IF(M1180&lt;=7,"일주일 이내",IF(M1180&lt;=14,"이주일 이내","15일 이후"))))))))</f>
        <v/>
      </c>
      <c r="O1180" s="0" t="str">
        <f aca="false">IF(AND(COUNTA($A1180:$J1180)&gt;0,OR(클레임조회!$C$4="",AND(ISNUMBER($B1180),$B1180&gt;=클레임조회!$C$4)),OR(클레임조회!$C$5="",AND(ISNUMBER($B1180),$B1180&lt;=클레임조회!$C$5)),OR(클레임조회!$C$6="",$C1180=클레임조회!$C$6),OR(클레임조회!$C$7="",$D1180=클레임조회!$C$7),OR(클레임조회!$C$8="",$E1180=클레임조회!$C$8),OR(클레임조회!$C$9="",$F1180=클레임조회!$C$9),OR(클레임조회!$C$10="",ISNUMBER(SEARCH(클레임조회!$C$10,$C1180&amp;" "&amp;$F1180&amp;" "&amp;$G1180&amp;" "&amp;$H1180)))),COUNT(O$1:O1179)+1,"")</f>
        <v/>
      </c>
      <c r="P1180" s="0" t="str">
        <f aca="false">IF(AND(TRIM(C1180)&lt;&gt;"",COUNTIF(C$2:C1180,C1180)=1),MAX(P$1:P1179)+1,"")</f>
        <v/>
      </c>
      <c r="Q1180" s="0" t="str">
        <f aca="false">IF(AND(TRIM(F1180)&lt;&gt;"",COUNTIF(F$2:F1180,F1180)=1),MAX(Q$1:Q1179)+1,"")</f>
        <v/>
      </c>
    </row>
    <row r="1181" customFormat="false" ht="15" hidden="false" customHeight="false" outlineLevel="0" collapsed="false">
      <c r="A1181" s="9"/>
      <c r="B1181" s="10"/>
      <c r="C1181" s="11"/>
      <c r="D1181" s="11"/>
      <c r="E1181" s="11"/>
      <c r="F1181" s="11"/>
      <c r="G1181" s="12"/>
      <c r="H1181" s="12"/>
      <c r="I1181" s="10"/>
      <c r="J1181" s="12"/>
      <c r="K1181" s="13" t="str">
        <f aca="false">IF(ISNUMBER(B1181),YEAR(B1181),"")</f>
        <v/>
      </c>
      <c r="L1181" s="13" t="str">
        <f aca="false">IF(ISNUMBER(B1181),MONTH(B1181),"")</f>
        <v/>
      </c>
      <c r="M1181" s="13" t="str">
        <f aca="false">IF(AND(ISNUMBER(B1181),ISNUMBER(I1181)),B1181-I1181+1,"")</f>
        <v/>
      </c>
      <c r="N1181" s="14" t="str">
        <f aca="false">IF(B1181="","",IF(M1181="","시작일 미입력",IF(M1181&lt;1,"시작일 이전(확인)",IF(M1181=1,"1일째",IF(M1181=2,"2일째",IF(M1181=3,"3일째",IF(M1181&lt;=7,"일주일 이내",IF(M1181&lt;=14,"이주일 이내","15일 이후"))))))))</f>
        <v/>
      </c>
      <c r="O1181" s="0" t="str">
        <f aca="false">IF(AND(COUNTA($A1181:$J1181)&gt;0,OR(클레임조회!$C$4="",AND(ISNUMBER($B1181),$B1181&gt;=클레임조회!$C$4)),OR(클레임조회!$C$5="",AND(ISNUMBER($B1181),$B1181&lt;=클레임조회!$C$5)),OR(클레임조회!$C$6="",$C1181=클레임조회!$C$6),OR(클레임조회!$C$7="",$D1181=클레임조회!$C$7),OR(클레임조회!$C$8="",$E1181=클레임조회!$C$8),OR(클레임조회!$C$9="",$F1181=클레임조회!$C$9),OR(클레임조회!$C$10="",ISNUMBER(SEARCH(클레임조회!$C$10,$C1181&amp;" "&amp;$F1181&amp;" "&amp;$G1181&amp;" "&amp;$H1181)))),COUNT(O$1:O1180)+1,"")</f>
        <v/>
      </c>
      <c r="P1181" s="0" t="str">
        <f aca="false">IF(AND(TRIM(C1181)&lt;&gt;"",COUNTIF(C$2:C1181,C1181)=1),MAX(P$1:P1180)+1,"")</f>
        <v/>
      </c>
      <c r="Q1181" s="0" t="str">
        <f aca="false">IF(AND(TRIM(F1181)&lt;&gt;"",COUNTIF(F$2:F1181,F1181)=1),MAX(Q$1:Q1180)+1,"")</f>
        <v/>
      </c>
    </row>
    <row r="1182" customFormat="false" ht="15" hidden="false" customHeight="false" outlineLevel="0" collapsed="false">
      <c r="A1182" s="9"/>
      <c r="B1182" s="10"/>
      <c r="C1182" s="11"/>
      <c r="D1182" s="11"/>
      <c r="E1182" s="11"/>
      <c r="F1182" s="11"/>
      <c r="G1182" s="12"/>
      <c r="H1182" s="12"/>
      <c r="I1182" s="10"/>
      <c r="J1182" s="12"/>
      <c r="K1182" s="13" t="str">
        <f aca="false">IF(ISNUMBER(B1182),YEAR(B1182),"")</f>
        <v/>
      </c>
      <c r="L1182" s="13" t="str">
        <f aca="false">IF(ISNUMBER(B1182),MONTH(B1182),"")</f>
        <v/>
      </c>
      <c r="M1182" s="13" t="str">
        <f aca="false">IF(AND(ISNUMBER(B1182),ISNUMBER(I1182)),B1182-I1182+1,"")</f>
        <v/>
      </c>
      <c r="N1182" s="14" t="str">
        <f aca="false">IF(B1182="","",IF(M1182="","시작일 미입력",IF(M1182&lt;1,"시작일 이전(확인)",IF(M1182=1,"1일째",IF(M1182=2,"2일째",IF(M1182=3,"3일째",IF(M1182&lt;=7,"일주일 이내",IF(M1182&lt;=14,"이주일 이내","15일 이후"))))))))</f>
        <v/>
      </c>
      <c r="O1182" s="0" t="str">
        <f aca="false">IF(AND(COUNTA($A1182:$J1182)&gt;0,OR(클레임조회!$C$4="",AND(ISNUMBER($B1182),$B1182&gt;=클레임조회!$C$4)),OR(클레임조회!$C$5="",AND(ISNUMBER($B1182),$B1182&lt;=클레임조회!$C$5)),OR(클레임조회!$C$6="",$C1182=클레임조회!$C$6),OR(클레임조회!$C$7="",$D1182=클레임조회!$C$7),OR(클레임조회!$C$8="",$E1182=클레임조회!$C$8),OR(클레임조회!$C$9="",$F1182=클레임조회!$C$9),OR(클레임조회!$C$10="",ISNUMBER(SEARCH(클레임조회!$C$10,$C1182&amp;" "&amp;$F1182&amp;" "&amp;$G1182&amp;" "&amp;$H1182)))),COUNT(O$1:O1181)+1,"")</f>
        <v/>
      </c>
      <c r="P1182" s="0" t="str">
        <f aca="false">IF(AND(TRIM(C1182)&lt;&gt;"",COUNTIF(C$2:C1182,C1182)=1),MAX(P$1:P1181)+1,"")</f>
        <v/>
      </c>
      <c r="Q1182" s="0" t="str">
        <f aca="false">IF(AND(TRIM(F1182)&lt;&gt;"",COUNTIF(F$2:F1182,F1182)=1),MAX(Q$1:Q1181)+1,"")</f>
        <v/>
      </c>
    </row>
    <row r="1183" customFormat="false" ht="15" hidden="false" customHeight="false" outlineLevel="0" collapsed="false">
      <c r="A1183" s="9"/>
      <c r="B1183" s="10"/>
      <c r="C1183" s="11"/>
      <c r="D1183" s="11"/>
      <c r="E1183" s="11"/>
      <c r="F1183" s="11"/>
      <c r="G1183" s="12"/>
      <c r="H1183" s="12"/>
      <c r="I1183" s="10"/>
      <c r="J1183" s="12"/>
      <c r="K1183" s="13" t="str">
        <f aca="false">IF(ISNUMBER(B1183),YEAR(B1183),"")</f>
        <v/>
      </c>
      <c r="L1183" s="13" t="str">
        <f aca="false">IF(ISNUMBER(B1183),MONTH(B1183),"")</f>
        <v/>
      </c>
      <c r="M1183" s="13" t="str">
        <f aca="false">IF(AND(ISNUMBER(B1183),ISNUMBER(I1183)),B1183-I1183+1,"")</f>
        <v/>
      </c>
      <c r="N1183" s="14" t="str">
        <f aca="false">IF(B1183="","",IF(M1183="","시작일 미입력",IF(M1183&lt;1,"시작일 이전(확인)",IF(M1183=1,"1일째",IF(M1183=2,"2일째",IF(M1183=3,"3일째",IF(M1183&lt;=7,"일주일 이내",IF(M1183&lt;=14,"이주일 이내","15일 이후"))))))))</f>
        <v/>
      </c>
      <c r="O1183" s="0" t="str">
        <f aca="false">IF(AND(COUNTA($A1183:$J1183)&gt;0,OR(클레임조회!$C$4="",AND(ISNUMBER($B1183),$B1183&gt;=클레임조회!$C$4)),OR(클레임조회!$C$5="",AND(ISNUMBER($B1183),$B1183&lt;=클레임조회!$C$5)),OR(클레임조회!$C$6="",$C1183=클레임조회!$C$6),OR(클레임조회!$C$7="",$D1183=클레임조회!$C$7),OR(클레임조회!$C$8="",$E1183=클레임조회!$C$8),OR(클레임조회!$C$9="",$F1183=클레임조회!$C$9),OR(클레임조회!$C$10="",ISNUMBER(SEARCH(클레임조회!$C$10,$C1183&amp;" "&amp;$F1183&amp;" "&amp;$G1183&amp;" "&amp;$H1183)))),COUNT(O$1:O1182)+1,"")</f>
        <v/>
      </c>
      <c r="P1183" s="0" t="str">
        <f aca="false">IF(AND(TRIM(C1183)&lt;&gt;"",COUNTIF(C$2:C1183,C1183)=1),MAX(P$1:P1182)+1,"")</f>
        <v/>
      </c>
      <c r="Q1183" s="0" t="str">
        <f aca="false">IF(AND(TRIM(F1183)&lt;&gt;"",COUNTIF(F$2:F1183,F1183)=1),MAX(Q$1:Q1182)+1,"")</f>
        <v/>
      </c>
    </row>
    <row r="1184" customFormat="false" ht="15" hidden="false" customHeight="false" outlineLevel="0" collapsed="false">
      <c r="A1184" s="9"/>
      <c r="B1184" s="10"/>
      <c r="C1184" s="11"/>
      <c r="D1184" s="11"/>
      <c r="E1184" s="11"/>
      <c r="F1184" s="11"/>
      <c r="G1184" s="12"/>
      <c r="H1184" s="12"/>
      <c r="I1184" s="10"/>
      <c r="J1184" s="12"/>
      <c r="K1184" s="13" t="str">
        <f aca="false">IF(ISNUMBER(B1184),YEAR(B1184),"")</f>
        <v/>
      </c>
      <c r="L1184" s="13" t="str">
        <f aca="false">IF(ISNUMBER(B1184),MONTH(B1184),"")</f>
        <v/>
      </c>
      <c r="M1184" s="13" t="str">
        <f aca="false">IF(AND(ISNUMBER(B1184),ISNUMBER(I1184)),B1184-I1184+1,"")</f>
        <v/>
      </c>
      <c r="N1184" s="14" t="str">
        <f aca="false">IF(B1184="","",IF(M1184="","시작일 미입력",IF(M1184&lt;1,"시작일 이전(확인)",IF(M1184=1,"1일째",IF(M1184=2,"2일째",IF(M1184=3,"3일째",IF(M1184&lt;=7,"일주일 이내",IF(M1184&lt;=14,"이주일 이내","15일 이후"))))))))</f>
        <v/>
      </c>
      <c r="O1184" s="0" t="str">
        <f aca="false">IF(AND(COUNTA($A1184:$J1184)&gt;0,OR(클레임조회!$C$4="",AND(ISNUMBER($B1184),$B1184&gt;=클레임조회!$C$4)),OR(클레임조회!$C$5="",AND(ISNUMBER($B1184),$B1184&lt;=클레임조회!$C$5)),OR(클레임조회!$C$6="",$C1184=클레임조회!$C$6),OR(클레임조회!$C$7="",$D1184=클레임조회!$C$7),OR(클레임조회!$C$8="",$E1184=클레임조회!$C$8),OR(클레임조회!$C$9="",$F1184=클레임조회!$C$9),OR(클레임조회!$C$10="",ISNUMBER(SEARCH(클레임조회!$C$10,$C1184&amp;" "&amp;$F1184&amp;" "&amp;$G1184&amp;" "&amp;$H1184)))),COUNT(O$1:O1183)+1,"")</f>
        <v/>
      </c>
      <c r="P1184" s="0" t="str">
        <f aca="false">IF(AND(TRIM(C1184)&lt;&gt;"",COUNTIF(C$2:C1184,C1184)=1),MAX(P$1:P1183)+1,"")</f>
        <v/>
      </c>
      <c r="Q1184" s="0" t="str">
        <f aca="false">IF(AND(TRIM(F1184)&lt;&gt;"",COUNTIF(F$2:F1184,F1184)=1),MAX(Q$1:Q1183)+1,"")</f>
        <v/>
      </c>
    </row>
    <row r="1185" customFormat="false" ht="15" hidden="false" customHeight="false" outlineLevel="0" collapsed="false">
      <c r="A1185" s="9"/>
      <c r="B1185" s="10"/>
      <c r="C1185" s="11"/>
      <c r="D1185" s="11"/>
      <c r="E1185" s="11"/>
      <c r="F1185" s="11"/>
      <c r="G1185" s="12"/>
      <c r="H1185" s="12"/>
      <c r="I1185" s="10"/>
      <c r="J1185" s="12"/>
      <c r="K1185" s="13" t="str">
        <f aca="false">IF(ISNUMBER(B1185),YEAR(B1185),"")</f>
        <v/>
      </c>
      <c r="L1185" s="13" t="str">
        <f aca="false">IF(ISNUMBER(B1185),MONTH(B1185),"")</f>
        <v/>
      </c>
      <c r="M1185" s="13" t="str">
        <f aca="false">IF(AND(ISNUMBER(B1185),ISNUMBER(I1185)),B1185-I1185+1,"")</f>
        <v/>
      </c>
      <c r="N1185" s="14" t="str">
        <f aca="false">IF(B1185="","",IF(M1185="","시작일 미입력",IF(M1185&lt;1,"시작일 이전(확인)",IF(M1185=1,"1일째",IF(M1185=2,"2일째",IF(M1185=3,"3일째",IF(M1185&lt;=7,"일주일 이내",IF(M1185&lt;=14,"이주일 이내","15일 이후"))))))))</f>
        <v/>
      </c>
      <c r="O1185" s="0" t="str">
        <f aca="false">IF(AND(COUNTA($A1185:$J1185)&gt;0,OR(클레임조회!$C$4="",AND(ISNUMBER($B1185),$B1185&gt;=클레임조회!$C$4)),OR(클레임조회!$C$5="",AND(ISNUMBER($B1185),$B1185&lt;=클레임조회!$C$5)),OR(클레임조회!$C$6="",$C1185=클레임조회!$C$6),OR(클레임조회!$C$7="",$D1185=클레임조회!$C$7),OR(클레임조회!$C$8="",$E1185=클레임조회!$C$8),OR(클레임조회!$C$9="",$F1185=클레임조회!$C$9),OR(클레임조회!$C$10="",ISNUMBER(SEARCH(클레임조회!$C$10,$C1185&amp;" "&amp;$F1185&amp;" "&amp;$G1185&amp;" "&amp;$H1185)))),COUNT(O$1:O1184)+1,"")</f>
        <v/>
      </c>
      <c r="P1185" s="0" t="str">
        <f aca="false">IF(AND(TRIM(C1185)&lt;&gt;"",COUNTIF(C$2:C1185,C1185)=1),MAX(P$1:P1184)+1,"")</f>
        <v/>
      </c>
      <c r="Q1185" s="0" t="str">
        <f aca="false">IF(AND(TRIM(F1185)&lt;&gt;"",COUNTIF(F$2:F1185,F1185)=1),MAX(Q$1:Q1184)+1,"")</f>
        <v/>
      </c>
    </row>
    <row r="1186" customFormat="false" ht="15" hidden="false" customHeight="false" outlineLevel="0" collapsed="false">
      <c r="A1186" s="9"/>
      <c r="B1186" s="10"/>
      <c r="C1186" s="11"/>
      <c r="D1186" s="11"/>
      <c r="E1186" s="11"/>
      <c r="F1186" s="11"/>
      <c r="G1186" s="12"/>
      <c r="H1186" s="12"/>
      <c r="I1186" s="10"/>
      <c r="J1186" s="12"/>
      <c r="K1186" s="13" t="str">
        <f aca="false">IF(ISNUMBER(B1186),YEAR(B1186),"")</f>
        <v/>
      </c>
      <c r="L1186" s="13" t="str">
        <f aca="false">IF(ISNUMBER(B1186),MONTH(B1186),"")</f>
        <v/>
      </c>
      <c r="M1186" s="13" t="str">
        <f aca="false">IF(AND(ISNUMBER(B1186),ISNUMBER(I1186)),B1186-I1186+1,"")</f>
        <v/>
      </c>
      <c r="N1186" s="14" t="str">
        <f aca="false">IF(B1186="","",IF(M1186="","시작일 미입력",IF(M1186&lt;1,"시작일 이전(확인)",IF(M1186=1,"1일째",IF(M1186=2,"2일째",IF(M1186=3,"3일째",IF(M1186&lt;=7,"일주일 이내",IF(M1186&lt;=14,"이주일 이내","15일 이후"))))))))</f>
        <v/>
      </c>
      <c r="O1186" s="0" t="str">
        <f aca="false">IF(AND(COUNTA($A1186:$J1186)&gt;0,OR(클레임조회!$C$4="",AND(ISNUMBER($B1186),$B1186&gt;=클레임조회!$C$4)),OR(클레임조회!$C$5="",AND(ISNUMBER($B1186),$B1186&lt;=클레임조회!$C$5)),OR(클레임조회!$C$6="",$C1186=클레임조회!$C$6),OR(클레임조회!$C$7="",$D1186=클레임조회!$C$7),OR(클레임조회!$C$8="",$E1186=클레임조회!$C$8),OR(클레임조회!$C$9="",$F1186=클레임조회!$C$9),OR(클레임조회!$C$10="",ISNUMBER(SEARCH(클레임조회!$C$10,$C1186&amp;" "&amp;$F1186&amp;" "&amp;$G1186&amp;" "&amp;$H1186)))),COUNT(O$1:O1185)+1,"")</f>
        <v/>
      </c>
      <c r="P1186" s="0" t="str">
        <f aca="false">IF(AND(TRIM(C1186)&lt;&gt;"",COUNTIF(C$2:C1186,C1186)=1),MAX(P$1:P1185)+1,"")</f>
        <v/>
      </c>
      <c r="Q1186" s="0" t="str">
        <f aca="false">IF(AND(TRIM(F1186)&lt;&gt;"",COUNTIF(F$2:F1186,F1186)=1),MAX(Q$1:Q1185)+1,"")</f>
        <v/>
      </c>
    </row>
    <row r="1187" customFormat="false" ht="15" hidden="false" customHeight="false" outlineLevel="0" collapsed="false">
      <c r="A1187" s="9"/>
      <c r="B1187" s="10"/>
      <c r="C1187" s="11"/>
      <c r="D1187" s="11"/>
      <c r="E1187" s="11"/>
      <c r="F1187" s="11"/>
      <c r="G1187" s="12"/>
      <c r="H1187" s="12"/>
      <c r="I1187" s="10"/>
      <c r="J1187" s="12"/>
      <c r="K1187" s="13" t="str">
        <f aca="false">IF(ISNUMBER(B1187),YEAR(B1187),"")</f>
        <v/>
      </c>
      <c r="L1187" s="13" t="str">
        <f aca="false">IF(ISNUMBER(B1187),MONTH(B1187),"")</f>
        <v/>
      </c>
      <c r="M1187" s="13" t="str">
        <f aca="false">IF(AND(ISNUMBER(B1187),ISNUMBER(I1187)),B1187-I1187+1,"")</f>
        <v/>
      </c>
      <c r="N1187" s="14" t="str">
        <f aca="false">IF(B1187="","",IF(M1187="","시작일 미입력",IF(M1187&lt;1,"시작일 이전(확인)",IF(M1187=1,"1일째",IF(M1187=2,"2일째",IF(M1187=3,"3일째",IF(M1187&lt;=7,"일주일 이내",IF(M1187&lt;=14,"이주일 이내","15일 이후"))))))))</f>
        <v/>
      </c>
      <c r="O1187" s="0" t="str">
        <f aca="false">IF(AND(COUNTA($A1187:$J1187)&gt;0,OR(클레임조회!$C$4="",AND(ISNUMBER($B1187),$B1187&gt;=클레임조회!$C$4)),OR(클레임조회!$C$5="",AND(ISNUMBER($B1187),$B1187&lt;=클레임조회!$C$5)),OR(클레임조회!$C$6="",$C1187=클레임조회!$C$6),OR(클레임조회!$C$7="",$D1187=클레임조회!$C$7),OR(클레임조회!$C$8="",$E1187=클레임조회!$C$8),OR(클레임조회!$C$9="",$F1187=클레임조회!$C$9),OR(클레임조회!$C$10="",ISNUMBER(SEARCH(클레임조회!$C$10,$C1187&amp;" "&amp;$F1187&amp;" "&amp;$G1187&amp;" "&amp;$H1187)))),COUNT(O$1:O1186)+1,"")</f>
        <v/>
      </c>
      <c r="P1187" s="0" t="str">
        <f aca="false">IF(AND(TRIM(C1187)&lt;&gt;"",COUNTIF(C$2:C1187,C1187)=1),MAX(P$1:P1186)+1,"")</f>
        <v/>
      </c>
      <c r="Q1187" s="0" t="str">
        <f aca="false">IF(AND(TRIM(F1187)&lt;&gt;"",COUNTIF(F$2:F1187,F1187)=1),MAX(Q$1:Q1186)+1,"")</f>
        <v/>
      </c>
    </row>
    <row r="1188" customFormat="false" ht="15" hidden="false" customHeight="false" outlineLevel="0" collapsed="false">
      <c r="A1188" s="9"/>
      <c r="B1188" s="10"/>
      <c r="C1188" s="11"/>
      <c r="D1188" s="11"/>
      <c r="E1188" s="11"/>
      <c r="F1188" s="11"/>
      <c r="G1188" s="12"/>
      <c r="H1188" s="12"/>
      <c r="I1188" s="10"/>
      <c r="J1188" s="12"/>
      <c r="K1188" s="13" t="str">
        <f aca="false">IF(ISNUMBER(B1188),YEAR(B1188),"")</f>
        <v/>
      </c>
      <c r="L1188" s="13" t="str">
        <f aca="false">IF(ISNUMBER(B1188),MONTH(B1188),"")</f>
        <v/>
      </c>
      <c r="M1188" s="13" t="str">
        <f aca="false">IF(AND(ISNUMBER(B1188),ISNUMBER(I1188)),B1188-I1188+1,"")</f>
        <v/>
      </c>
      <c r="N1188" s="14" t="str">
        <f aca="false">IF(B1188="","",IF(M1188="","시작일 미입력",IF(M1188&lt;1,"시작일 이전(확인)",IF(M1188=1,"1일째",IF(M1188=2,"2일째",IF(M1188=3,"3일째",IF(M1188&lt;=7,"일주일 이내",IF(M1188&lt;=14,"이주일 이내","15일 이후"))))))))</f>
        <v/>
      </c>
      <c r="O1188" s="0" t="str">
        <f aca="false">IF(AND(COUNTA($A1188:$J1188)&gt;0,OR(클레임조회!$C$4="",AND(ISNUMBER($B1188),$B1188&gt;=클레임조회!$C$4)),OR(클레임조회!$C$5="",AND(ISNUMBER($B1188),$B1188&lt;=클레임조회!$C$5)),OR(클레임조회!$C$6="",$C1188=클레임조회!$C$6),OR(클레임조회!$C$7="",$D1188=클레임조회!$C$7),OR(클레임조회!$C$8="",$E1188=클레임조회!$C$8),OR(클레임조회!$C$9="",$F1188=클레임조회!$C$9),OR(클레임조회!$C$10="",ISNUMBER(SEARCH(클레임조회!$C$10,$C1188&amp;" "&amp;$F1188&amp;" "&amp;$G1188&amp;" "&amp;$H1188)))),COUNT(O$1:O1187)+1,"")</f>
        <v/>
      </c>
      <c r="P1188" s="0" t="str">
        <f aca="false">IF(AND(TRIM(C1188)&lt;&gt;"",COUNTIF(C$2:C1188,C1188)=1),MAX(P$1:P1187)+1,"")</f>
        <v/>
      </c>
      <c r="Q1188" s="0" t="str">
        <f aca="false">IF(AND(TRIM(F1188)&lt;&gt;"",COUNTIF(F$2:F1188,F1188)=1),MAX(Q$1:Q1187)+1,"")</f>
        <v/>
      </c>
    </row>
    <row r="1189" customFormat="false" ht="15" hidden="false" customHeight="false" outlineLevel="0" collapsed="false">
      <c r="A1189" s="9"/>
      <c r="B1189" s="10"/>
      <c r="C1189" s="11"/>
      <c r="D1189" s="11"/>
      <c r="E1189" s="11"/>
      <c r="F1189" s="11"/>
      <c r="G1189" s="12"/>
      <c r="H1189" s="12"/>
      <c r="I1189" s="10"/>
      <c r="J1189" s="12"/>
      <c r="K1189" s="13" t="str">
        <f aca="false">IF(ISNUMBER(B1189),YEAR(B1189),"")</f>
        <v/>
      </c>
      <c r="L1189" s="13" t="str">
        <f aca="false">IF(ISNUMBER(B1189),MONTH(B1189),"")</f>
        <v/>
      </c>
      <c r="M1189" s="13" t="str">
        <f aca="false">IF(AND(ISNUMBER(B1189),ISNUMBER(I1189)),B1189-I1189+1,"")</f>
        <v/>
      </c>
      <c r="N1189" s="14" t="str">
        <f aca="false">IF(B1189="","",IF(M1189="","시작일 미입력",IF(M1189&lt;1,"시작일 이전(확인)",IF(M1189=1,"1일째",IF(M1189=2,"2일째",IF(M1189=3,"3일째",IF(M1189&lt;=7,"일주일 이내",IF(M1189&lt;=14,"이주일 이내","15일 이후"))))))))</f>
        <v/>
      </c>
      <c r="O1189" s="0" t="str">
        <f aca="false">IF(AND(COUNTA($A1189:$J1189)&gt;0,OR(클레임조회!$C$4="",AND(ISNUMBER($B1189),$B1189&gt;=클레임조회!$C$4)),OR(클레임조회!$C$5="",AND(ISNUMBER($B1189),$B1189&lt;=클레임조회!$C$5)),OR(클레임조회!$C$6="",$C1189=클레임조회!$C$6),OR(클레임조회!$C$7="",$D1189=클레임조회!$C$7),OR(클레임조회!$C$8="",$E1189=클레임조회!$C$8),OR(클레임조회!$C$9="",$F1189=클레임조회!$C$9),OR(클레임조회!$C$10="",ISNUMBER(SEARCH(클레임조회!$C$10,$C1189&amp;" "&amp;$F1189&amp;" "&amp;$G1189&amp;" "&amp;$H1189)))),COUNT(O$1:O1188)+1,"")</f>
        <v/>
      </c>
      <c r="P1189" s="0" t="str">
        <f aca="false">IF(AND(TRIM(C1189)&lt;&gt;"",COUNTIF(C$2:C1189,C1189)=1),MAX(P$1:P1188)+1,"")</f>
        <v/>
      </c>
      <c r="Q1189" s="0" t="str">
        <f aca="false">IF(AND(TRIM(F1189)&lt;&gt;"",COUNTIF(F$2:F1189,F1189)=1),MAX(Q$1:Q1188)+1,"")</f>
        <v/>
      </c>
    </row>
    <row r="1190" customFormat="false" ht="15" hidden="false" customHeight="false" outlineLevel="0" collapsed="false">
      <c r="A1190" s="9"/>
      <c r="B1190" s="10"/>
      <c r="C1190" s="11"/>
      <c r="D1190" s="11"/>
      <c r="E1190" s="11"/>
      <c r="F1190" s="11"/>
      <c r="G1190" s="12"/>
      <c r="H1190" s="12"/>
      <c r="I1190" s="10"/>
      <c r="J1190" s="12"/>
      <c r="K1190" s="13" t="str">
        <f aca="false">IF(ISNUMBER(B1190),YEAR(B1190),"")</f>
        <v/>
      </c>
      <c r="L1190" s="13" t="str">
        <f aca="false">IF(ISNUMBER(B1190),MONTH(B1190),"")</f>
        <v/>
      </c>
      <c r="M1190" s="13" t="str">
        <f aca="false">IF(AND(ISNUMBER(B1190),ISNUMBER(I1190)),B1190-I1190+1,"")</f>
        <v/>
      </c>
      <c r="N1190" s="14" t="str">
        <f aca="false">IF(B1190="","",IF(M1190="","시작일 미입력",IF(M1190&lt;1,"시작일 이전(확인)",IF(M1190=1,"1일째",IF(M1190=2,"2일째",IF(M1190=3,"3일째",IF(M1190&lt;=7,"일주일 이내",IF(M1190&lt;=14,"이주일 이내","15일 이후"))))))))</f>
        <v/>
      </c>
      <c r="O1190" s="0" t="str">
        <f aca="false">IF(AND(COUNTA($A1190:$J1190)&gt;0,OR(클레임조회!$C$4="",AND(ISNUMBER($B1190),$B1190&gt;=클레임조회!$C$4)),OR(클레임조회!$C$5="",AND(ISNUMBER($B1190),$B1190&lt;=클레임조회!$C$5)),OR(클레임조회!$C$6="",$C1190=클레임조회!$C$6),OR(클레임조회!$C$7="",$D1190=클레임조회!$C$7),OR(클레임조회!$C$8="",$E1190=클레임조회!$C$8),OR(클레임조회!$C$9="",$F1190=클레임조회!$C$9),OR(클레임조회!$C$10="",ISNUMBER(SEARCH(클레임조회!$C$10,$C1190&amp;" "&amp;$F1190&amp;" "&amp;$G1190&amp;" "&amp;$H1190)))),COUNT(O$1:O1189)+1,"")</f>
        <v/>
      </c>
      <c r="P1190" s="0" t="str">
        <f aca="false">IF(AND(TRIM(C1190)&lt;&gt;"",COUNTIF(C$2:C1190,C1190)=1),MAX(P$1:P1189)+1,"")</f>
        <v/>
      </c>
      <c r="Q1190" s="0" t="str">
        <f aca="false">IF(AND(TRIM(F1190)&lt;&gt;"",COUNTIF(F$2:F1190,F1190)=1),MAX(Q$1:Q1189)+1,"")</f>
        <v/>
      </c>
    </row>
    <row r="1191" customFormat="false" ht="15" hidden="false" customHeight="false" outlineLevel="0" collapsed="false">
      <c r="A1191" s="9"/>
      <c r="B1191" s="10"/>
      <c r="C1191" s="11"/>
      <c r="D1191" s="11"/>
      <c r="E1191" s="11"/>
      <c r="F1191" s="11"/>
      <c r="G1191" s="12"/>
      <c r="H1191" s="12"/>
      <c r="I1191" s="10"/>
      <c r="J1191" s="12"/>
      <c r="K1191" s="13" t="str">
        <f aca="false">IF(ISNUMBER(B1191),YEAR(B1191),"")</f>
        <v/>
      </c>
      <c r="L1191" s="13" t="str">
        <f aca="false">IF(ISNUMBER(B1191),MONTH(B1191),"")</f>
        <v/>
      </c>
      <c r="M1191" s="13" t="str">
        <f aca="false">IF(AND(ISNUMBER(B1191),ISNUMBER(I1191)),B1191-I1191+1,"")</f>
        <v/>
      </c>
      <c r="N1191" s="14" t="str">
        <f aca="false">IF(B1191="","",IF(M1191="","시작일 미입력",IF(M1191&lt;1,"시작일 이전(확인)",IF(M1191=1,"1일째",IF(M1191=2,"2일째",IF(M1191=3,"3일째",IF(M1191&lt;=7,"일주일 이내",IF(M1191&lt;=14,"이주일 이내","15일 이후"))))))))</f>
        <v/>
      </c>
      <c r="O1191" s="0" t="str">
        <f aca="false">IF(AND(COUNTA($A1191:$J1191)&gt;0,OR(클레임조회!$C$4="",AND(ISNUMBER($B1191),$B1191&gt;=클레임조회!$C$4)),OR(클레임조회!$C$5="",AND(ISNUMBER($B1191),$B1191&lt;=클레임조회!$C$5)),OR(클레임조회!$C$6="",$C1191=클레임조회!$C$6),OR(클레임조회!$C$7="",$D1191=클레임조회!$C$7),OR(클레임조회!$C$8="",$E1191=클레임조회!$C$8),OR(클레임조회!$C$9="",$F1191=클레임조회!$C$9),OR(클레임조회!$C$10="",ISNUMBER(SEARCH(클레임조회!$C$10,$C1191&amp;" "&amp;$F1191&amp;" "&amp;$G1191&amp;" "&amp;$H1191)))),COUNT(O$1:O1190)+1,"")</f>
        <v/>
      </c>
      <c r="P1191" s="0" t="str">
        <f aca="false">IF(AND(TRIM(C1191)&lt;&gt;"",COUNTIF(C$2:C1191,C1191)=1),MAX(P$1:P1190)+1,"")</f>
        <v/>
      </c>
      <c r="Q1191" s="0" t="str">
        <f aca="false">IF(AND(TRIM(F1191)&lt;&gt;"",COUNTIF(F$2:F1191,F1191)=1),MAX(Q$1:Q1190)+1,"")</f>
        <v/>
      </c>
    </row>
    <row r="1192" customFormat="false" ht="15" hidden="false" customHeight="false" outlineLevel="0" collapsed="false">
      <c r="A1192" s="9"/>
      <c r="B1192" s="10"/>
      <c r="C1192" s="11"/>
      <c r="D1192" s="11"/>
      <c r="E1192" s="11"/>
      <c r="F1192" s="11"/>
      <c r="G1192" s="12"/>
      <c r="H1192" s="12"/>
      <c r="I1192" s="10"/>
      <c r="J1192" s="12"/>
      <c r="K1192" s="13" t="str">
        <f aca="false">IF(ISNUMBER(B1192),YEAR(B1192),"")</f>
        <v/>
      </c>
      <c r="L1192" s="13" t="str">
        <f aca="false">IF(ISNUMBER(B1192),MONTH(B1192),"")</f>
        <v/>
      </c>
      <c r="M1192" s="13" t="str">
        <f aca="false">IF(AND(ISNUMBER(B1192),ISNUMBER(I1192)),B1192-I1192+1,"")</f>
        <v/>
      </c>
      <c r="N1192" s="14" t="str">
        <f aca="false">IF(B1192="","",IF(M1192="","시작일 미입력",IF(M1192&lt;1,"시작일 이전(확인)",IF(M1192=1,"1일째",IF(M1192=2,"2일째",IF(M1192=3,"3일째",IF(M1192&lt;=7,"일주일 이내",IF(M1192&lt;=14,"이주일 이내","15일 이후"))))))))</f>
        <v/>
      </c>
      <c r="O1192" s="0" t="str">
        <f aca="false">IF(AND(COUNTA($A1192:$J1192)&gt;0,OR(클레임조회!$C$4="",AND(ISNUMBER($B1192),$B1192&gt;=클레임조회!$C$4)),OR(클레임조회!$C$5="",AND(ISNUMBER($B1192),$B1192&lt;=클레임조회!$C$5)),OR(클레임조회!$C$6="",$C1192=클레임조회!$C$6),OR(클레임조회!$C$7="",$D1192=클레임조회!$C$7),OR(클레임조회!$C$8="",$E1192=클레임조회!$C$8),OR(클레임조회!$C$9="",$F1192=클레임조회!$C$9),OR(클레임조회!$C$10="",ISNUMBER(SEARCH(클레임조회!$C$10,$C1192&amp;" "&amp;$F1192&amp;" "&amp;$G1192&amp;" "&amp;$H1192)))),COUNT(O$1:O1191)+1,"")</f>
        <v/>
      </c>
      <c r="P1192" s="0" t="str">
        <f aca="false">IF(AND(TRIM(C1192)&lt;&gt;"",COUNTIF(C$2:C1192,C1192)=1),MAX(P$1:P1191)+1,"")</f>
        <v/>
      </c>
      <c r="Q1192" s="0" t="str">
        <f aca="false">IF(AND(TRIM(F1192)&lt;&gt;"",COUNTIF(F$2:F1192,F1192)=1),MAX(Q$1:Q1191)+1,"")</f>
        <v/>
      </c>
    </row>
    <row r="1193" customFormat="false" ht="15" hidden="false" customHeight="false" outlineLevel="0" collapsed="false">
      <c r="A1193" s="9"/>
      <c r="B1193" s="10"/>
      <c r="C1193" s="11"/>
      <c r="D1193" s="11"/>
      <c r="E1193" s="11"/>
      <c r="F1193" s="11"/>
      <c r="G1193" s="12"/>
      <c r="H1193" s="12"/>
      <c r="I1193" s="10"/>
      <c r="J1193" s="12"/>
      <c r="K1193" s="13" t="str">
        <f aca="false">IF(ISNUMBER(B1193),YEAR(B1193),"")</f>
        <v/>
      </c>
      <c r="L1193" s="13" t="str">
        <f aca="false">IF(ISNUMBER(B1193),MONTH(B1193),"")</f>
        <v/>
      </c>
      <c r="M1193" s="13" t="str">
        <f aca="false">IF(AND(ISNUMBER(B1193),ISNUMBER(I1193)),B1193-I1193+1,"")</f>
        <v/>
      </c>
      <c r="N1193" s="14" t="str">
        <f aca="false">IF(B1193="","",IF(M1193="","시작일 미입력",IF(M1193&lt;1,"시작일 이전(확인)",IF(M1193=1,"1일째",IF(M1193=2,"2일째",IF(M1193=3,"3일째",IF(M1193&lt;=7,"일주일 이내",IF(M1193&lt;=14,"이주일 이내","15일 이후"))))))))</f>
        <v/>
      </c>
      <c r="O1193" s="0" t="str">
        <f aca="false">IF(AND(COUNTA($A1193:$J1193)&gt;0,OR(클레임조회!$C$4="",AND(ISNUMBER($B1193),$B1193&gt;=클레임조회!$C$4)),OR(클레임조회!$C$5="",AND(ISNUMBER($B1193),$B1193&lt;=클레임조회!$C$5)),OR(클레임조회!$C$6="",$C1193=클레임조회!$C$6),OR(클레임조회!$C$7="",$D1193=클레임조회!$C$7),OR(클레임조회!$C$8="",$E1193=클레임조회!$C$8),OR(클레임조회!$C$9="",$F1193=클레임조회!$C$9),OR(클레임조회!$C$10="",ISNUMBER(SEARCH(클레임조회!$C$10,$C1193&amp;" "&amp;$F1193&amp;" "&amp;$G1193&amp;" "&amp;$H1193)))),COUNT(O$1:O1192)+1,"")</f>
        <v/>
      </c>
      <c r="P1193" s="0" t="str">
        <f aca="false">IF(AND(TRIM(C1193)&lt;&gt;"",COUNTIF(C$2:C1193,C1193)=1),MAX(P$1:P1192)+1,"")</f>
        <v/>
      </c>
      <c r="Q1193" s="0" t="str">
        <f aca="false">IF(AND(TRIM(F1193)&lt;&gt;"",COUNTIF(F$2:F1193,F1193)=1),MAX(Q$1:Q1192)+1,"")</f>
        <v/>
      </c>
    </row>
    <row r="1194" customFormat="false" ht="15" hidden="false" customHeight="false" outlineLevel="0" collapsed="false">
      <c r="A1194" s="9"/>
      <c r="B1194" s="10"/>
      <c r="C1194" s="11"/>
      <c r="D1194" s="11"/>
      <c r="E1194" s="11"/>
      <c r="F1194" s="11"/>
      <c r="G1194" s="12"/>
      <c r="H1194" s="12"/>
      <c r="I1194" s="10"/>
      <c r="J1194" s="12"/>
      <c r="K1194" s="13" t="str">
        <f aca="false">IF(ISNUMBER(B1194),YEAR(B1194),"")</f>
        <v/>
      </c>
      <c r="L1194" s="13" t="str">
        <f aca="false">IF(ISNUMBER(B1194),MONTH(B1194),"")</f>
        <v/>
      </c>
      <c r="M1194" s="13" t="str">
        <f aca="false">IF(AND(ISNUMBER(B1194),ISNUMBER(I1194)),B1194-I1194+1,"")</f>
        <v/>
      </c>
      <c r="N1194" s="14" t="str">
        <f aca="false">IF(B1194="","",IF(M1194="","시작일 미입력",IF(M1194&lt;1,"시작일 이전(확인)",IF(M1194=1,"1일째",IF(M1194=2,"2일째",IF(M1194=3,"3일째",IF(M1194&lt;=7,"일주일 이내",IF(M1194&lt;=14,"이주일 이내","15일 이후"))))))))</f>
        <v/>
      </c>
      <c r="O1194" s="0" t="str">
        <f aca="false">IF(AND(COUNTA($A1194:$J1194)&gt;0,OR(클레임조회!$C$4="",AND(ISNUMBER($B1194),$B1194&gt;=클레임조회!$C$4)),OR(클레임조회!$C$5="",AND(ISNUMBER($B1194),$B1194&lt;=클레임조회!$C$5)),OR(클레임조회!$C$6="",$C1194=클레임조회!$C$6),OR(클레임조회!$C$7="",$D1194=클레임조회!$C$7),OR(클레임조회!$C$8="",$E1194=클레임조회!$C$8),OR(클레임조회!$C$9="",$F1194=클레임조회!$C$9),OR(클레임조회!$C$10="",ISNUMBER(SEARCH(클레임조회!$C$10,$C1194&amp;" "&amp;$F1194&amp;" "&amp;$G1194&amp;" "&amp;$H1194)))),COUNT(O$1:O1193)+1,"")</f>
        <v/>
      </c>
      <c r="P1194" s="0" t="str">
        <f aca="false">IF(AND(TRIM(C1194)&lt;&gt;"",COUNTIF(C$2:C1194,C1194)=1),MAX(P$1:P1193)+1,"")</f>
        <v/>
      </c>
      <c r="Q1194" s="0" t="str">
        <f aca="false">IF(AND(TRIM(F1194)&lt;&gt;"",COUNTIF(F$2:F1194,F1194)=1),MAX(Q$1:Q1193)+1,"")</f>
        <v/>
      </c>
    </row>
    <row r="1195" customFormat="false" ht="15" hidden="false" customHeight="false" outlineLevel="0" collapsed="false">
      <c r="A1195" s="9"/>
      <c r="B1195" s="10"/>
      <c r="C1195" s="11"/>
      <c r="D1195" s="11"/>
      <c r="E1195" s="11"/>
      <c r="F1195" s="11"/>
      <c r="G1195" s="12"/>
      <c r="H1195" s="12"/>
      <c r="I1195" s="10"/>
      <c r="J1195" s="12"/>
      <c r="K1195" s="13" t="str">
        <f aca="false">IF(ISNUMBER(B1195),YEAR(B1195),"")</f>
        <v/>
      </c>
      <c r="L1195" s="13" t="str">
        <f aca="false">IF(ISNUMBER(B1195),MONTH(B1195),"")</f>
        <v/>
      </c>
      <c r="M1195" s="13" t="str">
        <f aca="false">IF(AND(ISNUMBER(B1195),ISNUMBER(I1195)),B1195-I1195+1,"")</f>
        <v/>
      </c>
      <c r="N1195" s="14" t="str">
        <f aca="false">IF(B1195="","",IF(M1195="","시작일 미입력",IF(M1195&lt;1,"시작일 이전(확인)",IF(M1195=1,"1일째",IF(M1195=2,"2일째",IF(M1195=3,"3일째",IF(M1195&lt;=7,"일주일 이내",IF(M1195&lt;=14,"이주일 이내","15일 이후"))))))))</f>
        <v/>
      </c>
      <c r="O1195" s="0" t="str">
        <f aca="false">IF(AND(COUNTA($A1195:$J1195)&gt;0,OR(클레임조회!$C$4="",AND(ISNUMBER($B1195),$B1195&gt;=클레임조회!$C$4)),OR(클레임조회!$C$5="",AND(ISNUMBER($B1195),$B1195&lt;=클레임조회!$C$5)),OR(클레임조회!$C$6="",$C1195=클레임조회!$C$6),OR(클레임조회!$C$7="",$D1195=클레임조회!$C$7),OR(클레임조회!$C$8="",$E1195=클레임조회!$C$8),OR(클레임조회!$C$9="",$F1195=클레임조회!$C$9),OR(클레임조회!$C$10="",ISNUMBER(SEARCH(클레임조회!$C$10,$C1195&amp;" "&amp;$F1195&amp;" "&amp;$G1195&amp;" "&amp;$H1195)))),COUNT(O$1:O1194)+1,"")</f>
        <v/>
      </c>
      <c r="P1195" s="0" t="str">
        <f aca="false">IF(AND(TRIM(C1195)&lt;&gt;"",COUNTIF(C$2:C1195,C1195)=1),MAX(P$1:P1194)+1,"")</f>
        <v/>
      </c>
      <c r="Q1195" s="0" t="str">
        <f aca="false">IF(AND(TRIM(F1195)&lt;&gt;"",COUNTIF(F$2:F1195,F1195)=1),MAX(Q$1:Q1194)+1,"")</f>
        <v/>
      </c>
    </row>
    <row r="1196" customFormat="false" ht="15" hidden="false" customHeight="false" outlineLevel="0" collapsed="false">
      <c r="A1196" s="9"/>
      <c r="B1196" s="10"/>
      <c r="C1196" s="11"/>
      <c r="D1196" s="11"/>
      <c r="E1196" s="11"/>
      <c r="F1196" s="11"/>
      <c r="G1196" s="12"/>
      <c r="H1196" s="12"/>
      <c r="I1196" s="10"/>
      <c r="J1196" s="12"/>
      <c r="K1196" s="13" t="str">
        <f aca="false">IF(ISNUMBER(B1196),YEAR(B1196),"")</f>
        <v/>
      </c>
      <c r="L1196" s="13" t="str">
        <f aca="false">IF(ISNUMBER(B1196),MONTH(B1196),"")</f>
        <v/>
      </c>
      <c r="M1196" s="13" t="str">
        <f aca="false">IF(AND(ISNUMBER(B1196),ISNUMBER(I1196)),B1196-I1196+1,"")</f>
        <v/>
      </c>
      <c r="N1196" s="14" t="str">
        <f aca="false">IF(B1196="","",IF(M1196="","시작일 미입력",IF(M1196&lt;1,"시작일 이전(확인)",IF(M1196=1,"1일째",IF(M1196=2,"2일째",IF(M1196=3,"3일째",IF(M1196&lt;=7,"일주일 이내",IF(M1196&lt;=14,"이주일 이내","15일 이후"))))))))</f>
        <v/>
      </c>
      <c r="O1196" s="0" t="str">
        <f aca="false">IF(AND(COUNTA($A1196:$J1196)&gt;0,OR(클레임조회!$C$4="",AND(ISNUMBER($B1196),$B1196&gt;=클레임조회!$C$4)),OR(클레임조회!$C$5="",AND(ISNUMBER($B1196),$B1196&lt;=클레임조회!$C$5)),OR(클레임조회!$C$6="",$C1196=클레임조회!$C$6),OR(클레임조회!$C$7="",$D1196=클레임조회!$C$7),OR(클레임조회!$C$8="",$E1196=클레임조회!$C$8),OR(클레임조회!$C$9="",$F1196=클레임조회!$C$9),OR(클레임조회!$C$10="",ISNUMBER(SEARCH(클레임조회!$C$10,$C1196&amp;" "&amp;$F1196&amp;" "&amp;$G1196&amp;" "&amp;$H1196)))),COUNT(O$1:O1195)+1,"")</f>
        <v/>
      </c>
      <c r="P1196" s="0" t="str">
        <f aca="false">IF(AND(TRIM(C1196)&lt;&gt;"",COUNTIF(C$2:C1196,C1196)=1),MAX(P$1:P1195)+1,"")</f>
        <v/>
      </c>
      <c r="Q1196" s="0" t="str">
        <f aca="false">IF(AND(TRIM(F1196)&lt;&gt;"",COUNTIF(F$2:F1196,F1196)=1),MAX(Q$1:Q1195)+1,"")</f>
        <v/>
      </c>
    </row>
    <row r="1197" customFormat="false" ht="15" hidden="false" customHeight="false" outlineLevel="0" collapsed="false">
      <c r="A1197" s="9"/>
      <c r="B1197" s="10"/>
      <c r="C1197" s="11"/>
      <c r="D1197" s="11"/>
      <c r="E1197" s="11"/>
      <c r="F1197" s="11"/>
      <c r="G1197" s="12"/>
      <c r="H1197" s="12"/>
      <c r="I1197" s="10"/>
      <c r="J1197" s="12"/>
      <c r="K1197" s="13" t="str">
        <f aca="false">IF(ISNUMBER(B1197),YEAR(B1197),"")</f>
        <v/>
      </c>
      <c r="L1197" s="13" t="str">
        <f aca="false">IF(ISNUMBER(B1197),MONTH(B1197),"")</f>
        <v/>
      </c>
      <c r="M1197" s="13" t="str">
        <f aca="false">IF(AND(ISNUMBER(B1197),ISNUMBER(I1197)),B1197-I1197+1,"")</f>
        <v/>
      </c>
      <c r="N1197" s="14" t="str">
        <f aca="false">IF(B1197="","",IF(M1197="","시작일 미입력",IF(M1197&lt;1,"시작일 이전(확인)",IF(M1197=1,"1일째",IF(M1197=2,"2일째",IF(M1197=3,"3일째",IF(M1197&lt;=7,"일주일 이내",IF(M1197&lt;=14,"이주일 이내","15일 이후"))))))))</f>
        <v/>
      </c>
      <c r="O1197" s="0" t="str">
        <f aca="false">IF(AND(COUNTA($A1197:$J1197)&gt;0,OR(클레임조회!$C$4="",AND(ISNUMBER($B1197),$B1197&gt;=클레임조회!$C$4)),OR(클레임조회!$C$5="",AND(ISNUMBER($B1197),$B1197&lt;=클레임조회!$C$5)),OR(클레임조회!$C$6="",$C1197=클레임조회!$C$6),OR(클레임조회!$C$7="",$D1197=클레임조회!$C$7),OR(클레임조회!$C$8="",$E1197=클레임조회!$C$8),OR(클레임조회!$C$9="",$F1197=클레임조회!$C$9),OR(클레임조회!$C$10="",ISNUMBER(SEARCH(클레임조회!$C$10,$C1197&amp;" "&amp;$F1197&amp;" "&amp;$G1197&amp;" "&amp;$H1197)))),COUNT(O$1:O1196)+1,"")</f>
        <v/>
      </c>
      <c r="P1197" s="0" t="str">
        <f aca="false">IF(AND(TRIM(C1197)&lt;&gt;"",COUNTIF(C$2:C1197,C1197)=1),MAX(P$1:P1196)+1,"")</f>
        <v/>
      </c>
      <c r="Q1197" s="0" t="str">
        <f aca="false">IF(AND(TRIM(F1197)&lt;&gt;"",COUNTIF(F$2:F1197,F1197)=1),MAX(Q$1:Q1196)+1,"")</f>
        <v/>
      </c>
    </row>
    <row r="1198" customFormat="false" ht="15" hidden="false" customHeight="false" outlineLevel="0" collapsed="false">
      <c r="A1198" s="9"/>
      <c r="B1198" s="10"/>
      <c r="C1198" s="11"/>
      <c r="D1198" s="11"/>
      <c r="E1198" s="11"/>
      <c r="F1198" s="11"/>
      <c r="G1198" s="12"/>
      <c r="H1198" s="12"/>
      <c r="I1198" s="10"/>
      <c r="J1198" s="12"/>
      <c r="K1198" s="13" t="str">
        <f aca="false">IF(ISNUMBER(B1198),YEAR(B1198),"")</f>
        <v/>
      </c>
      <c r="L1198" s="13" t="str">
        <f aca="false">IF(ISNUMBER(B1198),MONTH(B1198),"")</f>
        <v/>
      </c>
      <c r="M1198" s="13" t="str">
        <f aca="false">IF(AND(ISNUMBER(B1198),ISNUMBER(I1198)),B1198-I1198+1,"")</f>
        <v/>
      </c>
      <c r="N1198" s="14" t="str">
        <f aca="false">IF(B1198="","",IF(M1198="","시작일 미입력",IF(M1198&lt;1,"시작일 이전(확인)",IF(M1198=1,"1일째",IF(M1198=2,"2일째",IF(M1198=3,"3일째",IF(M1198&lt;=7,"일주일 이내",IF(M1198&lt;=14,"이주일 이내","15일 이후"))))))))</f>
        <v/>
      </c>
      <c r="O1198" s="0" t="str">
        <f aca="false">IF(AND(COUNTA($A1198:$J1198)&gt;0,OR(클레임조회!$C$4="",AND(ISNUMBER($B1198),$B1198&gt;=클레임조회!$C$4)),OR(클레임조회!$C$5="",AND(ISNUMBER($B1198),$B1198&lt;=클레임조회!$C$5)),OR(클레임조회!$C$6="",$C1198=클레임조회!$C$6),OR(클레임조회!$C$7="",$D1198=클레임조회!$C$7),OR(클레임조회!$C$8="",$E1198=클레임조회!$C$8),OR(클레임조회!$C$9="",$F1198=클레임조회!$C$9),OR(클레임조회!$C$10="",ISNUMBER(SEARCH(클레임조회!$C$10,$C1198&amp;" "&amp;$F1198&amp;" "&amp;$G1198&amp;" "&amp;$H1198)))),COUNT(O$1:O1197)+1,"")</f>
        <v/>
      </c>
      <c r="P1198" s="0" t="str">
        <f aca="false">IF(AND(TRIM(C1198)&lt;&gt;"",COUNTIF(C$2:C1198,C1198)=1),MAX(P$1:P1197)+1,"")</f>
        <v/>
      </c>
      <c r="Q1198" s="0" t="str">
        <f aca="false">IF(AND(TRIM(F1198)&lt;&gt;"",COUNTIF(F$2:F1198,F1198)=1),MAX(Q$1:Q1197)+1,"")</f>
        <v/>
      </c>
    </row>
    <row r="1199" customFormat="false" ht="15" hidden="false" customHeight="false" outlineLevel="0" collapsed="false">
      <c r="A1199" s="9"/>
      <c r="B1199" s="10"/>
      <c r="C1199" s="11"/>
      <c r="D1199" s="11"/>
      <c r="E1199" s="11"/>
      <c r="F1199" s="11"/>
      <c r="G1199" s="12"/>
      <c r="H1199" s="12"/>
      <c r="I1199" s="10"/>
      <c r="J1199" s="12"/>
      <c r="K1199" s="13" t="str">
        <f aca="false">IF(ISNUMBER(B1199),YEAR(B1199),"")</f>
        <v/>
      </c>
      <c r="L1199" s="13" t="str">
        <f aca="false">IF(ISNUMBER(B1199),MONTH(B1199),"")</f>
        <v/>
      </c>
      <c r="M1199" s="13" t="str">
        <f aca="false">IF(AND(ISNUMBER(B1199),ISNUMBER(I1199)),B1199-I1199+1,"")</f>
        <v/>
      </c>
      <c r="N1199" s="14" t="str">
        <f aca="false">IF(B1199="","",IF(M1199="","시작일 미입력",IF(M1199&lt;1,"시작일 이전(확인)",IF(M1199=1,"1일째",IF(M1199=2,"2일째",IF(M1199=3,"3일째",IF(M1199&lt;=7,"일주일 이내",IF(M1199&lt;=14,"이주일 이내","15일 이후"))))))))</f>
        <v/>
      </c>
      <c r="O1199" s="0" t="str">
        <f aca="false">IF(AND(COUNTA($A1199:$J1199)&gt;0,OR(클레임조회!$C$4="",AND(ISNUMBER($B1199),$B1199&gt;=클레임조회!$C$4)),OR(클레임조회!$C$5="",AND(ISNUMBER($B1199),$B1199&lt;=클레임조회!$C$5)),OR(클레임조회!$C$6="",$C1199=클레임조회!$C$6),OR(클레임조회!$C$7="",$D1199=클레임조회!$C$7),OR(클레임조회!$C$8="",$E1199=클레임조회!$C$8),OR(클레임조회!$C$9="",$F1199=클레임조회!$C$9),OR(클레임조회!$C$10="",ISNUMBER(SEARCH(클레임조회!$C$10,$C1199&amp;" "&amp;$F1199&amp;" "&amp;$G1199&amp;" "&amp;$H1199)))),COUNT(O$1:O1198)+1,"")</f>
        <v/>
      </c>
      <c r="P1199" s="0" t="str">
        <f aca="false">IF(AND(TRIM(C1199)&lt;&gt;"",COUNTIF(C$2:C1199,C1199)=1),MAX(P$1:P1198)+1,"")</f>
        <v/>
      </c>
      <c r="Q1199" s="0" t="str">
        <f aca="false">IF(AND(TRIM(F1199)&lt;&gt;"",COUNTIF(F$2:F1199,F1199)=1),MAX(Q$1:Q1198)+1,"")</f>
        <v/>
      </c>
    </row>
    <row r="1200" customFormat="false" ht="15" hidden="false" customHeight="false" outlineLevel="0" collapsed="false">
      <c r="A1200" s="9"/>
      <c r="B1200" s="10"/>
      <c r="C1200" s="11"/>
      <c r="D1200" s="11"/>
      <c r="E1200" s="11"/>
      <c r="F1200" s="11"/>
      <c r="G1200" s="12"/>
      <c r="H1200" s="12"/>
      <c r="I1200" s="10"/>
      <c r="J1200" s="12"/>
      <c r="K1200" s="13" t="str">
        <f aca="false">IF(ISNUMBER(B1200),YEAR(B1200),"")</f>
        <v/>
      </c>
      <c r="L1200" s="13" t="str">
        <f aca="false">IF(ISNUMBER(B1200),MONTH(B1200),"")</f>
        <v/>
      </c>
      <c r="M1200" s="13" t="str">
        <f aca="false">IF(AND(ISNUMBER(B1200),ISNUMBER(I1200)),B1200-I1200+1,"")</f>
        <v/>
      </c>
      <c r="N1200" s="14" t="str">
        <f aca="false">IF(B1200="","",IF(M1200="","시작일 미입력",IF(M1200&lt;1,"시작일 이전(확인)",IF(M1200=1,"1일째",IF(M1200=2,"2일째",IF(M1200=3,"3일째",IF(M1200&lt;=7,"일주일 이내",IF(M1200&lt;=14,"이주일 이내","15일 이후"))))))))</f>
        <v/>
      </c>
      <c r="O1200" s="0" t="str">
        <f aca="false">IF(AND(COUNTA($A1200:$J1200)&gt;0,OR(클레임조회!$C$4="",AND(ISNUMBER($B1200),$B1200&gt;=클레임조회!$C$4)),OR(클레임조회!$C$5="",AND(ISNUMBER($B1200),$B1200&lt;=클레임조회!$C$5)),OR(클레임조회!$C$6="",$C1200=클레임조회!$C$6),OR(클레임조회!$C$7="",$D1200=클레임조회!$C$7),OR(클레임조회!$C$8="",$E1200=클레임조회!$C$8),OR(클레임조회!$C$9="",$F1200=클레임조회!$C$9),OR(클레임조회!$C$10="",ISNUMBER(SEARCH(클레임조회!$C$10,$C1200&amp;" "&amp;$F1200&amp;" "&amp;$G1200&amp;" "&amp;$H1200)))),COUNT(O$1:O1199)+1,"")</f>
        <v/>
      </c>
      <c r="P1200" s="0" t="str">
        <f aca="false">IF(AND(TRIM(C1200)&lt;&gt;"",COUNTIF(C$2:C1200,C1200)=1),MAX(P$1:P1199)+1,"")</f>
        <v/>
      </c>
      <c r="Q1200" s="0" t="str">
        <f aca="false">IF(AND(TRIM(F1200)&lt;&gt;"",COUNTIF(F$2:F1200,F1200)=1),MAX(Q$1:Q1199)+1,"")</f>
        <v/>
      </c>
    </row>
    <row r="1201" customFormat="false" ht="15" hidden="false" customHeight="false" outlineLevel="0" collapsed="false">
      <c r="A1201" s="9"/>
      <c r="B1201" s="10"/>
      <c r="C1201" s="11"/>
      <c r="D1201" s="11"/>
      <c r="E1201" s="11"/>
      <c r="F1201" s="11"/>
      <c r="G1201" s="12"/>
      <c r="H1201" s="12"/>
      <c r="I1201" s="10"/>
      <c r="J1201" s="12"/>
      <c r="K1201" s="13" t="str">
        <f aca="false">IF(ISNUMBER(B1201),YEAR(B1201),"")</f>
        <v/>
      </c>
      <c r="L1201" s="13" t="str">
        <f aca="false">IF(ISNUMBER(B1201),MONTH(B1201),"")</f>
        <v/>
      </c>
      <c r="M1201" s="13" t="str">
        <f aca="false">IF(AND(ISNUMBER(B1201),ISNUMBER(I1201)),B1201-I1201+1,"")</f>
        <v/>
      </c>
      <c r="N1201" s="14" t="str">
        <f aca="false">IF(B1201="","",IF(M1201="","시작일 미입력",IF(M1201&lt;1,"시작일 이전(확인)",IF(M1201=1,"1일째",IF(M1201=2,"2일째",IF(M1201=3,"3일째",IF(M1201&lt;=7,"일주일 이내",IF(M1201&lt;=14,"이주일 이내","15일 이후"))))))))</f>
        <v/>
      </c>
      <c r="O1201" s="0" t="str">
        <f aca="false">IF(AND(COUNTA($A1201:$J1201)&gt;0,OR(클레임조회!$C$4="",AND(ISNUMBER($B1201),$B1201&gt;=클레임조회!$C$4)),OR(클레임조회!$C$5="",AND(ISNUMBER($B1201),$B1201&lt;=클레임조회!$C$5)),OR(클레임조회!$C$6="",$C1201=클레임조회!$C$6),OR(클레임조회!$C$7="",$D1201=클레임조회!$C$7),OR(클레임조회!$C$8="",$E1201=클레임조회!$C$8),OR(클레임조회!$C$9="",$F1201=클레임조회!$C$9),OR(클레임조회!$C$10="",ISNUMBER(SEARCH(클레임조회!$C$10,$C1201&amp;" "&amp;$F1201&amp;" "&amp;$G1201&amp;" "&amp;$H1201)))),COUNT(O$1:O1200)+1,"")</f>
        <v/>
      </c>
      <c r="P1201" s="0" t="str">
        <f aca="false">IF(AND(TRIM(C1201)&lt;&gt;"",COUNTIF(C$2:C1201,C1201)=1),MAX(P$1:P1200)+1,"")</f>
        <v/>
      </c>
      <c r="Q1201" s="0" t="str">
        <f aca="false">IF(AND(TRIM(F1201)&lt;&gt;"",COUNTIF(F$2:F1201,F1201)=1),MAX(Q$1:Q1200)+1,"")</f>
        <v/>
      </c>
    </row>
    <row r="1202" customFormat="false" ht="15" hidden="false" customHeight="false" outlineLevel="0" collapsed="false">
      <c r="A1202" s="9"/>
      <c r="B1202" s="10"/>
      <c r="C1202" s="11"/>
      <c r="D1202" s="11"/>
      <c r="E1202" s="11"/>
      <c r="F1202" s="11"/>
      <c r="G1202" s="12"/>
      <c r="H1202" s="12"/>
      <c r="I1202" s="10"/>
      <c r="J1202" s="12"/>
      <c r="K1202" s="13" t="str">
        <f aca="false">IF(ISNUMBER(B1202),YEAR(B1202),"")</f>
        <v/>
      </c>
      <c r="L1202" s="13" t="str">
        <f aca="false">IF(ISNUMBER(B1202),MONTH(B1202),"")</f>
        <v/>
      </c>
      <c r="M1202" s="13" t="str">
        <f aca="false">IF(AND(ISNUMBER(B1202),ISNUMBER(I1202)),B1202-I1202+1,"")</f>
        <v/>
      </c>
      <c r="N1202" s="14" t="str">
        <f aca="false">IF(B1202="","",IF(M1202="","시작일 미입력",IF(M1202&lt;1,"시작일 이전(확인)",IF(M1202=1,"1일째",IF(M1202=2,"2일째",IF(M1202=3,"3일째",IF(M1202&lt;=7,"일주일 이내",IF(M1202&lt;=14,"이주일 이내","15일 이후"))))))))</f>
        <v/>
      </c>
      <c r="O1202" s="0" t="str">
        <f aca="false">IF(AND(COUNTA($A1202:$J1202)&gt;0,OR(클레임조회!$C$4="",AND(ISNUMBER($B1202),$B1202&gt;=클레임조회!$C$4)),OR(클레임조회!$C$5="",AND(ISNUMBER($B1202),$B1202&lt;=클레임조회!$C$5)),OR(클레임조회!$C$6="",$C1202=클레임조회!$C$6),OR(클레임조회!$C$7="",$D1202=클레임조회!$C$7),OR(클레임조회!$C$8="",$E1202=클레임조회!$C$8),OR(클레임조회!$C$9="",$F1202=클레임조회!$C$9),OR(클레임조회!$C$10="",ISNUMBER(SEARCH(클레임조회!$C$10,$C1202&amp;" "&amp;$F1202&amp;" "&amp;$G1202&amp;" "&amp;$H1202)))),COUNT(O$1:O1201)+1,"")</f>
        <v/>
      </c>
      <c r="P1202" s="0" t="str">
        <f aca="false">IF(AND(TRIM(C1202)&lt;&gt;"",COUNTIF(C$2:C1202,C1202)=1),MAX(P$1:P1201)+1,"")</f>
        <v/>
      </c>
      <c r="Q1202" s="0" t="str">
        <f aca="false">IF(AND(TRIM(F1202)&lt;&gt;"",COUNTIF(F$2:F1202,F1202)=1),MAX(Q$1:Q1201)+1,"")</f>
        <v/>
      </c>
    </row>
    <row r="1203" customFormat="false" ht="15" hidden="false" customHeight="false" outlineLevel="0" collapsed="false">
      <c r="A1203" s="9"/>
      <c r="B1203" s="10"/>
      <c r="C1203" s="11"/>
      <c r="D1203" s="11"/>
      <c r="E1203" s="11"/>
      <c r="F1203" s="11"/>
      <c r="G1203" s="12"/>
      <c r="H1203" s="12"/>
      <c r="I1203" s="10"/>
      <c r="J1203" s="12"/>
      <c r="K1203" s="13" t="str">
        <f aca="false">IF(ISNUMBER(B1203),YEAR(B1203),"")</f>
        <v/>
      </c>
      <c r="L1203" s="13" t="str">
        <f aca="false">IF(ISNUMBER(B1203),MONTH(B1203),"")</f>
        <v/>
      </c>
      <c r="M1203" s="13" t="str">
        <f aca="false">IF(AND(ISNUMBER(B1203),ISNUMBER(I1203)),B1203-I1203+1,"")</f>
        <v/>
      </c>
      <c r="N1203" s="14" t="str">
        <f aca="false">IF(B1203="","",IF(M1203="","시작일 미입력",IF(M1203&lt;1,"시작일 이전(확인)",IF(M1203=1,"1일째",IF(M1203=2,"2일째",IF(M1203=3,"3일째",IF(M1203&lt;=7,"일주일 이내",IF(M1203&lt;=14,"이주일 이내","15일 이후"))))))))</f>
        <v/>
      </c>
      <c r="O1203" s="0" t="str">
        <f aca="false">IF(AND(COUNTA($A1203:$J1203)&gt;0,OR(클레임조회!$C$4="",AND(ISNUMBER($B1203),$B1203&gt;=클레임조회!$C$4)),OR(클레임조회!$C$5="",AND(ISNUMBER($B1203),$B1203&lt;=클레임조회!$C$5)),OR(클레임조회!$C$6="",$C1203=클레임조회!$C$6),OR(클레임조회!$C$7="",$D1203=클레임조회!$C$7),OR(클레임조회!$C$8="",$E1203=클레임조회!$C$8),OR(클레임조회!$C$9="",$F1203=클레임조회!$C$9),OR(클레임조회!$C$10="",ISNUMBER(SEARCH(클레임조회!$C$10,$C1203&amp;" "&amp;$F1203&amp;" "&amp;$G1203&amp;" "&amp;$H1203)))),COUNT(O$1:O1202)+1,"")</f>
        <v/>
      </c>
      <c r="P1203" s="0" t="str">
        <f aca="false">IF(AND(TRIM(C1203)&lt;&gt;"",COUNTIF(C$2:C1203,C1203)=1),MAX(P$1:P1202)+1,"")</f>
        <v/>
      </c>
      <c r="Q1203" s="0" t="str">
        <f aca="false">IF(AND(TRIM(F1203)&lt;&gt;"",COUNTIF(F$2:F1203,F1203)=1),MAX(Q$1:Q1202)+1,"")</f>
        <v/>
      </c>
    </row>
    <row r="1204" customFormat="false" ht="15" hidden="false" customHeight="false" outlineLevel="0" collapsed="false">
      <c r="A1204" s="9"/>
      <c r="B1204" s="10"/>
      <c r="C1204" s="11"/>
      <c r="D1204" s="11"/>
      <c r="E1204" s="11"/>
      <c r="F1204" s="11"/>
      <c r="G1204" s="12"/>
      <c r="H1204" s="12"/>
      <c r="I1204" s="10"/>
      <c r="J1204" s="12"/>
      <c r="K1204" s="13" t="str">
        <f aca="false">IF(ISNUMBER(B1204),YEAR(B1204),"")</f>
        <v/>
      </c>
      <c r="L1204" s="13" t="str">
        <f aca="false">IF(ISNUMBER(B1204),MONTH(B1204),"")</f>
        <v/>
      </c>
      <c r="M1204" s="13" t="str">
        <f aca="false">IF(AND(ISNUMBER(B1204),ISNUMBER(I1204)),B1204-I1204+1,"")</f>
        <v/>
      </c>
      <c r="N1204" s="14" t="str">
        <f aca="false">IF(B1204="","",IF(M1204="","시작일 미입력",IF(M1204&lt;1,"시작일 이전(확인)",IF(M1204=1,"1일째",IF(M1204=2,"2일째",IF(M1204=3,"3일째",IF(M1204&lt;=7,"일주일 이내",IF(M1204&lt;=14,"이주일 이내","15일 이후"))))))))</f>
        <v/>
      </c>
      <c r="O1204" s="0" t="str">
        <f aca="false">IF(AND(COUNTA($A1204:$J1204)&gt;0,OR(클레임조회!$C$4="",AND(ISNUMBER($B1204),$B1204&gt;=클레임조회!$C$4)),OR(클레임조회!$C$5="",AND(ISNUMBER($B1204),$B1204&lt;=클레임조회!$C$5)),OR(클레임조회!$C$6="",$C1204=클레임조회!$C$6),OR(클레임조회!$C$7="",$D1204=클레임조회!$C$7),OR(클레임조회!$C$8="",$E1204=클레임조회!$C$8),OR(클레임조회!$C$9="",$F1204=클레임조회!$C$9),OR(클레임조회!$C$10="",ISNUMBER(SEARCH(클레임조회!$C$10,$C1204&amp;" "&amp;$F1204&amp;" "&amp;$G1204&amp;" "&amp;$H1204)))),COUNT(O$1:O1203)+1,"")</f>
        <v/>
      </c>
      <c r="P1204" s="0" t="str">
        <f aca="false">IF(AND(TRIM(C1204)&lt;&gt;"",COUNTIF(C$2:C1204,C1204)=1),MAX(P$1:P1203)+1,"")</f>
        <v/>
      </c>
      <c r="Q1204" s="0" t="str">
        <f aca="false">IF(AND(TRIM(F1204)&lt;&gt;"",COUNTIF(F$2:F1204,F1204)=1),MAX(Q$1:Q1203)+1,"")</f>
        <v/>
      </c>
    </row>
    <row r="1205" customFormat="false" ht="15" hidden="false" customHeight="false" outlineLevel="0" collapsed="false">
      <c r="A1205" s="9"/>
      <c r="B1205" s="10"/>
      <c r="C1205" s="11"/>
      <c r="D1205" s="11"/>
      <c r="E1205" s="11"/>
      <c r="F1205" s="11"/>
      <c r="G1205" s="12"/>
      <c r="H1205" s="12"/>
      <c r="I1205" s="10"/>
      <c r="J1205" s="12"/>
      <c r="K1205" s="13" t="str">
        <f aca="false">IF(ISNUMBER(B1205),YEAR(B1205),"")</f>
        <v/>
      </c>
      <c r="L1205" s="13" t="str">
        <f aca="false">IF(ISNUMBER(B1205),MONTH(B1205),"")</f>
        <v/>
      </c>
      <c r="M1205" s="13" t="str">
        <f aca="false">IF(AND(ISNUMBER(B1205),ISNUMBER(I1205)),B1205-I1205+1,"")</f>
        <v/>
      </c>
      <c r="N1205" s="14" t="str">
        <f aca="false">IF(B1205="","",IF(M1205="","시작일 미입력",IF(M1205&lt;1,"시작일 이전(확인)",IF(M1205=1,"1일째",IF(M1205=2,"2일째",IF(M1205=3,"3일째",IF(M1205&lt;=7,"일주일 이내",IF(M1205&lt;=14,"이주일 이내","15일 이후"))))))))</f>
        <v/>
      </c>
      <c r="O1205" s="0" t="str">
        <f aca="false">IF(AND(COUNTA($A1205:$J1205)&gt;0,OR(클레임조회!$C$4="",AND(ISNUMBER($B1205),$B1205&gt;=클레임조회!$C$4)),OR(클레임조회!$C$5="",AND(ISNUMBER($B1205),$B1205&lt;=클레임조회!$C$5)),OR(클레임조회!$C$6="",$C1205=클레임조회!$C$6),OR(클레임조회!$C$7="",$D1205=클레임조회!$C$7),OR(클레임조회!$C$8="",$E1205=클레임조회!$C$8),OR(클레임조회!$C$9="",$F1205=클레임조회!$C$9),OR(클레임조회!$C$10="",ISNUMBER(SEARCH(클레임조회!$C$10,$C1205&amp;" "&amp;$F1205&amp;" "&amp;$G1205&amp;" "&amp;$H1205)))),COUNT(O$1:O1204)+1,"")</f>
        <v/>
      </c>
      <c r="P1205" s="0" t="str">
        <f aca="false">IF(AND(TRIM(C1205)&lt;&gt;"",COUNTIF(C$2:C1205,C1205)=1),MAX(P$1:P1204)+1,"")</f>
        <v/>
      </c>
      <c r="Q1205" s="0" t="str">
        <f aca="false">IF(AND(TRIM(F1205)&lt;&gt;"",COUNTIF(F$2:F1205,F1205)=1),MAX(Q$1:Q1204)+1,"")</f>
        <v/>
      </c>
    </row>
    <row r="1206" customFormat="false" ht="15" hidden="false" customHeight="false" outlineLevel="0" collapsed="false">
      <c r="A1206" s="9"/>
      <c r="B1206" s="10"/>
      <c r="C1206" s="11"/>
      <c r="D1206" s="11"/>
      <c r="E1206" s="11"/>
      <c r="F1206" s="11"/>
      <c r="G1206" s="12"/>
      <c r="H1206" s="12"/>
      <c r="I1206" s="10"/>
      <c r="J1206" s="12"/>
      <c r="K1206" s="13" t="str">
        <f aca="false">IF(ISNUMBER(B1206),YEAR(B1206),"")</f>
        <v/>
      </c>
      <c r="L1206" s="13" t="str">
        <f aca="false">IF(ISNUMBER(B1206),MONTH(B1206),"")</f>
        <v/>
      </c>
      <c r="M1206" s="13" t="str">
        <f aca="false">IF(AND(ISNUMBER(B1206),ISNUMBER(I1206)),B1206-I1206+1,"")</f>
        <v/>
      </c>
      <c r="N1206" s="14" t="str">
        <f aca="false">IF(B1206="","",IF(M1206="","시작일 미입력",IF(M1206&lt;1,"시작일 이전(확인)",IF(M1206=1,"1일째",IF(M1206=2,"2일째",IF(M1206=3,"3일째",IF(M1206&lt;=7,"일주일 이내",IF(M1206&lt;=14,"이주일 이내","15일 이후"))))))))</f>
        <v/>
      </c>
      <c r="O1206" s="0" t="str">
        <f aca="false">IF(AND(COUNTA($A1206:$J1206)&gt;0,OR(클레임조회!$C$4="",AND(ISNUMBER($B1206),$B1206&gt;=클레임조회!$C$4)),OR(클레임조회!$C$5="",AND(ISNUMBER($B1206),$B1206&lt;=클레임조회!$C$5)),OR(클레임조회!$C$6="",$C1206=클레임조회!$C$6),OR(클레임조회!$C$7="",$D1206=클레임조회!$C$7),OR(클레임조회!$C$8="",$E1206=클레임조회!$C$8),OR(클레임조회!$C$9="",$F1206=클레임조회!$C$9),OR(클레임조회!$C$10="",ISNUMBER(SEARCH(클레임조회!$C$10,$C1206&amp;" "&amp;$F1206&amp;" "&amp;$G1206&amp;" "&amp;$H1206)))),COUNT(O$1:O1205)+1,"")</f>
        <v/>
      </c>
      <c r="P1206" s="0" t="str">
        <f aca="false">IF(AND(TRIM(C1206)&lt;&gt;"",COUNTIF(C$2:C1206,C1206)=1),MAX(P$1:P1205)+1,"")</f>
        <v/>
      </c>
      <c r="Q1206" s="0" t="str">
        <f aca="false">IF(AND(TRIM(F1206)&lt;&gt;"",COUNTIF(F$2:F1206,F1206)=1),MAX(Q$1:Q1205)+1,"")</f>
        <v/>
      </c>
    </row>
    <row r="1207" customFormat="false" ht="15" hidden="false" customHeight="false" outlineLevel="0" collapsed="false">
      <c r="A1207" s="9"/>
      <c r="B1207" s="10"/>
      <c r="C1207" s="11"/>
      <c r="D1207" s="11"/>
      <c r="E1207" s="11"/>
      <c r="F1207" s="11"/>
      <c r="G1207" s="12"/>
      <c r="H1207" s="12"/>
      <c r="I1207" s="10"/>
      <c r="J1207" s="12"/>
      <c r="K1207" s="13" t="str">
        <f aca="false">IF(ISNUMBER(B1207),YEAR(B1207),"")</f>
        <v/>
      </c>
      <c r="L1207" s="13" t="str">
        <f aca="false">IF(ISNUMBER(B1207),MONTH(B1207),"")</f>
        <v/>
      </c>
      <c r="M1207" s="13" t="str">
        <f aca="false">IF(AND(ISNUMBER(B1207),ISNUMBER(I1207)),B1207-I1207+1,"")</f>
        <v/>
      </c>
      <c r="N1207" s="14" t="str">
        <f aca="false">IF(B1207="","",IF(M1207="","시작일 미입력",IF(M1207&lt;1,"시작일 이전(확인)",IF(M1207=1,"1일째",IF(M1207=2,"2일째",IF(M1207=3,"3일째",IF(M1207&lt;=7,"일주일 이내",IF(M1207&lt;=14,"이주일 이내","15일 이후"))))))))</f>
        <v/>
      </c>
      <c r="O1207" s="0" t="str">
        <f aca="false">IF(AND(COUNTA($A1207:$J1207)&gt;0,OR(클레임조회!$C$4="",AND(ISNUMBER($B1207),$B1207&gt;=클레임조회!$C$4)),OR(클레임조회!$C$5="",AND(ISNUMBER($B1207),$B1207&lt;=클레임조회!$C$5)),OR(클레임조회!$C$6="",$C1207=클레임조회!$C$6),OR(클레임조회!$C$7="",$D1207=클레임조회!$C$7),OR(클레임조회!$C$8="",$E1207=클레임조회!$C$8),OR(클레임조회!$C$9="",$F1207=클레임조회!$C$9),OR(클레임조회!$C$10="",ISNUMBER(SEARCH(클레임조회!$C$10,$C1207&amp;" "&amp;$F1207&amp;" "&amp;$G1207&amp;" "&amp;$H1207)))),COUNT(O$1:O1206)+1,"")</f>
        <v/>
      </c>
      <c r="P1207" s="0" t="str">
        <f aca="false">IF(AND(TRIM(C1207)&lt;&gt;"",COUNTIF(C$2:C1207,C1207)=1),MAX(P$1:P1206)+1,"")</f>
        <v/>
      </c>
      <c r="Q1207" s="0" t="str">
        <f aca="false">IF(AND(TRIM(F1207)&lt;&gt;"",COUNTIF(F$2:F1207,F1207)=1),MAX(Q$1:Q1206)+1,"")</f>
        <v/>
      </c>
    </row>
    <row r="1208" customFormat="false" ht="15" hidden="false" customHeight="false" outlineLevel="0" collapsed="false">
      <c r="A1208" s="9"/>
      <c r="B1208" s="10"/>
      <c r="C1208" s="11"/>
      <c r="D1208" s="11"/>
      <c r="E1208" s="11"/>
      <c r="F1208" s="11"/>
      <c r="G1208" s="12"/>
      <c r="H1208" s="12"/>
      <c r="I1208" s="10"/>
      <c r="J1208" s="12"/>
      <c r="K1208" s="13" t="str">
        <f aca="false">IF(ISNUMBER(B1208),YEAR(B1208),"")</f>
        <v/>
      </c>
      <c r="L1208" s="13" t="str">
        <f aca="false">IF(ISNUMBER(B1208),MONTH(B1208),"")</f>
        <v/>
      </c>
      <c r="M1208" s="13" t="str">
        <f aca="false">IF(AND(ISNUMBER(B1208),ISNUMBER(I1208)),B1208-I1208+1,"")</f>
        <v/>
      </c>
      <c r="N1208" s="14" t="str">
        <f aca="false">IF(B1208="","",IF(M1208="","시작일 미입력",IF(M1208&lt;1,"시작일 이전(확인)",IF(M1208=1,"1일째",IF(M1208=2,"2일째",IF(M1208=3,"3일째",IF(M1208&lt;=7,"일주일 이내",IF(M1208&lt;=14,"이주일 이내","15일 이후"))))))))</f>
        <v/>
      </c>
      <c r="O1208" s="0" t="str">
        <f aca="false">IF(AND(COUNTA($A1208:$J1208)&gt;0,OR(클레임조회!$C$4="",AND(ISNUMBER($B1208),$B1208&gt;=클레임조회!$C$4)),OR(클레임조회!$C$5="",AND(ISNUMBER($B1208),$B1208&lt;=클레임조회!$C$5)),OR(클레임조회!$C$6="",$C1208=클레임조회!$C$6),OR(클레임조회!$C$7="",$D1208=클레임조회!$C$7),OR(클레임조회!$C$8="",$E1208=클레임조회!$C$8),OR(클레임조회!$C$9="",$F1208=클레임조회!$C$9),OR(클레임조회!$C$10="",ISNUMBER(SEARCH(클레임조회!$C$10,$C1208&amp;" "&amp;$F1208&amp;" "&amp;$G1208&amp;" "&amp;$H1208)))),COUNT(O$1:O1207)+1,"")</f>
        <v/>
      </c>
      <c r="P1208" s="0" t="str">
        <f aca="false">IF(AND(TRIM(C1208)&lt;&gt;"",COUNTIF(C$2:C1208,C1208)=1),MAX(P$1:P1207)+1,"")</f>
        <v/>
      </c>
      <c r="Q1208" s="0" t="str">
        <f aca="false">IF(AND(TRIM(F1208)&lt;&gt;"",COUNTIF(F$2:F1208,F1208)=1),MAX(Q$1:Q1207)+1,"")</f>
        <v/>
      </c>
    </row>
    <row r="1209" customFormat="false" ht="15" hidden="false" customHeight="false" outlineLevel="0" collapsed="false">
      <c r="A1209" s="9"/>
      <c r="B1209" s="10"/>
      <c r="C1209" s="11"/>
      <c r="D1209" s="11"/>
      <c r="E1209" s="11"/>
      <c r="F1209" s="11"/>
      <c r="G1209" s="12"/>
      <c r="H1209" s="12"/>
      <c r="I1209" s="10"/>
      <c r="J1209" s="12"/>
      <c r="K1209" s="13" t="str">
        <f aca="false">IF(ISNUMBER(B1209),YEAR(B1209),"")</f>
        <v/>
      </c>
      <c r="L1209" s="13" t="str">
        <f aca="false">IF(ISNUMBER(B1209),MONTH(B1209),"")</f>
        <v/>
      </c>
      <c r="M1209" s="13" t="str">
        <f aca="false">IF(AND(ISNUMBER(B1209),ISNUMBER(I1209)),B1209-I1209+1,"")</f>
        <v/>
      </c>
      <c r="N1209" s="14" t="str">
        <f aca="false">IF(B1209="","",IF(M1209="","시작일 미입력",IF(M1209&lt;1,"시작일 이전(확인)",IF(M1209=1,"1일째",IF(M1209=2,"2일째",IF(M1209=3,"3일째",IF(M1209&lt;=7,"일주일 이내",IF(M1209&lt;=14,"이주일 이내","15일 이후"))))))))</f>
        <v/>
      </c>
      <c r="O1209" s="0" t="str">
        <f aca="false">IF(AND(COUNTA($A1209:$J1209)&gt;0,OR(클레임조회!$C$4="",AND(ISNUMBER($B1209),$B1209&gt;=클레임조회!$C$4)),OR(클레임조회!$C$5="",AND(ISNUMBER($B1209),$B1209&lt;=클레임조회!$C$5)),OR(클레임조회!$C$6="",$C1209=클레임조회!$C$6),OR(클레임조회!$C$7="",$D1209=클레임조회!$C$7),OR(클레임조회!$C$8="",$E1209=클레임조회!$C$8),OR(클레임조회!$C$9="",$F1209=클레임조회!$C$9),OR(클레임조회!$C$10="",ISNUMBER(SEARCH(클레임조회!$C$10,$C1209&amp;" "&amp;$F1209&amp;" "&amp;$G1209&amp;" "&amp;$H1209)))),COUNT(O$1:O1208)+1,"")</f>
        <v/>
      </c>
      <c r="P1209" s="0" t="str">
        <f aca="false">IF(AND(TRIM(C1209)&lt;&gt;"",COUNTIF(C$2:C1209,C1209)=1),MAX(P$1:P1208)+1,"")</f>
        <v/>
      </c>
      <c r="Q1209" s="0" t="str">
        <f aca="false">IF(AND(TRIM(F1209)&lt;&gt;"",COUNTIF(F$2:F1209,F1209)=1),MAX(Q$1:Q1208)+1,"")</f>
        <v/>
      </c>
    </row>
    <row r="1210" customFormat="false" ht="15" hidden="false" customHeight="false" outlineLevel="0" collapsed="false">
      <c r="A1210" s="9"/>
      <c r="B1210" s="10"/>
      <c r="C1210" s="11"/>
      <c r="D1210" s="11"/>
      <c r="E1210" s="11"/>
      <c r="F1210" s="11"/>
      <c r="G1210" s="12"/>
      <c r="H1210" s="12"/>
      <c r="I1210" s="10"/>
      <c r="J1210" s="12"/>
      <c r="K1210" s="13" t="str">
        <f aca="false">IF(ISNUMBER(B1210),YEAR(B1210),"")</f>
        <v/>
      </c>
      <c r="L1210" s="13" t="str">
        <f aca="false">IF(ISNUMBER(B1210),MONTH(B1210),"")</f>
        <v/>
      </c>
      <c r="M1210" s="13" t="str">
        <f aca="false">IF(AND(ISNUMBER(B1210),ISNUMBER(I1210)),B1210-I1210+1,"")</f>
        <v/>
      </c>
      <c r="N1210" s="14" t="str">
        <f aca="false">IF(B1210="","",IF(M1210="","시작일 미입력",IF(M1210&lt;1,"시작일 이전(확인)",IF(M1210=1,"1일째",IF(M1210=2,"2일째",IF(M1210=3,"3일째",IF(M1210&lt;=7,"일주일 이내",IF(M1210&lt;=14,"이주일 이내","15일 이후"))))))))</f>
        <v/>
      </c>
      <c r="O1210" s="0" t="str">
        <f aca="false">IF(AND(COUNTA($A1210:$J1210)&gt;0,OR(클레임조회!$C$4="",AND(ISNUMBER($B1210),$B1210&gt;=클레임조회!$C$4)),OR(클레임조회!$C$5="",AND(ISNUMBER($B1210),$B1210&lt;=클레임조회!$C$5)),OR(클레임조회!$C$6="",$C1210=클레임조회!$C$6),OR(클레임조회!$C$7="",$D1210=클레임조회!$C$7),OR(클레임조회!$C$8="",$E1210=클레임조회!$C$8),OR(클레임조회!$C$9="",$F1210=클레임조회!$C$9),OR(클레임조회!$C$10="",ISNUMBER(SEARCH(클레임조회!$C$10,$C1210&amp;" "&amp;$F1210&amp;" "&amp;$G1210&amp;" "&amp;$H1210)))),COUNT(O$1:O1209)+1,"")</f>
        <v/>
      </c>
      <c r="P1210" s="0" t="str">
        <f aca="false">IF(AND(TRIM(C1210)&lt;&gt;"",COUNTIF(C$2:C1210,C1210)=1),MAX(P$1:P1209)+1,"")</f>
        <v/>
      </c>
      <c r="Q1210" s="0" t="str">
        <f aca="false">IF(AND(TRIM(F1210)&lt;&gt;"",COUNTIF(F$2:F1210,F1210)=1),MAX(Q$1:Q1209)+1,"")</f>
        <v/>
      </c>
    </row>
    <row r="1211" customFormat="false" ht="15" hidden="false" customHeight="false" outlineLevel="0" collapsed="false">
      <c r="A1211" s="9"/>
      <c r="B1211" s="10"/>
      <c r="C1211" s="11"/>
      <c r="D1211" s="11"/>
      <c r="E1211" s="11"/>
      <c r="F1211" s="11"/>
      <c r="G1211" s="12"/>
      <c r="H1211" s="12"/>
      <c r="I1211" s="10"/>
      <c r="J1211" s="12"/>
      <c r="K1211" s="13" t="str">
        <f aca="false">IF(ISNUMBER(B1211),YEAR(B1211),"")</f>
        <v/>
      </c>
      <c r="L1211" s="13" t="str">
        <f aca="false">IF(ISNUMBER(B1211),MONTH(B1211),"")</f>
        <v/>
      </c>
      <c r="M1211" s="13" t="str">
        <f aca="false">IF(AND(ISNUMBER(B1211),ISNUMBER(I1211)),B1211-I1211+1,"")</f>
        <v/>
      </c>
      <c r="N1211" s="14" t="str">
        <f aca="false">IF(B1211="","",IF(M1211="","시작일 미입력",IF(M1211&lt;1,"시작일 이전(확인)",IF(M1211=1,"1일째",IF(M1211=2,"2일째",IF(M1211=3,"3일째",IF(M1211&lt;=7,"일주일 이내",IF(M1211&lt;=14,"이주일 이내","15일 이후"))))))))</f>
        <v/>
      </c>
      <c r="O1211" s="0" t="str">
        <f aca="false">IF(AND(COUNTA($A1211:$J1211)&gt;0,OR(클레임조회!$C$4="",AND(ISNUMBER($B1211),$B1211&gt;=클레임조회!$C$4)),OR(클레임조회!$C$5="",AND(ISNUMBER($B1211),$B1211&lt;=클레임조회!$C$5)),OR(클레임조회!$C$6="",$C1211=클레임조회!$C$6),OR(클레임조회!$C$7="",$D1211=클레임조회!$C$7),OR(클레임조회!$C$8="",$E1211=클레임조회!$C$8),OR(클레임조회!$C$9="",$F1211=클레임조회!$C$9),OR(클레임조회!$C$10="",ISNUMBER(SEARCH(클레임조회!$C$10,$C1211&amp;" "&amp;$F1211&amp;" "&amp;$G1211&amp;" "&amp;$H1211)))),COUNT(O$1:O1210)+1,"")</f>
        <v/>
      </c>
      <c r="P1211" s="0" t="str">
        <f aca="false">IF(AND(TRIM(C1211)&lt;&gt;"",COUNTIF(C$2:C1211,C1211)=1),MAX(P$1:P1210)+1,"")</f>
        <v/>
      </c>
      <c r="Q1211" s="0" t="str">
        <f aca="false">IF(AND(TRIM(F1211)&lt;&gt;"",COUNTIF(F$2:F1211,F1211)=1),MAX(Q$1:Q1210)+1,"")</f>
        <v/>
      </c>
    </row>
    <row r="1212" customFormat="false" ht="15" hidden="false" customHeight="false" outlineLevel="0" collapsed="false">
      <c r="A1212" s="9"/>
      <c r="B1212" s="10"/>
      <c r="C1212" s="11"/>
      <c r="D1212" s="11"/>
      <c r="E1212" s="11"/>
      <c r="F1212" s="11"/>
      <c r="G1212" s="12"/>
      <c r="H1212" s="12"/>
      <c r="I1212" s="10"/>
      <c r="J1212" s="12"/>
      <c r="K1212" s="13" t="str">
        <f aca="false">IF(ISNUMBER(B1212),YEAR(B1212),"")</f>
        <v/>
      </c>
      <c r="L1212" s="13" t="str">
        <f aca="false">IF(ISNUMBER(B1212),MONTH(B1212),"")</f>
        <v/>
      </c>
      <c r="M1212" s="13" t="str">
        <f aca="false">IF(AND(ISNUMBER(B1212),ISNUMBER(I1212)),B1212-I1212+1,"")</f>
        <v/>
      </c>
      <c r="N1212" s="14" t="str">
        <f aca="false">IF(B1212="","",IF(M1212="","시작일 미입력",IF(M1212&lt;1,"시작일 이전(확인)",IF(M1212=1,"1일째",IF(M1212=2,"2일째",IF(M1212=3,"3일째",IF(M1212&lt;=7,"일주일 이내",IF(M1212&lt;=14,"이주일 이내","15일 이후"))))))))</f>
        <v/>
      </c>
      <c r="O1212" s="0" t="str">
        <f aca="false">IF(AND(COUNTA($A1212:$J1212)&gt;0,OR(클레임조회!$C$4="",AND(ISNUMBER($B1212),$B1212&gt;=클레임조회!$C$4)),OR(클레임조회!$C$5="",AND(ISNUMBER($B1212),$B1212&lt;=클레임조회!$C$5)),OR(클레임조회!$C$6="",$C1212=클레임조회!$C$6),OR(클레임조회!$C$7="",$D1212=클레임조회!$C$7),OR(클레임조회!$C$8="",$E1212=클레임조회!$C$8),OR(클레임조회!$C$9="",$F1212=클레임조회!$C$9),OR(클레임조회!$C$10="",ISNUMBER(SEARCH(클레임조회!$C$10,$C1212&amp;" "&amp;$F1212&amp;" "&amp;$G1212&amp;" "&amp;$H1212)))),COUNT(O$1:O1211)+1,"")</f>
        <v/>
      </c>
      <c r="P1212" s="0" t="str">
        <f aca="false">IF(AND(TRIM(C1212)&lt;&gt;"",COUNTIF(C$2:C1212,C1212)=1),MAX(P$1:P1211)+1,"")</f>
        <v/>
      </c>
      <c r="Q1212" s="0" t="str">
        <f aca="false">IF(AND(TRIM(F1212)&lt;&gt;"",COUNTIF(F$2:F1212,F1212)=1),MAX(Q$1:Q1211)+1,"")</f>
        <v/>
      </c>
    </row>
    <row r="1213" customFormat="false" ht="15" hidden="false" customHeight="false" outlineLevel="0" collapsed="false">
      <c r="A1213" s="9"/>
      <c r="B1213" s="10"/>
      <c r="C1213" s="11"/>
      <c r="D1213" s="11"/>
      <c r="E1213" s="11"/>
      <c r="F1213" s="11"/>
      <c r="G1213" s="12"/>
      <c r="H1213" s="12"/>
      <c r="I1213" s="10"/>
      <c r="J1213" s="12"/>
      <c r="K1213" s="13" t="str">
        <f aca="false">IF(ISNUMBER(B1213),YEAR(B1213),"")</f>
        <v/>
      </c>
      <c r="L1213" s="13" t="str">
        <f aca="false">IF(ISNUMBER(B1213),MONTH(B1213),"")</f>
        <v/>
      </c>
      <c r="M1213" s="13" t="str">
        <f aca="false">IF(AND(ISNUMBER(B1213),ISNUMBER(I1213)),B1213-I1213+1,"")</f>
        <v/>
      </c>
      <c r="N1213" s="14" t="str">
        <f aca="false">IF(B1213="","",IF(M1213="","시작일 미입력",IF(M1213&lt;1,"시작일 이전(확인)",IF(M1213=1,"1일째",IF(M1213=2,"2일째",IF(M1213=3,"3일째",IF(M1213&lt;=7,"일주일 이내",IF(M1213&lt;=14,"이주일 이내","15일 이후"))))))))</f>
        <v/>
      </c>
      <c r="O1213" s="0" t="str">
        <f aca="false">IF(AND(COUNTA($A1213:$J1213)&gt;0,OR(클레임조회!$C$4="",AND(ISNUMBER($B1213),$B1213&gt;=클레임조회!$C$4)),OR(클레임조회!$C$5="",AND(ISNUMBER($B1213),$B1213&lt;=클레임조회!$C$5)),OR(클레임조회!$C$6="",$C1213=클레임조회!$C$6),OR(클레임조회!$C$7="",$D1213=클레임조회!$C$7),OR(클레임조회!$C$8="",$E1213=클레임조회!$C$8),OR(클레임조회!$C$9="",$F1213=클레임조회!$C$9),OR(클레임조회!$C$10="",ISNUMBER(SEARCH(클레임조회!$C$10,$C1213&amp;" "&amp;$F1213&amp;" "&amp;$G1213&amp;" "&amp;$H1213)))),COUNT(O$1:O1212)+1,"")</f>
        <v/>
      </c>
      <c r="P1213" s="0" t="str">
        <f aca="false">IF(AND(TRIM(C1213)&lt;&gt;"",COUNTIF(C$2:C1213,C1213)=1),MAX(P$1:P1212)+1,"")</f>
        <v/>
      </c>
      <c r="Q1213" s="0" t="str">
        <f aca="false">IF(AND(TRIM(F1213)&lt;&gt;"",COUNTIF(F$2:F1213,F1213)=1),MAX(Q$1:Q1212)+1,"")</f>
        <v/>
      </c>
    </row>
    <row r="1214" customFormat="false" ht="15" hidden="false" customHeight="false" outlineLevel="0" collapsed="false">
      <c r="A1214" s="9"/>
      <c r="B1214" s="10"/>
      <c r="C1214" s="11"/>
      <c r="D1214" s="11"/>
      <c r="E1214" s="11"/>
      <c r="F1214" s="11"/>
      <c r="G1214" s="12"/>
      <c r="H1214" s="12"/>
      <c r="I1214" s="10"/>
      <c r="J1214" s="12"/>
      <c r="K1214" s="13" t="str">
        <f aca="false">IF(ISNUMBER(B1214),YEAR(B1214),"")</f>
        <v/>
      </c>
      <c r="L1214" s="13" t="str">
        <f aca="false">IF(ISNUMBER(B1214),MONTH(B1214),"")</f>
        <v/>
      </c>
      <c r="M1214" s="13" t="str">
        <f aca="false">IF(AND(ISNUMBER(B1214),ISNUMBER(I1214)),B1214-I1214+1,"")</f>
        <v/>
      </c>
      <c r="N1214" s="14" t="str">
        <f aca="false">IF(B1214="","",IF(M1214="","시작일 미입력",IF(M1214&lt;1,"시작일 이전(확인)",IF(M1214=1,"1일째",IF(M1214=2,"2일째",IF(M1214=3,"3일째",IF(M1214&lt;=7,"일주일 이내",IF(M1214&lt;=14,"이주일 이내","15일 이후"))))))))</f>
        <v/>
      </c>
      <c r="O1214" s="0" t="str">
        <f aca="false">IF(AND(COUNTA($A1214:$J1214)&gt;0,OR(클레임조회!$C$4="",AND(ISNUMBER($B1214),$B1214&gt;=클레임조회!$C$4)),OR(클레임조회!$C$5="",AND(ISNUMBER($B1214),$B1214&lt;=클레임조회!$C$5)),OR(클레임조회!$C$6="",$C1214=클레임조회!$C$6),OR(클레임조회!$C$7="",$D1214=클레임조회!$C$7),OR(클레임조회!$C$8="",$E1214=클레임조회!$C$8),OR(클레임조회!$C$9="",$F1214=클레임조회!$C$9),OR(클레임조회!$C$10="",ISNUMBER(SEARCH(클레임조회!$C$10,$C1214&amp;" "&amp;$F1214&amp;" "&amp;$G1214&amp;" "&amp;$H1214)))),COUNT(O$1:O1213)+1,"")</f>
        <v/>
      </c>
      <c r="P1214" s="0" t="str">
        <f aca="false">IF(AND(TRIM(C1214)&lt;&gt;"",COUNTIF(C$2:C1214,C1214)=1),MAX(P$1:P1213)+1,"")</f>
        <v/>
      </c>
      <c r="Q1214" s="0" t="str">
        <f aca="false">IF(AND(TRIM(F1214)&lt;&gt;"",COUNTIF(F$2:F1214,F1214)=1),MAX(Q$1:Q1213)+1,"")</f>
        <v/>
      </c>
    </row>
    <row r="1215" customFormat="false" ht="15" hidden="false" customHeight="false" outlineLevel="0" collapsed="false">
      <c r="A1215" s="9"/>
      <c r="B1215" s="10"/>
      <c r="C1215" s="11"/>
      <c r="D1215" s="11"/>
      <c r="E1215" s="11"/>
      <c r="F1215" s="11"/>
      <c r="G1215" s="12"/>
      <c r="H1215" s="12"/>
      <c r="I1215" s="10"/>
      <c r="J1215" s="12"/>
      <c r="K1215" s="13" t="str">
        <f aca="false">IF(ISNUMBER(B1215),YEAR(B1215),"")</f>
        <v/>
      </c>
      <c r="L1215" s="13" t="str">
        <f aca="false">IF(ISNUMBER(B1215),MONTH(B1215),"")</f>
        <v/>
      </c>
      <c r="M1215" s="13" t="str">
        <f aca="false">IF(AND(ISNUMBER(B1215),ISNUMBER(I1215)),B1215-I1215+1,"")</f>
        <v/>
      </c>
      <c r="N1215" s="14" t="str">
        <f aca="false">IF(B1215="","",IF(M1215="","시작일 미입력",IF(M1215&lt;1,"시작일 이전(확인)",IF(M1215=1,"1일째",IF(M1215=2,"2일째",IF(M1215=3,"3일째",IF(M1215&lt;=7,"일주일 이내",IF(M1215&lt;=14,"이주일 이내","15일 이후"))))))))</f>
        <v/>
      </c>
      <c r="O1215" s="0" t="str">
        <f aca="false">IF(AND(COUNTA($A1215:$J1215)&gt;0,OR(클레임조회!$C$4="",AND(ISNUMBER($B1215),$B1215&gt;=클레임조회!$C$4)),OR(클레임조회!$C$5="",AND(ISNUMBER($B1215),$B1215&lt;=클레임조회!$C$5)),OR(클레임조회!$C$6="",$C1215=클레임조회!$C$6),OR(클레임조회!$C$7="",$D1215=클레임조회!$C$7),OR(클레임조회!$C$8="",$E1215=클레임조회!$C$8),OR(클레임조회!$C$9="",$F1215=클레임조회!$C$9),OR(클레임조회!$C$10="",ISNUMBER(SEARCH(클레임조회!$C$10,$C1215&amp;" "&amp;$F1215&amp;" "&amp;$G1215&amp;" "&amp;$H1215)))),COUNT(O$1:O1214)+1,"")</f>
        <v/>
      </c>
      <c r="P1215" s="0" t="str">
        <f aca="false">IF(AND(TRIM(C1215)&lt;&gt;"",COUNTIF(C$2:C1215,C1215)=1),MAX(P$1:P1214)+1,"")</f>
        <v/>
      </c>
      <c r="Q1215" s="0" t="str">
        <f aca="false">IF(AND(TRIM(F1215)&lt;&gt;"",COUNTIF(F$2:F1215,F1215)=1),MAX(Q$1:Q1214)+1,"")</f>
        <v/>
      </c>
    </row>
    <row r="1216" customFormat="false" ht="15" hidden="false" customHeight="false" outlineLevel="0" collapsed="false">
      <c r="A1216" s="9"/>
      <c r="B1216" s="10"/>
      <c r="C1216" s="11"/>
      <c r="D1216" s="11"/>
      <c r="E1216" s="11"/>
      <c r="F1216" s="11"/>
      <c r="G1216" s="12"/>
      <c r="H1216" s="12"/>
      <c r="I1216" s="10"/>
      <c r="J1216" s="12"/>
      <c r="K1216" s="13" t="str">
        <f aca="false">IF(ISNUMBER(B1216),YEAR(B1216),"")</f>
        <v/>
      </c>
      <c r="L1216" s="13" t="str">
        <f aca="false">IF(ISNUMBER(B1216),MONTH(B1216),"")</f>
        <v/>
      </c>
      <c r="M1216" s="13" t="str">
        <f aca="false">IF(AND(ISNUMBER(B1216),ISNUMBER(I1216)),B1216-I1216+1,"")</f>
        <v/>
      </c>
      <c r="N1216" s="14" t="str">
        <f aca="false">IF(B1216="","",IF(M1216="","시작일 미입력",IF(M1216&lt;1,"시작일 이전(확인)",IF(M1216=1,"1일째",IF(M1216=2,"2일째",IF(M1216=3,"3일째",IF(M1216&lt;=7,"일주일 이내",IF(M1216&lt;=14,"이주일 이내","15일 이후"))))))))</f>
        <v/>
      </c>
      <c r="O1216" s="0" t="str">
        <f aca="false">IF(AND(COUNTA($A1216:$J1216)&gt;0,OR(클레임조회!$C$4="",AND(ISNUMBER($B1216),$B1216&gt;=클레임조회!$C$4)),OR(클레임조회!$C$5="",AND(ISNUMBER($B1216),$B1216&lt;=클레임조회!$C$5)),OR(클레임조회!$C$6="",$C1216=클레임조회!$C$6),OR(클레임조회!$C$7="",$D1216=클레임조회!$C$7),OR(클레임조회!$C$8="",$E1216=클레임조회!$C$8),OR(클레임조회!$C$9="",$F1216=클레임조회!$C$9),OR(클레임조회!$C$10="",ISNUMBER(SEARCH(클레임조회!$C$10,$C1216&amp;" "&amp;$F1216&amp;" "&amp;$G1216&amp;" "&amp;$H1216)))),COUNT(O$1:O1215)+1,"")</f>
        <v/>
      </c>
      <c r="P1216" s="0" t="str">
        <f aca="false">IF(AND(TRIM(C1216)&lt;&gt;"",COUNTIF(C$2:C1216,C1216)=1),MAX(P$1:P1215)+1,"")</f>
        <v/>
      </c>
      <c r="Q1216" s="0" t="str">
        <f aca="false">IF(AND(TRIM(F1216)&lt;&gt;"",COUNTIF(F$2:F1216,F1216)=1),MAX(Q$1:Q1215)+1,"")</f>
        <v/>
      </c>
    </row>
    <row r="1217" customFormat="false" ht="15" hidden="false" customHeight="false" outlineLevel="0" collapsed="false">
      <c r="A1217" s="9"/>
      <c r="B1217" s="10"/>
      <c r="C1217" s="11"/>
      <c r="D1217" s="11"/>
      <c r="E1217" s="11"/>
      <c r="F1217" s="11"/>
      <c r="G1217" s="12"/>
      <c r="H1217" s="12"/>
      <c r="I1217" s="10"/>
      <c r="J1217" s="12"/>
      <c r="K1217" s="13" t="str">
        <f aca="false">IF(ISNUMBER(B1217),YEAR(B1217),"")</f>
        <v/>
      </c>
      <c r="L1217" s="13" t="str">
        <f aca="false">IF(ISNUMBER(B1217),MONTH(B1217),"")</f>
        <v/>
      </c>
      <c r="M1217" s="13" t="str">
        <f aca="false">IF(AND(ISNUMBER(B1217),ISNUMBER(I1217)),B1217-I1217+1,"")</f>
        <v/>
      </c>
      <c r="N1217" s="14" t="str">
        <f aca="false">IF(B1217="","",IF(M1217="","시작일 미입력",IF(M1217&lt;1,"시작일 이전(확인)",IF(M1217=1,"1일째",IF(M1217=2,"2일째",IF(M1217=3,"3일째",IF(M1217&lt;=7,"일주일 이내",IF(M1217&lt;=14,"이주일 이내","15일 이후"))))))))</f>
        <v/>
      </c>
      <c r="O1217" s="0" t="str">
        <f aca="false">IF(AND(COUNTA($A1217:$J1217)&gt;0,OR(클레임조회!$C$4="",AND(ISNUMBER($B1217),$B1217&gt;=클레임조회!$C$4)),OR(클레임조회!$C$5="",AND(ISNUMBER($B1217),$B1217&lt;=클레임조회!$C$5)),OR(클레임조회!$C$6="",$C1217=클레임조회!$C$6),OR(클레임조회!$C$7="",$D1217=클레임조회!$C$7),OR(클레임조회!$C$8="",$E1217=클레임조회!$C$8),OR(클레임조회!$C$9="",$F1217=클레임조회!$C$9),OR(클레임조회!$C$10="",ISNUMBER(SEARCH(클레임조회!$C$10,$C1217&amp;" "&amp;$F1217&amp;" "&amp;$G1217&amp;" "&amp;$H1217)))),COUNT(O$1:O1216)+1,"")</f>
        <v/>
      </c>
      <c r="P1217" s="0" t="str">
        <f aca="false">IF(AND(TRIM(C1217)&lt;&gt;"",COUNTIF(C$2:C1217,C1217)=1),MAX(P$1:P1216)+1,"")</f>
        <v/>
      </c>
      <c r="Q1217" s="0" t="str">
        <f aca="false">IF(AND(TRIM(F1217)&lt;&gt;"",COUNTIF(F$2:F1217,F1217)=1),MAX(Q$1:Q1216)+1,"")</f>
        <v/>
      </c>
    </row>
    <row r="1218" customFormat="false" ht="15" hidden="false" customHeight="false" outlineLevel="0" collapsed="false">
      <c r="A1218" s="9"/>
      <c r="B1218" s="10"/>
      <c r="C1218" s="11"/>
      <c r="D1218" s="11"/>
      <c r="E1218" s="11"/>
      <c r="F1218" s="11"/>
      <c r="G1218" s="12"/>
      <c r="H1218" s="12"/>
      <c r="I1218" s="10"/>
      <c r="J1218" s="12"/>
      <c r="K1218" s="13" t="str">
        <f aca="false">IF(ISNUMBER(B1218),YEAR(B1218),"")</f>
        <v/>
      </c>
      <c r="L1218" s="13" t="str">
        <f aca="false">IF(ISNUMBER(B1218),MONTH(B1218),"")</f>
        <v/>
      </c>
      <c r="M1218" s="13" t="str">
        <f aca="false">IF(AND(ISNUMBER(B1218),ISNUMBER(I1218)),B1218-I1218+1,"")</f>
        <v/>
      </c>
      <c r="N1218" s="14" t="str">
        <f aca="false">IF(B1218="","",IF(M1218="","시작일 미입력",IF(M1218&lt;1,"시작일 이전(확인)",IF(M1218=1,"1일째",IF(M1218=2,"2일째",IF(M1218=3,"3일째",IF(M1218&lt;=7,"일주일 이내",IF(M1218&lt;=14,"이주일 이내","15일 이후"))))))))</f>
        <v/>
      </c>
      <c r="O1218" s="0" t="str">
        <f aca="false">IF(AND(COUNTA($A1218:$J1218)&gt;0,OR(클레임조회!$C$4="",AND(ISNUMBER($B1218),$B1218&gt;=클레임조회!$C$4)),OR(클레임조회!$C$5="",AND(ISNUMBER($B1218),$B1218&lt;=클레임조회!$C$5)),OR(클레임조회!$C$6="",$C1218=클레임조회!$C$6),OR(클레임조회!$C$7="",$D1218=클레임조회!$C$7),OR(클레임조회!$C$8="",$E1218=클레임조회!$C$8),OR(클레임조회!$C$9="",$F1218=클레임조회!$C$9),OR(클레임조회!$C$10="",ISNUMBER(SEARCH(클레임조회!$C$10,$C1218&amp;" "&amp;$F1218&amp;" "&amp;$G1218&amp;" "&amp;$H1218)))),COUNT(O$1:O1217)+1,"")</f>
        <v/>
      </c>
      <c r="P1218" s="0" t="str">
        <f aca="false">IF(AND(TRIM(C1218)&lt;&gt;"",COUNTIF(C$2:C1218,C1218)=1),MAX(P$1:P1217)+1,"")</f>
        <v/>
      </c>
      <c r="Q1218" s="0" t="str">
        <f aca="false">IF(AND(TRIM(F1218)&lt;&gt;"",COUNTIF(F$2:F1218,F1218)=1),MAX(Q$1:Q1217)+1,"")</f>
        <v/>
      </c>
    </row>
    <row r="1219" customFormat="false" ht="15" hidden="false" customHeight="false" outlineLevel="0" collapsed="false">
      <c r="A1219" s="9"/>
      <c r="B1219" s="10"/>
      <c r="C1219" s="11"/>
      <c r="D1219" s="11"/>
      <c r="E1219" s="11"/>
      <c r="F1219" s="11"/>
      <c r="G1219" s="12"/>
      <c r="H1219" s="12"/>
      <c r="I1219" s="10"/>
      <c r="J1219" s="12"/>
      <c r="K1219" s="13" t="str">
        <f aca="false">IF(ISNUMBER(B1219),YEAR(B1219),"")</f>
        <v/>
      </c>
      <c r="L1219" s="13" t="str">
        <f aca="false">IF(ISNUMBER(B1219),MONTH(B1219),"")</f>
        <v/>
      </c>
      <c r="M1219" s="13" t="str">
        <f aca="false">IF(AND(ISNUMBER(B1219),ISNUMBER(I1219)),B1219-I1219+1,"")</f>
        <v/>
      </c>
      <c r="N1219" s="14" t="str">
        <f aca="false">IF(B1219="","",IF(M1219="","시작일 미입력",IF(M1219&lt;1,"시작일 이전(확인)",IF(M1219=1,"1일째",IF(M1219=2,"2일째",IF(M1219=3,"3일째",IF(M1219&lt;=7,"일주일 이내",IF(M1219&lt;=14,"이주일 이내","15일 이후"))))))))</f>
        <v/>
      </c>
      <c r="O1219" s="0" t="str">
        <f aca="false">IF(AND(COUNTA($A1219:$J1219)&gt;0,OR(클레임조회!$C$4="",AND(ISNUMBER($B1219),$B1219&gt;=클레임조회!$C$4)),OR(클레임조회!$C$5="",AND(ISNUMBER($B1219),$B1219&lt;=클레임조회!$C$5)),OR(클레임조회!$C$6="",$C1219=클레임조회!$C$6),OR(클레임조회!$C$7="",$D1219=클레임조회!$C$7),OR(클레임조회!$C$8="",$E1219=클레임조회!$C$8),OR(클레임조회!$C$9="",$F1219=클레임조회!$C$9),OR(클레임조회!$C$10="",ISNUMBER(SEARCH(클레임조회!$C$10,$C1219&amp;" "&amp;$F1219&amp;" "&amp;$G1219&amp;" "&amp;$H1219)))),COUNT(O$1:O1218)+1,"")</f>
        <v/>
      </c>
      <c r="P1219" s="0" t="str">
        <f aca="false">IF(AND(TRIM(C1219)&lt;&gt;"",COUNTIF(C$2:C1219,C1219)=1),MAX(P$1:P1218)+1,"")</f>
        <v/>
      </c>
      <c r="Q1219" s="0" t="str">
        <f aca="false">IF(AND(TRIM(F1219)&lt;&gt;"",COUNTIF(F$2:F1219,F1219)=1),MAX(Q$1:Q1218)+1,"")</f>
        <v/>
      </c>
    </row>
    <row r="1220" customFormat="false" ht="15" hidden="false" customHeight="false" outlineLevel="0" collapsed="false">
      <c r="A1220" s="9"/>
      <c r="B1220" s="10"/>
      <c r="C1220" s="11"/>
      <c r="D1220" s="11"/>
      <c r="E1220" s="11"/>
      <c r="F1220" s="11"/>
      <c r="G1220" s="12"/>
      <c r="H1220" s="12"/>
      <c r="I1220" s="10"/>
      <c r="J1220" s="12"/>
      <c r="K1220" s="13" t="str">
        <f aca="false">IF(ISNUMBER(B1220),YEAR(B1220),"")</f>
        <v/>
      </c>
      <c r="L1220" s="13" t="str">
        <f aca="false">IF(ISNUMBER(B1220),MONTH(B1220),"")</f>
        <v/>
      </c>
      <c r="M1220" s="13" t="str">
        <f aca="false">IF(AND(ISNUMBER(B1220),ISNUMBER(I1220)),B1220-I1220+1,"")</f>
        <v/>
      </c>
      <c r="N1220" s="14" t="str">
        <f aca="false">IF(B1220="","",IF(M1220="","시작일 미입력",IF(M1220&lt;1,"시작일 이전(확인)",IF(M1220=1,"1일째",IF(M1220=2,"2일째",IF(M1220=3,"3일째",IF(M1220&lt;=7,"일주일 이내",IF(M1220&lt;=14,"이주일 이내","15일 이후"))))))))</f>
        <v/>
      </c>
      <c r="O1220" s="0" t="str">
        <f aca="false">IF(AND(COUNTA($A1220:$J1220)&gt;0,OR(클레임조회!$C$4="",AND(ISNUMBER($B1220),$B1220&gt;=클레임조회!$C$4)),OR(클레임조회!$C$5="",AND(ISNUMBER($B1220),$B1220&lt;=클레임조회!$C$5)),OR(클레임조회!$C$6="",$C1220=클레임조회!$C$6),OR(클레임조회!$C$7="",$D1220=클레임조회!$C$7),OR(클레임조회!$C$8="",$E1220=클레임조회!$C$8),OR(클레임조회!$C$9="",$F1220=클레임조회!$C$9),OR(클레임조회!$C$10="",ISNUMBER(SEARCH(클레임조회!$C$10,$C1220&amp;" "&amp;$F1220&amp;" "&amp;$G1220&amp;" "&amp;$H1220)))),COUNT(O$1:O1219)+1,"")</f>
        <v/>
      </c>
      <c r="P1220" s="0" t="str">
        <f aca="false">IF(AND(TRIM(C1220)&lt;&gt;"",COUNTIF(C$2:C1220,C1220)=1),MAX(P$1:P1219)+1,"")</f>
        <v/>
      </c>
      <c r="Q1220" s="0" t="str">
        <f aca="false">IF(AND(TRIM(F1220)&lt;&gt;"",COUNTIF(F$2:F1220,F1220)=1),MAX(Q$1:Q1219)+1,"")</f>
        <v/>
      </c>
    </row>
    <row r="1221" customFormat="false" ht="15" hidden="false" customHeight="false" outlineLevel="0" collapsed="false">
      <c r="A1221" s="9"/>
      <c r="B1221" s="10"/>
      <c r="C1221" s="11"/>
      <c r="D1221" s="11"/>
      <c r="E1221" s="11"/>
      <c r="F1221" s="11"/>
      <c r="G1221" s="12"/>
      <c r="H1221" s="12"/>
      <c r="I1221" s="10"/>
      <c r="J1221" s="12"/>
      <c r="K1221" s="13" t="str">
        <f aca="false">IF(ISNUMBER(B1221),YEAR(B1221),"")</f>
        <v/>
      </c>
      <c r="L1221" s="13" t="str">
        <f aca="false">IF(ISNUMBER(B1221),MONTH(B1221),"")</f>
        <v/>
      </c>
      <c r="M1221" s="13" t="str">
        <f aca="false">IF(AND(ISNUMBER(B1221),ISNUMBER(I1221)),B1221-I1221+1,"")</f>
        <v/>
      </c>
      <c r="N1221" s="14" t="str">
        <f aca="false">IF(B1221="","",IF(M1221="","시작일 미입력",IF(M1221&lt;1,"시작일 이전(확인)",IF(M1221=1,"1일째",IF(M1221=2,"2일째",IF(M1221=3,"3일째",IF(M1221&lt;=7,"일주일 이내",IF(M1221&lt;=14,"이주일 이내","15일 이후"))))))))</f>
        <v/>
      </c>
      <c r="O1221" s="0" t="str">
        <f aca="false">IF(AND(COUNTA($A1221:$J1221)&gt;0,OR(클레임조회!$C$4="",AND(ISNUMBER($B1221),$B1221&gt;=클레임조회!$C$4)),OR(클레임조회!$C$5="",AND(ISNUMBER($B1221),$B1221&lt;=클레임조회!$C$5)),OR(클레임조회!$C$6="",$C1221=클레임조회!$C$6),OR(클레임조회!$C$7="",$D1221=클레임조회!$C$7),OR(클레임조회!$C$8="",$E1221=클레임조회!$C$8),OR(클레임조회!$C$9="",$F1221=클레임조회!$C$9),OR(클레임조회!$C$10="",ISNUMBER(SEARCH(클레임조회!$C$10,$C1221&amp;" "&amp;$F1221&amp;" "&amp;$G1221&amp;" "&amp;$H1221)))),COUNT(O$1:O1220)+1,"")</f>
        <v/>
      </c>
      <c r="P1221" s="0" t="str">
        <f aca="false">IF(AND(TRIM(C1221)&lt;&gt;"",COUNTIF(C$2:C1221,C1221)=1),MAX(P$1:P1220)+1,"")</f>
        <v/>
      </c>
      <c r="Q1221" s="0" t="str">
        <f aca="false">IF(AND(TRIM(F1221)&lt;&gt;"",COUNTIF(F$2:F1221,F1221)=1),MAX(Q$1:Q1220)+1,"")</f>
        <v/>
      </c>
    </row>
    <row r="1222" customFormat="false" ht="15" hidden="false" customHeight="false" outlineLevel="0" collapsed="false">
      <c r="A1222" s="9"/>
      <c r="B1222" s="10"/>
      <c r="C1222" s="11"/>
      <c r="D1222" s="11"/>
      <c r="E1222" s="11"/>
      <c r="F1222" s="11"/>
      <c r="G1222" s="12"/>
      <c r="H1222" s="12"/>
      <c r="I1222" s="10"/>
      <c r="J1222" s="12"/>
      <c r="K1222" s="13" t="str">
        <f aca="false">IF(ISNUMBER(B1222),YEAR(B1222),"")</f>
        <v/>
      </c>
      <c r="L1222" s="13" t="str">
        <f aca="false">IF(ISNUMBER(B1222),MONTH(B1222),"")</f>
        <v/>
      </c>
      <c r="M1222" s="13" t="str">
        <f aca="false">IF(AND(ISNUMBER(B1222),ISNUMBER(I1222)),B1222-I1222+1,"")</f>
        <v/>
      </c>
      <c r="N1222" s="14" t="str">
        <f aca="false">IF(B1222="","",IF(M1222="","시작일 미입력",IF(M1222&lt;1,"시작일 이전(확인)",IF(M1222=1,"1일째",IF(M1222=2,"2일째",IF(M1222=3,"3일째",IF(M1222&lt;=7,"일주일 이내",IF(M1222&lt;=14,"이주일 이내","15일 이후"))))))))</f>
        <v/>
      </c>
      <c r="O1222" s="0" t="str">
        <f aca="false">IF(AND(COUNTA($A1222:$J1222)&gt;0,OR(클레임조회!$C$4="",AND(ISNUMBER($B1222),$B1222&gt;=클레임조회!$C$4)),OR(클레임조회!$C$5="",AND(ISNUMBER($B1222),$B1222&lt;=클레임조회!$C$5)),OR(클레임조회!$C$6="",$C1222=클레임조회!$C$6),OR(클레임조회!$C$7="",$D1222=클레임조회!$C$7),OR(클레임조회!$C$8="",$E1222=클레임조회!$C$8),OR(클레임조회!$C$9="",$F1222=클레임조회!$C$9),OR(클레임조회!$C$10="",ISNUMBER(SEARCH(클레임조회!$C$10,$C1222&amp;" "&amp;$F1222&amp;" "&amp;$G1222&amp;" "&amp;$H1222)))),COUNT(O$1:O1221)+1,"")</f>
        <v/>
      </c>
      <c r="P1222" s="0" t="str">
        <f aca="false">IF(AND(TRIM(C1222)&lt;&gt;"",COUNTIF(C$2:C1222,C1222)=1),MAX(P$1:P1221)+1,"")</f>
        <v/>
      </c>
      <c r="Q1222" s="0" t="str">
        <f aca="false">IF(AND(TRIM(F1222)&lt;&gt;"",COUNTIF(F$2:F1222,F1222)=1),MAX(Q$1:Q1221)+1,"")</f>
        <v/>
      </c>
    </row>
    <row r="1223" customFormat="false" ht="15" hidden="false" customHeight="false" outlineLevel="0" collapsed="false">
      <c r="A1223" s="9"/>
      <c r="B1223" s="10"/>
      <c r="C1223" s="11"/>
      <c r="D1223" s="11"/>
      <c r="E1223" s="11"/>
      <c r="F1223" s="11"/>
      <c r="G1223" s="12"/>
      <c r="H1223" s="12"/>
      <c r="I1223" s="10"/>
      <c r="J1223" s="12"/>
      <c r="K1223" s="13" t="str">
        <f aca="false">IF(ISNUMBER(B1223),YEAR(B1223),"")</f>
        <v/>
      </c>
      <c r="L1223" s="13" t="str">
        <f aca="false">IF(ISNUMBER(B1223),MONTH(B1223),"")</f>
        <v/>
      </c>
      <c r="M1223" s="13" t="str">
        <f aca="false">IF(AND(ISNUMBER(B1223),ISNUMBER(I1223)),B1223-I1223+1,"")</f>
        <v/>
      </c>
      <c r="N1223" s="14" t="str">
        <f aca="false">IF(B1223="","",IF(M1223="","시작일 미입력",IF(M1223&lt;1,"시작일 이전(확인)",IF(M1223=1,"1일째",IF(M1223=2,"2일째",IF(M1223=3,"3일째",IF(M1223&lt;=7,"일주일 이내",IF(M1223&lt;=14,"이주일 이내","15일 이후"))))))))</f>
        <v/>
      </c>
      <c r="O1223" s="0" t="str">
        <f aca="false">IF(AND(COUNTA($A1223:$J1223)&gt;0,OR(클레임조회!$C$4="",AND(ISNUMBER($B1223),$B1223&gt;=클레임조회!$C$4)),OR(클레임조회!$C$5="",AND(ISNUMBER($B1223),$B1223&lt;=클레임조회!$C$5)),OR(클레임조회!$C$6="",$C1223=클레임조회!$C$6),OR(클레임조회!$C$7="",$D1223=클레임조회!$C$7),OR(클레임조회!$C$8="",$E1223=클레임조회!$C$8),OR(클레임조회!$C$9="",$F1223=클레임조회!$C$9),OR(클레임조회!$C$10="",ISNUMBER(SEARCH(클레임조회!$C$10,$C1223&amp;" "&amp;$F1223&amp;" "&amp;$G1223&amp;" "&amp;$H1223)))),COUNT(O$1:O1222)+1,"")</f>
        <v/>
      </c>
      <c r="P1223" s="0" t="str">
        <f aca="false">IF(AND(TRIM(C1223)&lt;&gt;"",COUNTIF(C$2:C1223,C1223)=1),MAX(P$1:P1222)+1,"")</f>
        <v/>
      </c>
      <c r="Q1223" s="0" t="str">
        <f aca="false">IF(AND(TRIM(F1223)&lt;&gt;"",COUNTIF(F$2:F1223,F1223)=1),MAX(Q$1:Q1222)+1,"")</f>
        <v/>
      </c>
    </row>
    <row r="1224" customFormat="false" ht="15" hidden="false" customHeight="false" outlineLevel="0" collapsed="false">
      <c r="A1224" s="9"/>
      <c r="B1224" s="10"/>
      <c r="C1224" s="11"/>
      <c r="D1224" s="11"/>
      <c r="E1224" s="11"/>
      <c r="F1224" s="11"/>
      <c r="G1224" s="12"/>
      <c r="H1224" s="12"/>
      <c r="I1224" s="10"/>
      <c r="J1224" s="12"/>
      <c r="K1224" s="13" t="str">
        <f aca="false">IF(ISNUMBER(B1224),YEAR(B1224),"")</f>
        <v/>
      </c>
      <c r="L1224" s="13" t="str">
        <f aca="false">IF(ISNUMBER(B1224),MONTH(B1224),"")</f>
        <v/>
      </c>
      <c r="M1224" s="13" t="str">
        <f aca="false">IF(AND(ISNUMBER(B1224),ISNUMBER(I1224)),B1224-I1224+1,"")</f>
        <v/>
      </c>
      <c r="N1224" s="14" t="str">
        <f aca="false">IF(B1224="","",IF(M1224="","시작일 미입력",IF(M1224&lt;1,"시작일 이전(확인)",IF(M1224=1,"1일째",IF(M1224=2,"2일째",IF(M1224=3,"3일째",IF(M1224&lt;=7,"일주일 이내",IF(M1224&lt;=14,"이주일 이내","15일 이후"))))))))</f>
        <v/>
      </c>
      <c r="O1224" s="0" t="str">
        <f aca="false">IF(AND(COUNTA($A1224:$J1224)&gt;0,OR(클레임조회!$C$4="",AND(ISNUMBER($B1224),$B1224&gt;=클레임조회!$C$4)),OR(클레임조회!$C$5="",AND(ISNUMBER($B1224),$B1224&lt;=클레임조회!$C$5)),OR(클레임조회!$C$6="",$C1224=클레임조회!$C$6),OR(클레임조회!$C$7="",$D1224=클레임조회!$C$7),OR(클레임조회!$C$8="",$E1224=클레임조회!$C$8),OR(클레임조회!$C$9="",$F1224=클레임조회!$C$9),OR(클레임조회!$C$10="",ISNUMBER(SEARCH(클레임조회!$C$10,$C1224&amp;" "&amp;$F1224&amp;" "&amp;$G1224&amp;" "&amp;$H1224)))),COUNT(O$1:O1223)+1,"")</f>
        <v/>
      </c>
      <c r="P1224" s="0" t="str">
        <f aca="false">IF(AND(TRIM(C1224)&lt;&gt;"",COUNTIF(C$2:C1224,C1224)=1),MAX(P$1:P1223)+1,"")</f>
        <v/>
      </c>
      <c r="Q1224" s="0" t="str">
        <f aca="false">IF(AND(TRIM(F1224)&lt;&gt;"",COUNTIF(F$2:F1224,F1224)=1),MAX(Q$1:Q1223)+1,"")</f>
        <v/>
      </c>
    </row>
    <row r="1225" customFormat="false" ht="15" hidden="false" customHeight="false" outlineLevel="0" collapsed="false">
      <c r="A1225" s="9"/>
      <c r="B1225" s="10"/>
      <c r="C1225" s="11"/>
      <c r="D1225" s="11"/>
      <c r="E1225" s="11"/>
      <c r="F1225" s="11"/>
      <c r="G1225" s="12"/>
      <c r="H1225" s="12"/>
      <c r="I1225" s="10"/>
      <c r="J1225" s="12"/>
      <c r="K1225" s="13" t="str">
        <f aca="false">IF(ISNUMBER(B1225),YEAR(B1225),"")</f>
        <v/>
      </c>
      <c r="L1225" s="13" t="str">
        <f aca="false">IF(ISNUMBER(B1225),MONTH(B1225),"")</f>
        <v/>
      </c>
      <c r="M1225" s="13" t="str">
        <f aca="false">IF(AND(ISNUMBER(B1225),ISNUMBER(I1225)),B1225-I1225+1,"")</f>
        <v/>
      </c>
      <c r="N1225" s="14" t="str">
        <f aca="false">IF(B1225="","",IF(M1225="","시작일 미입력",IF(M1225&lt;1,"시작일 이전(확인)",IF(M1225=1,"1일째",IF(M1225=2,"2일째",IF(M1225=3,"3일째",IF(M1225&lt;=7,"일주일 이내",IF(M1225&lt;=14,"이주일 이내","15일 이후"))))))))</f>
        <v/>
      </c>
      <c r="O1225" s="0" t="str">
        <f aca="false">IF(AND(COUNTA($A1225:$J1225)&gt;0,OR(클레임조회!$C$4="",AND(ISNUMBER($B1225),$B1225&gt;=클레임조회!$C$4)),OR(클레임조회!$C$5="",AND(ISNUMBER($B1225),$B1225&lt;=클레임조회!$C$5)),OR(클레임조회!$C$6="",$C1225=클레임조회!$C$6),OR(클레임조회!$C$7="",$D1225=클레임조회!$C$7),OR(클레임조회!$C$8="",$E1225=클레임조회!$C$8),OR(클레임조회!$C$9="",$F1225=클레임조회!$C$9),OR(클레임조회!$C$10="",ISNUMBER(SEARCH(클레임조회!$C$10,$C1225&amp;" "&amp;$F1225&amp;" "&amp;$G1225&amp;" "&amp;$H1225)))),COUNT(O$1:O1224)+1,"")</f>
        <v/>
      </c>
      <c r="P1225" s="0" t="str">
        <f aca="false">IF(AND(TRIM(C1225)&lt;&gt;"",COUNTIF(C$2:C1225,C1225)=1),MAX(P$1:P1224)+1,"")</f>
        <v/>
      </c>
      <c r="Q1225" s="0" t="str">
        <f aca="false">IF(AND(TRIM(F1225)&lt;&gt;"",COUNTIF(F$2:F1225,F1225)=1),MAX(Q$1:Q1224)+1,"")</f>
        <v/>
      </c>
    </row>
    <row r="1226" customFormat="false" ht="15" hidden="false" customHeight="false" outlineLevel="0" collapsed="false">
      <c r="A1226" s="9"/>
      <c r="B1226" s="10"/>
      <c r="C1226" s="11"/>
      <c r="D1226" s="11"/>
      <c r="E1226" s="11"/>
      <c r="F1226" s="11"/>
      <c r="G1226" s="12"/>
      <c r="H1226" s="12"/>
      <c r="I1226" s="10"/>
      <c r="J1226" s="12"/>
      <c r="K1226" s="13" t="str">
        <f aca="false">IF(ISNUMBER(B1226),YEAR(B1226),"")</f>
        <v/>
      </c>
      <c r="L1226" s="13" t="str">
        <f aca="false">IF(ISNUMBER(B1226),MONTH(B1226),"")</f>
        <v/>
      </c>
      <c r="M1226" s="13" t="str">
        <f aca="false">IF(AND(ISNUMBER(B1226),ISNUMBER(I1226)),B1226-I1226+1,"")</f>
        <v/>
      </c>
      <c r="N1226" s="14" t="str">
        <f aca="false">IF(B1226="","",IF(M1226="","시작일 미입력",IF(M1226&lt;1,"시작일 이전(확인)",IF(M1226=1,"1일째",IF(M1226=2,"2일째",IF(M1226=3,"3일째",IF(M1226&lt;=7,"일주일 이내",IF(M1226&lt;=14,"이주일 이내","15일 이후"))))))))</f>
        <v/>
      </c>
      <c r="O1226" s="0" t="str">
        <f aca="false">IF(AND(COUNTA($A1226:$J1226)&gt;0,OR(클레임조회!$C$4="",AND(ISNUMBER($B1226),$B1226&gt;=클레임조회!$C$4)),OR(클레임조회!$C$5="",AND(ISNUMBER($B1226),$B1226&lt;=클레임조회!$C$5)),OR(클레임조회!$C$6="",$C1226=클레임조회!$C$6),OR(클레임조회!$C$7="",$D1226=클레임조회!$C$7),OR(클레임조회!$C$8="",$E1226=클레임조회!$C$8),OR(클레임조회!$C$9="",$F1226=클레임조회!$C$9),OR(클레임조회!$C$10="",ISNUMBER(SEARCH(클레임조회!$C$10,$C1226&amp;" "&amp;$F1226&amp;" "&amp;$G1226&amp;" "&amp;$H1226)))),COUNT(O$1:O1225)+1,"")</f>
        <v/>
      </c>
      <c r="P1226" s="0" t="str">
        <f aca="false">IF(AND(TRIM(C1226)&lt;&gt;"",COUNTIF(C$2:C1226,C1226)=1),MAX(P$1:P1225)+1,"")</f>
        <v/>
      </c>
      <c r="Q1226" s="0" t="str">
        <f aca="false">IF(AND(TRIM(F1226)&lt;&gt;"",COUNTIF(F$2:F1226,F1226)=1),MAX(Q$1:Q1225)+1,"")</f>
        <v/>
      </c>
    </row>
    <row r="1227" customFormat="false" ht="15" hidden="false" customHeight="false" outlineLevel="0" collapsed="false">
      <c r="A1227" s="9"/>
      <c r="B1227" s="10"/>
      <c r="C1227" s="11"/>
      <c r="D1227" s="11"/>
      <c r="E1227" s="11"/>
      <c r="F1227" s="11"/>
      <c r="G1227" s="12"/>
      <c r="H1227" s="12"/>
      <c r="I1227" s="10"/>
      <c r="J1227" s="12"/>
      <c r="K1227" s="13" t="str">
        <f aca="false">IF(ISNUMBER(B1227),YEAR(B1227),"")</f>
        <v/>
      </c>
      <c r="L1227" s="13" t="str">
        <f aca="false">IF(ISNUMBER(B1227),MONTH(B1227),"")</f>
        <v/>
      </c>
      <c r="M1227" s="13" t="str">
        <f aca="false">IF(AND(ISNUMBER(B1227),ISNUMBER(I1227)),B1227-I1227+1,"")</f>
        <v/>
      </c>
      <c r="N1227" s="14" t="str">
        <f aca="false">IF(B1227="","",IF(M1227="","시작일 미입력",IF(M1227&lt;1,"시작일 이전(확인)",IF(M1227=1,"1일째",IF(M1227=2,"2일째",IF(M1227=3,"3일째",IF(M1227&lt;=7,"일주일 이내",IF(M1227&lt;=14,"이주일 이내","15일 이후"))))))))</f>
        <v/>
      </c>
      <c r="O1227" s="0" t="str">
        <f aca="false">IF(AND(COUNTA($A1227:$J1227)&gt;0,OR(클레임조회!$C$4="",AND(ISNUMBER($B1227),$B1227&gt;=클레임조회!$C$4)),OR(클레임조회!$C$5="",AND(ISNUMBER($B1227),$B1227&lt;=클레임조회!$C$5)),OR(클레임조회!$C$6="",$C1227=클레임조회!$C$6),OR(클레임조회!$C$7="",$D1227=클레임조회!$C$7),OR(클레임조회!$C$8="",$E1227=클레임조회!$C$8),OR(클레임조회!$C$9="",$F1227=클레임조회!$C$9),OR(클레임조회!$C$10="",ISNUMBER(SEARCH(클레임조회!$C$10,$C1227&amp;" "&amp;$F1227&amp;" "&amp;$G1227&amp;" "&amp;$H1227)))),COUNT(O$1:O1226)+1,"")</f>
        <v/>
      </c>
      <c r="P1227" s="0" t="str">
        <f aca="false">IF(AND(TRIM(C1227)&lt;&gt;"",COUNTIF(C$2:C1227,C1227)=1),MAX(P$1:P1226)+1,"")</f>
        <v/>
      </c>
      <c r="Q1227" s="0" t="str">
        <f aca="false">IF(AND(TRIM(F1227)&lt;&gt;"",COUNTIF(F$2:F1227,F1227)=1),MAX(Q$1:Q1226)+1,"")</f>
        <v/>
      </c>
    </row>
    <row r="1228" customFormat="false" ht="15" hidden="false" customHeight="false" outlineLevel="0" collapsed="false">
      <c r="A1228" s="9"/>
      <c r="B1228" s="10"/>
      <c r="C1228" s="11"/>
      <c r="D1228" s="11"/>
      <c r="E1228" s="11"/>
      <c r="F1228" s="11"/>
      <c r="G1228" s="12"/>
      <c r="H1228" s="12"/>
      <c r="I1228" s="10"/>
      <c r="J1228" s="12"/>
      <c r="K1228" s="13" t="str">
        <f aca="false">IF(ISNUMBER(B1228),YEAR(B1228),"")</f>
        <v/>
      </c>
      <c r="L1228" s="13" t="str">
        <f aca="false">IF(ISNUMBER(B1228),MONTH(B1228),"")</f>
        <v/>
      </c>
      <c r="M1228" s="13" t="str">
        <f aca="false">IF(AND(ISNUMBER(B1228),ISNUMBER(I1228)),B1228-I1228+1,"")</f>
        <v/>
      </c>
      <c r="N1228" s="14" t="str">
        <f aca="false">IF(B1228="","",IF(M1228="","시작일 미입력",IF(M1228&lt;1,"시작일 이전(확인)",IF(M1228=1,"1일째",IF(M1228=2,"2일째",IF(M1228=3,"3일째",IF(M1228&lt;=7,"일주일 이내",IF(M1228&lt;=14,"이주일 이내","15일 이후"))))))))</f>
        <v/>
      </c>
      <c r="O1228" s="0" t="str">
        <f aca="false">IF(AND(COUNTA($A1228:$J1228)&gt;0,OR(클레임조회!$C$4="",AND(ISNUMBER($B1228),$B1228&gt;=클레임조회!$C$4)),OR(클레임조회!$C$5="",AND(ISNUMBER($B1228),$B1228&lt;=클레임조회!$C$5)),OR(클레임조회!$C$6="",$C1228=클레임조회!$C$6),OR(클레임조회!$C$7="",$D1228=클레임조회!$C$7),OR(클레임조회!$C$8="",$E1228=클레임조회!$C$8),OR(클레임조회!$C$9="",$F1228=클레임조회!$C$9),OR(클레임조회!$C$10="",ISNUMBER(SEARCH(클레임조회!$C$10,$C1228&amp;" "&amp;$F1228&amp;" "&amp;$G1228&amp;" "&amp;$H1228)))),COUNT(O$1:O1227)+1,"")</f>
        <v/>
      </c>
      <c r="P1228" s="0" t="str">
        <f aca="false">IF(AND(TRIM(C1228)&lt;&gt;"",COUNTIF(C$2:C1228,C1228)=1),MAX(P$1:P1227)+1,"")</f>
        <v/>
      </c>
      <c r="Q1228" s="0" t="str">
        <f aca="false">IF(AND(TRIM(F1228)&lt;&gt;"",COUNTIF(F$2:F1228,F1228)=1),MAX(Q$1:Q1227)+1,"")</f>
        <v/>
      </c>
    </row>
    <row r="1229" customFormat="false" ht="15" hidden="false" customHeight="false" outlineLevel="0" collapsed="false">
      <c r="A1229" s="9"/>
      <c r="B1229" s="10"/>
      <c r="C1229" s="11"/>
      <c r="D1229" s="11"/>
      <c r="E1229" s="11"/>
      <c r="F1229" s="11"/>
      <c r="G1229" s="12"/>
      <c r="H1229" s="12"/>
      <c r="I1229" s="10"/>
      <c r="J1229" s="12"/>
      <c r="K1229" s="13" t="str">
        <f aca="false">IF(ISNUMBER(B1229),YEAR(B1229),"")</f>
        <v/>
      </c>
      <c r="L1229" s="13" t="str">
        <f aca="false">IF(ISNUMBER(B1229),MONTH(B1229),"")</f>
        <v/>
      </c>
      <c r="M1229" s="13" t="str">
        <f aca="false">IF(AND(ISNUMBER(B1229),ISNUMBER(I1229)),B1229-I1229+1,"")</f>
        <v/>
      </c>
      <c r="N1229" s="14" t="str">
        <f aca="false">IF(B1229="","",IF(M1229="","시작일 미입력",IF(M1229&lt;1,"시작일 이전(확인)",IF(M1229=1,"1일째",IF(M1229=2,"2일째",IF(M1229=3,"3일째",IF(M1229&lt;=7,"일주일 이내",IF(M1229&lt;=14,"이주일 이내","15일 이후"))))))))</f>
        <v/>
      </c>
      <c r="O1229" s="0" t="str">
        <f aca="false">IF(AND(COUNTA($A1229:$J1229)&gt;0,OR(클레임조회!$C$4="",AND(ISNUMBER($B1229),$B1229&gt;=클레임조회!$C$4)),OR(클레임조회!$C$5="",AND(ISNUMBER($B1229),$B1229&lt;=클레임조회!$C$5)),OR(클레임조회!$C$6="",$C1229=클레임조회!$C$6),OR(클레임조회!$C$7="",$D1229=클레임조회!$C$7),OR(클레임조회!$C$8="",$E1229=클레임조회!$C$8),OR(클레임조회!$C$9="",$F1229=클레임조회!$C$9),OR(클레임조회!$C$10="",ISNUMBER(SEARCH(클레임조회!$C$10,$C1229&amp;" "&amp;$F1229&amp;" "&amp;$G1229&amp;" "&amp;$H1229)))),COUNT(O$1:O1228)+1,"")</f>
        <v/>
      </c>
      <c r="P1229" s="0" t="str">
        <f aca="false">IF(AND(TRIM(C1229)&lt;&gt;"",COUNTIF(C$2:C1229,C1229)=1),MAX(P$1:P1228)+1,"")</f>
        <v/>
      </c>
      <c r="Q1229" s="0" t="str">
        <f aca="false">IF(AND(TRIM(F1229)&lt;&gt;"",COUNTIF(F$2:F1229,F1229)=1),MAX(Q$1:Q1228)+1,"")</f>
        <v/>
      </c>
    </row>
    <row r="1230" customFormat="false" ht="15" hidden="false" customHeight="false" outlineLevel="0" collapsed="false">
      <c r="A1230" s="9"/>
      <c r="B1230" s="10"/>
      <c r="C1230" s="11"/>
      <c r="D1230" s="11"/>
      <c r="E1230" s="11"/>
      <c r="F1230" s="11"/>
      <c r="G1230" s="12"/>
      <c r="H1230" s="12"/>
      <c r="I1230" s="10"/>
      <c r="J1230" s="12"/>
      <c r="K1230" s="13" t="str">
        <f aca="false">IF(ISNUMBER(B1230),YEAR(B1230),"")</f>
        <v/>
      </c>
      <c r="L1230" s="13" t="str">
        <f aca="false">IF(ISNUMBER(B1230),MONTH(B1230),"")</f>
        <v/>
      </c>
      <c r="M1230" s="13" t="str">
        <f aca="false">IF(AND(ISNUMBER(B1230),ISNUMBER(I1230)),B1230-I1230+1,"")</f>
        <v/>
      </c>
      <c r="N1230" s="14" t="str">
        <f aca="false">IF(B1230="","",IF(M1230="","시작일 미입력",IF(M1230&lt;1,"시작일 이전(확인)",IF(M1230=1,"1일째",IF(M1230=2,"2일째",IF(M1230=3,"3일째",IF(M1230&lt;=7,"일주일 이내",IF(M1230&lt;=14,"이주일 이내","15일 이후"))))))))</f>
        <v/>
      </c>
      <c r="O1230" s="0" t="str">
        <f aca="false">IF(AND(COUNTA($A1230:$J1230)&gt;0,OR(클레임조회!$C$4="",AND(ISNUMBER($B1230),$B1230&gt;=클레임조회!$C$4)),OR(클레임조회!$C$5="",AND(ISNUMBER($B1230),$B1230&lt;=클레임조회!$C$5)),OR(클레임조회!$C$6="",$C1230=클레임조회!$C$6),OR(클레임조회!$C$7="",$D1230=클레임조회!$C$7),OR(클레임조회!$C$8="",$E1230=클레임조회!$C$8),OR(클레임조회!$C$9="",$F1230=클레임조회!$C$9),OR(클레임조회!$C$10="",ISNUMBER(SEARCH(클레임조회!$C$10,$C1230&amp;" "&amp;$F1230&amp;" "&amp;$G1230&amp;" "&amp;$H1230)))),COUNT(O$1:O1229)+1,"")</f>
        <v/>
      </c>
      <c r="P1230" s="0" t="str">
        <f aca="false">IF(AND(TRIM(C1230)&lt;&gt;"",COUNTIF(C$2:C1230,C1230)=1),MAX(P$1:P1229)+1,"")</f>
        <v/>
      </c>
      <c r="Q1230" s="0" t="str">
        <f aca="false">IF(AND(TRIM(F1230)&lt;&gt;"",COUNTIF(F$2:F1230,F1230)=1),MAX(Q$1:Q1229)+1,"")</f>
        <v/>
      </c>
    </row>
    <row r="1231" customFormat="false" ht="15" hidden="false" customHeight="false" outlineLevel="0" collapsed="false">
      <c r="A1231" s="9"/>
      <c r="B1231" s="10"/>
      <c r="C1231" s="11"/>
      <c r="D1231" s="11"/>
      <c r="E1231" s="11"/>
      <c r="F1231" s="11"/>
      <c r="G1231" s="12"/>
      <c r="H1231" s="12"/>
      <c r="I1231" s="10"/>
      <c r="J1231" s="12"/>
      <c r="K1231" s="13" t="str">
        <f aca="false">IF(ISNUMBER(B1231),YEAR(B1231),"")</f>
        <v/>
      </c>
      <c r="L1231" s="13" t="str">
        <f aca="false">IF(ISNUMBER(B1231),MONTH(B1231),"")</f>
        <v/>
      </c>
      <c r="M1231" s="13" t="str">
        <f aca="false">IF(AND(ISNUMBER(B1231),ISNUMBER(I1231)),B1231-I1231+1,"")</f>
        <v/>
      </c>
      <c r="N1231" s="14" t="str">
        <f aca="false">IF(B1231="","",IF(M1231="","시작일 미입력",IF(M1231&lt;1,"시작일 이전(확인)",IF(M1231=1,"1일째",IF(M1231=2,"2일째",IF(M1231=3,"3일째",IF(M1231&lt;=7,"일주일 이내",IF(M1231&lt;=14,"이주일 이내","15일 이후"))))))))</f>
        <v/>
      </c>
      <c r="O1231" s="0" t="str">
        <f aca="false">IF(AND(COUNTA($A1231:$J1231)&gt;0,OR(클레임조회!$C$4="",AND(ISNUMBER($B1231),$B1231&gt;=클레임조회!$C$4)),OR(클레임조회!$C$5="",AND(ISNUMBER($B1231),$B1231&lt;=클레임조회!$C$5)),OR(클레임조회!$C$6="",$C1231=클레임조회!$C$6),OR(클레임조회!$C$7="",$D1231=클레임조회!$C$7),OR(클레임조회!$C$8="",$E1231=클레임조회!$C$8),OR(클레임조회!$C$9="",$F1231=클레임조회!$C$9),OR(클레임조회!$C$10="",ISNUMBER(SEARCH(클레임조회!$C$10,$C1231&amp;" "&amp;$F1231&amp;" "&amp;$G1231&amp;" "&amp;$H1231)))),COUNT(O$1:O1230)+1,"")</f>
        <v/>
      </c>
      <c r="P1231" s="0" t="str">
        <f aca="false">IF(AND(TRIM(C1231)&lt;&gt;"",COUNTIF(C$2:C1231,C1231)=1),MAX(P$1:P1230)+1,"")</f>
        <v/>
      </c>
      <c r="Q1231" s="0" t="str">
        <f aca="false">IF(AND(TRIM(F1231)&lt;&gt;"",COUNTIF(F$2:F1231,F1231)=1),MAX(Q$1:Q1230)+1,"")</f>
        <v/>
      </c>
    </row>
    <row r="1232" customFormat="false" ht="15" hidden="false" customHeight="false" outlineLevel="0" collapsed="false">
      <c r="A1232" s="9"/>
      <c r="B1232" s="10"/>
      <c r="C1232" s="11"/>
      <c r="D1232" s="11"/>
      <c r="E1232" s="11"/>
      <c r="F1232" s="11"/>
      <c r="G1232" s="12"/>
      <c r="H1232" s="12"/>
      <c r="I1232" s="10"/>
      <c r="J1232" s="12"/>
      <c r="K1232" s="13" t="str">
        <f aca="false">IF(ISNUMBER(B1232),YEAR(B1232),"")</f>
        <v/>
      </c>
      <c r="L1232" s="13" t="str">
        <f aca="false">IF(ISNUMBER(B1232),MONTH(B1232),"")</f>
        <v/>
      </c>
      <c r="M1232" s="13" t="str">
        <f aca="false">IF(AND(ISNUMBER(B1232),ISNUMBER(I1232)),B1232-I1232+1,"")</f>
        <v/>
      </c>
      <c r="N1232" s="14" t="str">
        <f aca="false">IF(B1232="","",IF(M1232="","시작일 미입력",IF(M1232&lt;1,"시작일 이전(확인)",IF(M1232=1,"1일째",IF(M1232=2,"2일째",IF(M1232=3,"3일째",IF(M1232&lt;=7,"일주일 이내",IF(M1232&lt;=14,"이주일 이내","15일 이후"))))))))</f>
        <v/>
      </c>
      <c r="O1232" s="0" t="str">
        <f aca="false">IF(AND(COUNTA($A1232:$J1232)&gt;0,OR(클레임조회!$C$4="",AND(ISNUMBER($B1232),$B1232&gt;=클레임조회!$C$4)),OR(클레임조회!$C$5="",AND(ISNUMBER($B1232),$B1232&lt;=클레임조회!$C$5)),OR(클레임조회!$C$6="",$C1232=클레임조회!$C$6),OR(클레임조회!$C$7="",$D1232=클레임조회!$C$7),OR(클레임조회!$C$8="",$E1232=클레임조회!$C$8),OR(클레임조회!$C$9="",$F1232=클레임조회!$C$9),OR(클레임조회!$C$10="",ISNUMBER(SEARCH(클레임조회!$C$10,$C1232&amp;" "&amp;$F1232&amp;" "&amp;$G1232&amp;" "&amp;$H1232)))),COUNT(O$1:O1231)+1,"")</f>
        <v/>
      </c>
      <c r="P1232" s="0" t="str">
        <f aca="false">IF(AND(TRIM(C1232)&lt;&gt;"",COUNTIF(C$2:C1232,C1232)=1),MAX(P$1:P1231)+1,"")</f>
        <v/>
      </c>
      <c r="Q1232" s="0" t="str">
        <f aca="false">IF(AND(TRIM(F1232)&lt;&gt;"",COUNTIF(F$2:F1232,F1232)=1),MAX(Q$1:Q1231)+1,"")</f>
        <v/>
      </c>
    </row>
    <row r="1233" customFormat="false" ht="15" hidden="false" customHeight="false" outlineLevel="0" collapsed="false">
      <c r="A1233" s="9"/>
      <c r="B1233" s="10"/>
      <c r="C1233" s="11"/>
      <c r="D1233" s="11"/>
      <c r="E1233" s="11"/>
      <c r="F1233" s="11"/>
      <c r="G1233" s="12"/>
      <c r="H1233" s="12"/>
      <c r="I1233" s="10"/>
      <c r="J1233" s="12"/>
      <c r="K1233" s="13" t="str">
        <f aca="false">IF(ISNUMBER(B1233),YEAR(B1233),"")</f>
        <v/>
      </c>
      <c r="L1233" s="13" t="str">
        <f aca="false">IF(ISNUMBER(B1233),MONTH(B1233),"")</f>
        <v/>
      </c>
      <c r="M1233" s="13" t="str">
        <f aca="false">IF(AND(ISNUMBER(B1233),ISNUMBER(I1233)),B1233-I1233+1,"")</f>
        <v/>
      </c>
      <c r="N1233" s="14" t="str">
        <f aca="false">IF(B1233="","",IF(M1233="","시작일 미입력",IF(M1233&lt;1,"시작일 이전(확인)",IF(M1233=1,"1일째",IF(M1233=2,"2일째",IF(M1233=3,"3일째",IF(M1233&lt;=7,"일주일 이내",IF(M1233&lt;=14,"이주일 이내","15일 이후"))))))))</f>
        <v/>
      </c>
      <c r="O1233" s="0" t="str">
        <f aca="false">IF(AND(COUNTA($A1233:$J1233)&gt;0,OR(클레임조회!$C$4="",AND(ISNUMBER($B1233),$B1233&gt;=클레임조회!$C$4)),OR(클레임조회!$C$5="",AND(ISNUMBER($B1233),$B1233&lt;=클레임조회!$C$5)),OR(클레임조회!$C$6="",$C1233=클레임조회!$C$6),OR(클레임조회!$C$7="",$D1233=클레임조회!$C$7),OR(클레임조회!$C$8="",$E1233=클레임조회!$C$8),OR(클레임조회!$C$9="",$F1233=클레임조회!$C$9),OR(클레임조회!$C$10="",ISNUMBER(SEARCH(클레임조회!$C$10,$C1233&amp;" "&amp;$F1233&amp;" "&amp;$G1233&amp;" "&amp;$H1233)))),COUNT(O$1:O1232)+1,"")</f>
        <v/>
      </c>
      <c r="P1233" s="0" t="str">
        <f aca="false">IF(AND(TRIM(C1233)&lt;&gt;"",COUNTIF(C$2:C1233,C1233)=1),MAX(P$1:P1232)+1,"")</f>
        <v/>
      </c>
      <c r="Q1233" s="0" t="str">
        <f aca="false">IF(AND(TRIM(F1233)&lt;&gt;"",COUNTIF(F$2:F1233,F1233)=1),MAX(Q$1:Q1232)+1,"")</f>
        <v/>
      </c>
    </row>
    <row r="1234" customFormat="false" ht="15" hidden="false" customHeight="false" outlineLevel="0" collapsed="false">
      <c r="A1234" s="9"/>
      <c r="B1234" s="10"/>
      <c r="C1234" s="11"/>
      <c r="D1234" s="11"/>
      <c r="E1234" s="11"/>
      <c r="F1234" s="11"/>
      <c r="G1234" s="12"/>
      <c r="H1234" s="12"/>
      <c r="I1234" s="10"/>
      <c r="J1234" s="12"/>
      <c r="K1234" s="13" t="str">
        <f aca="false">IF(ISNUMBER(B1234),YEAR(B1234),"")</f>
        <v/>
      </c>
      <c r="L1234" s="13" t="str">
        <f aca="false">IF(ISNUMBER(B1234),MONTH(B1234),"")</f>
        <v/>
      </c>
      <c r="M1234" s="13" t="str">
        <f aca="false">IF(AND(ISNUMBER(B1234),ISNUMBER(I1234)),B1234-I1234+1,"")</f>
        <v/>
      </c>
      <c r="N1234" s="14" t="str">
        <f aca="false">IF(B1234="","",IF(M1234="","시작일 미입력",IF(M1234&lt;1,"시작일 이전(확인)",IF(M1234=1,"1일째",IF(M1234=2,"2일째",IF(M1234=3,"3일째",IF(M1234&lt;=7,"일주일 이내",IF(M1234&lt;=14,"이주일 이내","15일 이후"))))))))</f>
        <v/>
      </c>
      <c r="O1234" s="0" t="str">
        <f aca="false">IF(AND(COUNTA($A1234:$J1234)&gt;0,OR(클레임조회!$C$4="",AND(ISNUMBER($B1234),$B1234&gt;=클레임조회!$C$4)),OR(클레임조회!$C$5="",AND(ISNUMBER($B1234),$B1234&lt;=클레임조회!$C$5)),OR(클레임조회!$C$6="",$C1234=클레임조회!$C$6),OR(클레임조회!$C$7="",$D1234=클레임조회!$C$7),OR(클레임조회!$C$8="",$E1234=클레임조회!$C$8),OR(클레임조회!$C$9="",$F1234=클레임조회!$C$9),OR(클레임조회!$C$10="",ISNUMBER(SEARCH(클레임조회!$C$10,$C1234&amp;" "&amp;$F1234&amp;" "&amp;$G1234&amp;" "&amp;$H1234)))),COUNT(O$1:O1233)+1,"")</f>
        <v/>
      </c>
      <c r="P1234" s="0" t="str">
        <f aca="false">IF(AND(TRIM(C1234)&lt;&gt;"",COUNTIF(C$2:C1234,C1234)=1),MAX(P$1:P1233)+1,"")</f>
        <v/>
      </c>
      <c r="Q1234" s="0" t="str">
        <f aca="false">IF(AND(TRIM(F1234)&lt;&gt;"",COUNTIF(F$2:F1234,F1234)=1),MAX(Q$1:Q1233)+1,"")</f>
        <v/>
      </c>
    </row>
    <row r="1235" customFormat="false" ht="15" hidden="false" customHeight="false" outlineLevel="0" collapsed="false">
      <c r="A1235" s="9"/>
      <c r="B1235" s="10"/>
      <c r="C1235" s="11"/>
      <c r="D1235" s="11"/>
      <c r="E1235" s="11"/>
      <c r="F1235" s="11"/>
      <c r="G1235" s="12"/>
      <c r="H1235" s="12"/>
      <c r="I1235" s="10"/>
      <c r="J1235" s="12"/>
      <c r="K1235" s="13" t="str">
        <f aca="false">IF(ISNUMBER(B1235),YEAR(B1235),"")</f>
        <v/>
      </c>
      <c r="L1235" s="13" t="str">
        <f aca="false">IF(ISNUMBER(B1235),MONTH(B1235),"")</f>
        <v/>
      </c>
      <c r="M1235" s="13" t="str">
        <f aca="false">IF(AND(ISNUMBER(B1235),ISNUMBER(I1235)),B1235-I1235+1,"")</f>
        <v/>
      </c>
      <c r="N1235" s="14" t="str">
        <f aca="false">IF(B1235="","",IF(M1235="","시작일 미입력",IF(M1235&lt;1,"시작일 이전(확인)",IF(M1235=1,"1일째",IF(M1235=2,"2일째",IF(M1235=3,"3일째",IF(M1235&lt;=7,"일주일 이내",IF(M1235&lt;=14,"이주일 이내","15일 이후"))))))))</f>
        <v/>
      </c>
      <c r="O1235" s="0" t="str">
        <f aca="false">IF(AND(COUNTA($A1235:$J1235)&gt;0,OR(클레임조회!$C$4="",AND(ISNUMBER($B1235),$B1235&gt;=클레임조회!$C$4)),OR(클레임조회!$C$5="",AND(ISNUMBER($B1235),$B1235&lt;=클레임조회!$C$5)),OR(클레임조회!$C$6="",$C1235=클레임조회!$C$6),OR(클레임조회!$C$7="",$D1235=클레임조회!$C$7),OR(클레임조회!$C$8="",$E1235=클레임조회!$C$8),OR(클레임조회!$C$9="",$F1235=클레임조회!$C$9),OR(클레임조회!$C$10="",ISNUMBER(SEARCH(클레임조회!$C$10,$C1235&amp;" "&amp;$F1235&amp;" "&amp;$G1235&amp;" "&amp;$H1235)))),COUNT(O$1:O1234)+1,"")</f>
        <v/>
      </c>
      <c r="P1235" s="0" t="str">
        <f aca="false">IF(AND(TRIM(C1235)&lt;&gt;"",COUNTIF(C$2:C1235,C1235)=1),MAX(P$1:P1234)+1,"")</f>
        <v/>
      </c>
      <c r="Q1235" s="0" t="str">
        <f aca="false">IF(AND(TRIM(F1235)&lt;&gt;"",COUNTIF(F$2:F1235,F1235)=1),MAX(Q$1:Q1234)+1,"")</f>
        <v/>
      </c>
    </row>
    <row r="1236" customFormat="false" ht="15" hidden="false" customHeight="false" outlineLevel="0" collapsed="false">
      <c r="A1236" s="9"/>
      <c r="B1236" s="10"/>
      <c r="C1236" s="11"/>
      <c r="D1236" s="11"/>
      <c r="E1236" s="11"/>
      <c r="F1236" s="11"/>
      <c r="G1236" s="12"/>
      <c r="H1236" s="12"/>
      <c r="I1236" s="10"/>
      <c r="J1236" s="12"/>
      <c r="K1236" s="13" t="str">
        <f aca="false">IF(ISNUMBER(B1236),YEAR(B1236),"")</f>
        <v/>
      </c>
      <c r="L1236" s="13" t="str">
        <f aca="false">IF(ISNUMBER(B1236),MONTH(B1236),"")</f>
        <v/>
      </c>
      <c r="M1236" s="13" t="str">
        <f aca="false">IF(AND(ISNUMBER(B1236),ISNUMBER(I1236)),B1236-I1236+1,"")</f>
        <v/>
      </c>
      <c r="N1236" s="14" t="str">
        <f aca="false">IF(B1236="","",IF(M1236="","시작일 미입력",IF(M1236&lt;1,"시작일 이전(확인)",IF(M1236=1,"1일째",IF(M1236=2,"2일째",IF(M1236=3,"3일째",IF(M1236&lt;=7,"일주일 이내",IF(M1236&lt;=14,"이주일 이내","15일 이후"))))))))</f>
        <v/>
      </c>
      <c r="O1236" s="0" t="str">
        <f aca="false">IF(AND(COUNTA($A1236:$J1236)&gt;0,OR(클레임조회!$C$4="",AND(ISNUMBER($B1236),$B1236&gt;=클레임조회!$C$4)),OR(클레임조회!$C$5="",AND(ISNUMBER($B1236),$B1236&lt;=클레임조회!$C$5)),OR(클레임조회!$C$6="",$C1236=클레임조회!$C$6),OR(클레임조회!$C$7="",$D1236=클레임조회!$C$7),OR(클레임조회!$C$8="",$E1236=클레임조회!$C$8),OR(클레임조회!$C$9="",$F1236=클레임조회!$C$9),OR(클레임조회!$C$10="",ISNUMBER(SEARCH(클레임조회!$C$10,$C1236&amp;" "&amp;$F1236&amp;" "&amp;$G1236&amp;" "&amp;$H1236)))),COUNT(O$1:O1235)+1,"")</f>
        <v/>
      </c>
      <c r="P1236" s="0" t="str">
        <f aca="false">IF(AND(TRIM(C1236)&lt;&gt;"",COUNTIF(C$2:C1236,C1236)=1),MAX(P$1:P1235)+1,"")</f>
        <v/>
      </c>
      <c r="Q1236" s="0" t="str">
        <f aca="false">IF(AND(TRIM(F1236)&lt;&gt;"",COUNTIF(F$2:F1236,F1236)=1),MAX(Q$1:Q1235)+1,"")</f>
        <v/>
      </c>
    </row>
    <row r="1237" customFormat="false" ht="15" hidden="false" customHeight="false" outlineLevel="0" collapsed="false">
      <c r="A1237" s="9"/>
      <c r="B1237" s="10"/>
      <c r="C1237" s="11"/>
      <c r="D1237" s="11"/>
      <c r="E1237" s="11"/>
      <c r="F1237" s="11"/>
      <c r="G1237" s="12"/>
      <c r="H1237" s="12"/>
      <c r="I1237" s="10"/>
      <c r="J1237" s="12"/>
      <c r="K1237" s="13" t="str">
        <f aca="false">IF(ISNUMBER(B1237),YEAR(B1237),"")</f>
        <v/>
      </c>
      <c r="L1237" s="13" t="str">
        <f aca="false">IF(ISNUMBER(B1237),MONTH(B1237),"")</f>
        <v/>
      </c>
      <c r="M1237" s="13" t="str">
        <f aca="false">IF(AND(ISNUMBER(B1237),ISNUMBER(I1237)),B1237-I1237+1,"")</f>
        <v/>
      </c>
      <c r="N1237" s="14" t="str">
        <f aca="false">IF(B1237="","",IF(M1237="","시작일 미입력",IF(M1237&lt;1,"시작일 이전(확인)",IF(M1237=1,"1일째",IF(M1237=2,"2일째",IF(M1237=3,"3일째",IF(M1237&lt;=7,"일주일 이내",IF(M1237&lt;=14,"이주일 이내","15일 이후"))))))))</f>
        <v/>
      </c>
      <c r="O1237" s="0" t="str">
        <f aca="false">IF(AND(COUNTA($A1237:$J1237)&gt;0,OR(클레임조회!$C$4="",AND(ISNUMBER($B1237),$B1237&gt;=클레임조회!$C$4)),OR(클레임조회!$C$5="",AND(ISNUMBER($B1237),$B1237&lt;=클레임조회!$C$5)),OR(클레임조회!$C$6="",$C1237=클레임조회!$C$6),OR(클레임조회!$C$7="",$D1237=클레임조회!$C$7),OR(클레임조회!$C$8="",$E1237=클레임조회!$C$8),OR(클레임조회!$C$9="",$F1237=클레임조회!$C$9),OR(클레임조회!$C$10="",ISNUMBER(SEARCH(클레임조회!$C$10,$C1237&amp;" "&amp;$F1237&amp;" "&amp;$G1237&amp;" "&amp;$H1237)))),COUNT(O$1:O1236)+1,"")</f>
        <v/>
      </c>
      <c r="P1237" s="0" t="str">
        <f aca="false">IF(AND(TRIM(C1237)&lt;&gt;"",COUNTIF(C$2:C1237,C1237)=1),MAX(P$1:P1236)+1,"")</f>
        <v/>
      </c>
      <c r="Q1237" s="0" t="str">
        <f aca="false">IF(AND(TRIM(F1237)&lt;&gt;"",COUNTIF(F$2:F1237,F1237)=1),MAX(Q$1:Q1236)+1,"")</f>
        <v/>
      </c>
    </row>
    <row r="1238" customFormat="false" ht="15" hidden="false" customHeight="false" outlineLevel="0" collapsed="false">
      <c r="A1238" s="9"/>
      <c r="B1238" s="10"/>
      <c r="C1238" s="11"/>
      <c r="D1238" s="11"/>
      <c r="E1238" s="11"/>
      <c r="F1238" s="11"/>
      <c r="G1238" s="12"/>
      <c r="H1238" s="12"/>
      <c r="I1238" s="10"/>
      <c r="J1238" s="12"/>
      <c r="K1238" s="13" t="str">
        <f aca="false">IF(ISNUMBER(B1238),YEAR(B1238),"")</f>
        <v/>
      </c>
      <c r="L1238" s="13" t="str">
        <f aca="false">IF(ISNUMBER(B1238),MONTH(B1238),"")</f>
        <v/>
      </c>
      <c r="M1238" s="13" t="str">
        <f aca="false">IF(AND(ISNUMBER(B1238),ISNUMBER(I1238)),B1238-I1238+1,"")</f>
        <v/>
      </c>
      <c r="N1238" s="14" t="str">
        <f aca="false">IF(B1238="","",IF(M1238="","시작일 미입력",IF(M1238&lt;1,"시작일 이전(확인)",IF(M1238=1,"1일째",IF(M1238=2,"2일째",IF(M1238=3,"3일째",IF(M1238&lt;=7,"일주일 이내",IF(M1238&lt;=14,"이주일 이내","15일 이후"))))))))</f>
        <v/>
      </c>
      <c r="O1238" s="0" t="str">
        <f aca="false">IF(AND(COUNTA($A1238:$J1238)&gt;0,OR(클레임조회!$C$4="",AND(ISNUMBER($B1238),$B1238&gt;=클레임조회!$C$4)),OR(클레임조회!$C$5="",AND(ISNUMBER($B1238),$B1238&lt;=클레임조회!$C$5)),OR(클레임조회!$C$6="",$C1238=클레임조회!$C$6),OR(클레임조회!$C$7="",$D1238=클레임조회!$C$7),OR(클레임조회!$C$8="",$E1238=클레임조회!$C$8),OR(클레임조회!$C$9="",$F1238=클레임조회!$C$9),OR(클레임조회!$C$10="",ISNUMBER(SEARCH(클레임조회!$C$10,$C1238&amp;" "&amp;$F1238&amp;" "&amp;$G1238&amp;" "&amp;$H1238)))),COUNT(O$1:O1237)+1,"")</f>
        <v/>
      </c>
      <c r="P1238" s="0" t="str">
        <f aca="false">IF(AND(TRIM(C1238)&lt;&gt;"",COUNTIF(C$2:C1238,C1238)=1),MAX(P$1:P1237)+1,"")</f>
        <v/>
      </c>
      <c r="Q1238" s="0" t="str">
        <f aca="false">IF(AND(TRIM(F1238)&lt;&gt;"",COUNTIF(F$2:F1238,F1238)=1),MAX(Q$1:Q1237)+1,"")</f>
        <v/>
      </c>
    </row>
    <row r="1239" customFormat="false" ht="15" hidden="false" customHeight="false" outlineLevel="0" collapsed="false">
      <c r="A1239" s="9"/>
      <c r="B1239" s="10"/>
      <c r="C1239" s="11"/>
      <c r="D1239" s="11"/>
      <c r="E1239" s="11"/>
      <c r="F1239" s="11"/>
      <c r="G1239" s="12"/>
      <c r="H1239" s="12"/>
      <c r="I1239" s="10"/>
      <c r="J1239" s="12"/>
      <c r="K1239" s="13" t="str">
        <f aca="false">IF(ISNUMBER(B1239),YEAR(B1239),"")</f>
        <v/>
      </c>
      <c r="L1239" s="13" t="str">
        <f aca="false">IF(ISNUMBER(B1239),MONTH(B1239),"")</f>
        <v/>
      </c>
      <c r="M1239" s="13" t="str">
        <f aca="false">IF(AND(ISNUMBER(B1239),ISNUMBER(I1239)),B1239-I1239+1,"")</f>
        <v/>
      </c>
      <c r="N1239" s="14" t="str">
        <f aca="false">IF(B1239="","",IF(M1239="","시작일 미입력",IF(M1239&lt;1,"시작일 이전(확인)",IF(M1239=1,"1일째",IF(M1239=2,"2일째",IF(M1239=3,"3일째",IF(M1239&lt;=7,"일주일 이내",IF(M1239&lt;=14,"이주일 이내","15일 이후"))))))))</f>
        <v/>
      </c>
      <c r="O1239" s="0" t="str">
        <f aca="false">IF(AND(COUNTA($A1239:$J1239)&gt;0,OR(클레임조회!$C$4="",AND(ISNUMBER($B1239),$B1239&gt;=클레임조회!$C$4)),OR(클레임조회!$C$5="",AND(ISNUMBER($B1239),$B1239&lt;=클레임조회!$C$5)),OR(클레임조회!$C$6="",$C1239=클레임조회!$C$6),OR(클레임조회!$C$7="",$D1239=클레임조회!$C$7),OR(클레임조회!$C$8="",$E1239=클레임조회!$C$8),OR(클레임조회!$C$9="",$F1239=클레임조회!$C$9),OR(클레임조회!$C$10="",ISNUMBER(SEARCH(클레임조회!$C$10,$C1239&amp;" "&amp;$F1239&amp;" "&amp;$G1239&amp;" "&amp;$H1239)))),COUNT(O$1:O1238)+1,"")</f>
        <v/>
      </c>
      <c r="P1239" s="0" t="str">
        <f aca="false">IF(AND(TRIM(C1239)&lt;&gt;"",COUNTIF(C$2:C1239,C1239)=1),MAX(P$1:P1238)+1,"")</f>
        <v/>
      </c>
      <c r="Q1239" s="0" t="str">
        <f aca="false">IF(AND(TRIM(F1239)&lt;&gt;"",COUNTIF(F$2:F1239,F1239)=1),MAX(Q$1:Q1238)+1,"")</f>
        <v/>
      </c>
    </row>
    <row r="1240" customFormat="false" ht="15" hidden="false" customHeight="false" outlineLevel="0" collapsed="false">
      <c r="A1240" s="9"/>
      <c r="B1240" s="10"/>
      <c r="C1240" s="11"/>
      <c r="D1240" s="11"/>
      <c r="E1240" s="11"/>
      <c r="F1240" s="11"/>
      <c r="G1240" s="12"/>
      <c r="H1240" s="12"/>
      <c r="I1240" s="10"/>
      <c r="J1240" s="12"/>
      <c r="K1240" s="13" t="str">
        <f aca="false">IF(ISNUMBER(B1240),YEAR(B1240),"")</f>
        <v/>
      </c>
      <c r="L1240" s="13" t="str">
        <f aca="false">IF(ISNUMBER(B1240),MONTH(B1240),"")</f>
        <v/>
      </c>
      <c r="M1240" s="13" t="str">
        <f aca="false">IF(AND(ISNUMBER(B1240),ISNUMBER(I1240)),B1240-I1240+1,"")</f>
        <v/>
      </c>
      <c r="N1240" s="14" t="str">
        <f aca="false">IF(B1240="","",IF(M1240="","시작일 미입력",IF(M1240&lt;1,"시작일 이전(확인)",IF(M1240=1,"1일째",IF(M1240=2,"2일째",IF(M1240=3,"3일째",IF(M1240&lt;=7,"일주일 이내",IF(M1240&lt;=14,"이주일 이내","15일 이후"))))))))</f>
        <v/>
      </c>
      <c r="O1240" s="0" t="str">
        <f aca="false">IF(AND(COUNTA($A1240:$J1240)&gt;0,OR(클레임조회!$C$4="",AND(ISNUMBER($B1240),$B1240&gt;=클레임조회!$C$4)),OR(클레임조회!$C$5="",AND(ISNUMBER($B1240),$B1240&lt;=클레임조회!$C$5)),OR(클레임조회!$C$6="",$C1240=클레임조회!$C$6),OR(클레임조회!$C$7="",$D1240=클레임조회!$C$7),OR(클레임조회!$C$8="",$E1240=클레임조회!$C$8),OR(클레임조회!$C$9="",$F1240=클레임조회!$C$9),OR(클레임조회!$C$10="",ISNUMBER(SEARCH(클레임조회!$C$10,$C1240&amp;" "&amp;$F1240&amp;" "&amp;$G1240&amp;" "&amp;$H1240)))),COUNT(O$1:O1239)+1,"")</f>
        <v/>
      </c>
      <c r="P1240" s="0" t="str">
        <f aca="false">IF(AND(TRIM(C1240)&lt;&gt;"",COUNTIF(C$2:C1240,C1240)=1),MAX(P$1:P1239)+1,"")</f>
        <v/>
      </c>
      <c r="Q1240" s="0" t="str">
        <f aca="false">IF(AND(TRIM(F1240)&lt;&gt;"",COUNTIF(F$2:F1240,F1240)=1),MAX(Q$1:Q1239)+1,"")</f>
        <v/>
      </c>
    </row>
    <row r="1241" customFormat="false" ht="15" hidden="false" customHeight="false" outlineLevel="0" collapsed="false">
      <c r="A1241" s="9"/>
      <c r="B1241" s="10"/>
      <c r="C1241" s="11"/>
      <c r="D1241" s="11"/>
      <c r="E1241" s="11"/>
      <c r="F1241" s="11"/>
      <c r="G1241" s="12"/>
      <c r="H1241" s="12"/>
      <c r="I1241" s="10"/>
      <c r="J1241" s="12"/>
      <c r="K1241" s="13" t="str">
        <f aca="false">IF(ISNUMBER(B1241),YEAR(B1241),"")</f>
        <v/>
      </c>
      <c r="L1241" s="13" t="str">
        <f aca="false">IF(ISNUMBER(B1241),MONTH(B1241),"")</f>
        <v/>
      </c>
      <c r="M1241" s="13" t="str">
        <f aca="false">IF(AND(ISNUMBER(B1241),ISNUMBER(I1241)),B1241-I1241+1,"")</f>
        <v/>
      </c>
      <c r="N1241" s="14" t="str">
        <f aca="false">IF(B1241="","",IF(M1241="","시작일 미입력",IF(M1241&lt;1,"시작일 이전(확인)",IF(M1241=1,"1일째",IF(M1241=2,"2일째",IF(M1241=3,"3일째",IF(M1241&lt;=7,"일주일 이내",IF(M1241&lt;=14,"이주일 이내","15일 이후"))))))))</f>
        <v/>
      </c>
      <c r="O1241" s="0" t="str">
        <f aca="false">IF(AND(COUNTA($A1241:$J1241)&gt;0,OR(클레임조회!$C$4="",AND(ISNUMBER($B1241),$B1241&gt;=클레임조회!$C$4)),OR(클레임조회!$C$5="",AND(ISNUMBER($B1241),$B1241&lt;=클레임조회!$C$5)),OR(클레임조회!$C$6="",$C1241=클레임조회!$C$6),OR(클레임조회!$C$7="",$D1241=클레임조회!$C$7),OR(클레임조회!$C$8="",$E1241=클레임조회!$C$8),OR(클레임조회!$C$9="",$F1241=클레임조회!$C$9),OR(클레임조회!$C$10="",ISNUMBER(SEARCH(클레임조회!$C$10,$C1241&amp;" "&amp;$F1241&amp;" "&amp;$G1241&amp;" "&amp;$H1241)))),COUNT(O$1:O1240)+1,"")</f>
        <v/>
      </c>
      <c r="P1241" s="0" t="str">
        <f aca="false">IF(AND(TRIM(C1241)&lt;&gt;"",COUNTIF(C$2:C1241,C1241)=1),MAX(P$1:P1240)+1,"")</f>
        <v/>
      </c>
      <c r="Q1241" s="0" t="str">
        <f aca="false">IF(AND(TRIM(F1241)&lt;&gt;"",COUNTIF(F$2:F1241,F1241)=1),MAX(Q$1:Q1240)+1,"")</f>
        <v/>
      </c>
    </row>
    <row r="1242" customFormat="false" ht="15" hidden="false" customHeight="false" outlineLevel="0" collapsed="false">
      <c r="A1242" s="9"/>
      <c r="B1242" s="10"/>
      <c r="C1242" s="11"/>
      <c r="D1242" s="11"/>
      <c r="E1242" s="11"/>
      <c r="F1242" s="11"/>
      <c r="G1242" s="12"/>
      <c r="H1242" s="12"/>
      <c r="I1242" s="10"/>
      <c r="J1242" s="12"/>
      <c r="K1242" s="13" t="str">
        <f aca="false">IF(ISNUMBER(B1242),YEAR(B1242),"")</f>
        <v/>
      </c>
      <c r="L1242" s="13" t="str">
        <f aca="false">IF(ISNUMBER(B1242),MONTH(B1242),"")</f>
        <v/>
      </c>
      <c r="M1242" s="13" t="str">
        <f aca="false">IF(AND(ISNUMBER(B1242),ISNUMBER(I1242)),B1242-I1242+1,"")</f>
        <v/>
      </c>
      <c r="N1242" s="14" t="str">
        <f aca="false">IF(B1242="","",IF(M1242="","시작일 미입력",IF(M1242&lt;1,"시작일 이전(확인)",IF(M1242=1,"1일째",IF(M1242=2,"2일째",IF(M1242=3,"3일째",IF(M1242&lt;=7,"일주일 이내",IF(M1242&lt;=14,"이주일 이내","15일 이후"))))))))</f>
        <v/>
      </c>
      <c r="O1242" s="0" t="str">
        <f aca="false">IF(AND(COUNTA($A1242:$J1242)&gt;0,OR(클레임조회!$C$4="",AND(ISNUMBER($B1242),$B1242&gt;=클레임조회!$C$4)),OR(클레임조회!$C$5="",AND(ISNUMBER($B1242),$B1242&lt;=클레임조회!$C$5)),OR(클레임조회!$C$6="",$C1242=클레임조회!$C$6),OR(클레임조회!$C$7="",$D1242=클레임조회!$C$7),OR(클레임조회!$C$8="",$E1242=클레임조회!$C$8),OR(클레임조회!$C$9="",$F1242=클레임조회!$C$9),OR(클레임조회!$C$10="",ISNUMBER(SEARCH(클레임조회!$C$10,$C1242&amp;" "&amp;$F1242&amp;" "&amp;$G1242&amp;" "&amp;$H1242)))),COUNT(O$1:O1241)+1,"")</f>
        <v/>
      </c>
      <c r="P1242" s="0" t="str">
        <f aca="false">IF(AND(TRIM(C1242)&lt;&gt;"",COUNTIF(C$2:C1242,C1242)=1),MAX(P$1:P1241)+1,"")</f>
        <v/>
      </c>
      <c r="Q1242" s="0" t="str">
        <f aca="false">IF(AND(TRIM(F1242)&lt;&gt;"",COUNTIF(F$2:F1242,F1242)=1),MAX(Q$1:Q1241)+1,"")</f>
        <v/>
      </c>
    </row>
    <row r="1243" customFormat="false" ht="15" hidden="false" customHeight="false" outlineLevel="0" collapsed="false">
      <c r="A1243" s="9"/>
      <c r="B1243" s="10"/>
      <c r="C1243" s="11"/>
      <c r="D1243" s="11"/>
      <c r="E1243" s="11"/>
      <c r="F1243" s="11"/>
      <c r="G1243" s="12"/>
      <c r="H1243" s="12"/>
      <c r="I1243" s="10"/>
      <c r="J1243" s="12"/>
      <c r="K1243" s="13" t="str">
        <f aca="false">IF(ISNUMBER(B1243),YEAR(B1243),"")</f>
        <v/>
      </c>
      <c r="L1243" s="13" t="str">
        <f aca="false">IF(ISNUMBER(B1243),MONTH(B1243),"")</f>
        <v/>
      </c>
      <c r="M1243" s="13" t="str">
        <f aca="false">IF(AND(ISNUMBER(B1243),ISNUMBER(I1243)),B1243-I1243+1,"")</f>
        <v/>
      </c>
      <c r="N1243" s="14" t="str">
        <f aca="false">IF(B1243="","",IF(M1243="","시작일 미입력",IF(M1243&lt;1,"시작일 이전(확인)",IF(M1243=1,"1일째",IF(M1243=2,"2일째",IF(M1243=3,"3일째",IF(M1243&lt;=7,"일주일 이내",IF(M1243&lt;=14,"이주일 이내","15일 이후"))))))))</f>
        <v/>
      </c>
      <c r="O1243" s="0" t="str">
        <f aca="false">IF(AND(COUNTA($A1243:$J1243)&gt;0,OR(클레임조회!$C$4="",AND(ISNUMBER($B1243),$B1243&gt;=클레임조회!$C$4)),OR(클레임조회!$C$5="",AND(ISNUMBER($B1243),$B1243&lt;=클레임조회!$C$5)),OR(클레임조회!$C$6="",$C1243=클레임조회!$C$6),OR(클레임조회!$C$7="",$D1243=클레임조회!$C$7),OR(클레임조회!$C$8="",$E1243=클레임조회!$C$8),OR(클레임조회!$C$9="",$F1243=클레임조회!$C$9),OR(클레임조회!$C$10="",ISNUMBER(SEARCH(클레임조회!$C$10,$C1243&amp;" "&amp;$F1243&amp;" "&amp;$G1243&amp;" "&amp;$H1243)))),COUNT(O$1:O1242)+1,"")</f>
        <v/>
      </c>
      <c r="P1243" s="0" t="str">
        <f aca="false">IF(AND(TRIM(C1243)&lt;&gt;"",COUNTIF(C$2:C1243,C1243)=1),MAX(P$1:P1242)+1,"")</f>
        <v/>
      </c>
      <c r="Q1243" s="0" t="str">
        <f aca="false">IF(AND(TRIM(F1243)&lt;&gt;"",COUNTIF(F$2:F1243,F1243)=1),MAX(Q$1:Q1242)+1,"")</f>
        <v/>
      </c>
    </row>
    <row r="1244" customFormat="false" ht="15" hidden="false" customHeight="false" outlineLevel="0" collapsed="false">
      <c r="A1244" s="9"/>
      <c r="B1244" s="10"/>
      <c r="C1244" s="11"/>
      <c r="D1244" s="11"/>
      <c r="E1244" s="11"/>
      <c r="F1244" s="11"/>
      <c r="G1244" s="12"/>
      <c r="H1244" s="12"/>
      <c r="I1244" s="10"/>
      <c r="J1244" s="12"/>
      <c r="K1244" s="13" t="str">
        <f aca="false">IF(ISNUMBER(B1244),YEAR(B1244),"")</f>
        <v/>
      </c>
      <c r="L1244" s="13" t="str">
        <f aca="false">IF(ISNUMBER(B1244),MONTH(B1244),"")</f>
        <v/>
      </c>
      <c r="M1244" s="13" t="str">
        <f aca="false">IF(AND(ISNUMBER(B1244),ISNUMBER(I1244)),B1244-I1244+1,"")</f>
        <v/>
      </c>
      <c r="N1244" s="14" t="str">
        <f aca="false">IF(B1244="","",IF(M1244="","시작일 미입력",IF(M1244&lt;1,"시작일 이전(확인)",IF(M1244=1,"1일째",IF(M1244=2,"2일째",IF(M1244=3,"3일째",IF(M1244&lt;=7,"일주일 이내",IF(M1244&lt;=14,"이주일 이내","15일 이후"))))))))</f>
        <v/>
      </c>
      <c r="O1244" s="0" t="str">
        <f aca="false">IF(AND(COUNTA($A1244:$J1244)&gt;0,OR(클레임조회!$C$4="",AND(ISNUMBER($B1244),$B1244&gt;=클레임조회!$C$4)),OR(클레임조회!$C$5="",AND(ISNUMBER($B1244),$B1244&lt;=클레임조회!$C$5)),OR(클레임조회!$C$6="",$C1244=클레임조회!$C$6),OR(클레임조회!$C$7="",$D1244=클레임조회!$C$7),OR(클레임조회!$C$8="",$E1244=클레임조회!$C$8),OR(클레임조회!$C$9="",$F1244=클레임조회!$C$9),OR(클레임조회!$C$10="",ISNUMBER(SEARCH(클레임조회!$C$10,$C1244&amp;" "&amp;$F1244&amp;" "&amp;$G1244&amp;" "&amp;$H1244)))),COUNT(O$1:O1243)+1,"")</f>
        <v/>
      </c>
      <c r="P1244" s="0" t="str">
        <f aca="false">IF(AND(TRIM(C1244)&lt;&gt;"",COUNTIF(C$2:C1244,C1244)=1),MAX(P$1:P1243)+1,"")</f>
        <v/>
      </c>
      <c r="Q1244" s="0" t="str">
        <f aca="false">IF(AND(TRIM(F1244)&lt;&gt;"",COUNTIF(F$2:F1244,F1244)=1),MAX(Q$1:Q1243)+1,"")</f>
        <v/>
      </c>
    </row>
    <row r="1245" customFormat="false" ht="15" hidden="false" customHeight="false" outlineLevel="0" collapsed="false">
      <c r="A1245" s="9"/>
      <c r="B1245" s="10"/>
      <c r="C1245" s="11"/>
      <c r="D1245" s="11"/>
      <c r="E1245" s="11"/>
      <c r="F1245" s="11"/>
      <c r="G1245" s="12"/>
      <c r="H1245" s="12"/>
      <c r="I1245" s="10"/>
      <c r="J1245" s="12"/>
      <c r="K1245" s="13" t="str">
        <f aca="false">IF(ISNUMBER(B1245),YEAR(B1245),"")</f>
        <v/>
      </c>
      <c r="L1245" s="13" t="str">
        <f aca="false">IF(ISNUMBER(B1245),MONTH(B1245),"")</f>
        <v/>
      </c>
      <c r="M1245" s="13" t="str">
        <f aca="false">IF(AND(ISNUMBER(B1245),ISNUMBER(I1245)),B1245-I1245+1,"")</f>
        <v/>
      </c>
      <c r="N1245" s="14" t="str">
        <f aca="false">IF(B1245="","",IF(M1245="","시작일 미입력",IF(M1245&lt;1,"시작일 이전(확인)",IF(M1245=1,"1일째",IF(M1245=2,"2일째",IF(M1245=3,"3일째",IF(M1245&lt;=7,"일주일 이내",IF(M1245&lt;=14,"이주일 이내","15일 이후"))))))))</f>
        <v/>
      </c>
      <c r="O1245" s="0" t="str">
        <f aca="false">IF(AND(COUNTA($A1245:$J1245)&gt;0,OR(클레임조회!$C$4="",AND(ISNUMBER($B1245),$B1245&gt;=클레임조회!$C$4)),OR(클레임조회!$C$5="",AND(ISNUMBER($B1245),$B1245&lt;=클레임조회!$C$5)),OR(클레임조회!$C$6="",$C1245=클레임조회!$C$6),OR(클레임조회!$C$7="",$D1245=클레임조회!$C$7),OR(클레임조회!$C$8="",$E1245=클레임조회!$C$8),OR(클레임조회!$C$9="",$F1245=클레임조회!$C$9),OR(클레임조회!$C$10="",ISNUMBER(SEARCH(클레임조회!$C$10,$C1245&amp;" "&amp;$F1245&amp;" "&amp;$G1245&amp;" "&amp;$H1245)))),COUNT(O$1:O1244)+1,"")</f>
        <v/>
      </c>
      <c r="P1245" s="0" t="str">
        <f aca="false">IF(AND(TRIM(C1245)&lt;&gt;"",COUNTIF(C$2:C1245,C1245)=1),MAX(P$1:P1244)+1,"")</f>
        <v/>
      </c>
      <c r="Q1245" s="0" t="str">
        <f aca="false">IF(AND(TRIM(F1245)&lt;&gt;"",COUNTIF(F$2:F1245,F1245)=1),MAX(Q$1:Q1244)+1,"")</f>
        <v/>
      </c>
    </row>
    <row r="1246" customFormat="false" ht="15" hidden="false" customHeight="false" outlineLevel="0" collapsed="false">
      <c r="A1246" s="9"/>
      <c r="B1246" s="10"/>
      <c r="C1246" s="11"/>
      <c r="D1246" s="11"/>
      <c r="E1246" s="11"/>
      <c r="F1246" s="11"/>
      <c r="G1246" s="12"/>
      <c r="H1246" s="12"/>
      <c r="I1246" s="10"/>
      <c r="J1246" s="12"/>
      <c r="K1246" s="13" t="str">
        <f aca="false">IF(ISNUMBER(B1246),YEAR(B1246),"")</f>
        <v/>
      </c>
      <c r="L1246" s="13" t="str">
        <f aca="false">IF(ISNUMBER(B1246),MONTH(B1246),"")</f>
        <v/>
      </c>
      <c r="M1246" s="13" t="str">
        <f aca="false">IF(AND(ISNUMBER(B1246),ISNUMBER(I1246)),B1246-I1246+1,"")</f>
        <v/>
      </c>
      <c r="N1246" s="14" t="str">
        <f aca="false">IF(B1246="","",IF(M1246="","시작일 미입력",IF(M1246&lt;1,"시작일 이전(확인)",IF(M1246=1,"1일째",IF(M1246=2,"2일째",IF(M1246=3,"3일째",IF(M1246&lt;=7,"일주일 이내",IF(M1246&lt;=14,"이주일 이내","15일 이후"))))))))</f>
        <v/>
      </c>
      <c r="O1246" s="0" t="str">
        <f aca="false">IF(AND(COUNTA($A1246:$J1246)&gt;0,OR(클레임조회!$C$4="",AND(ISNUMBER($B1246),$B1246&gt;=클레임조회!$C$4)),OR(클레임조회!$C$5="",AND(ISNUMBER($B1246),$B1246&lt;=클레임조회!$C$5)),OR(클레임조회!$C$6="",$C1246=클레임조회!$C$6),OR(클레임조회!$C$7="",$D1246=클레임조회!$C$7),OR(클레임조회!$C$8="",$E1246=클레임조회!$C$8),OR(클레임조회!$C$9="",$F1246=클레임조회!$C$9),OR(클레임조회!$C$10="",ISNUMBER(SEARCH(클레임조회!$C$10,$C1246&amp;" "&amp;$F1246&amp;" "&amp;$G1246&amp;" "&amp;$H1246)))),COUNT(O$1:O1245)+1,"")</f>
        <v/>
      </c>
      <c r="P1246" s="0" t="str">
        <f aca="false">IF(AND(TRIM(C1246)&lt;&gt;"",COUNTIF(C$2:C1246,C1246)=1),MAX(P$1:P1245)+1,"")</f>
        <v/>
      </c>
      <c r="Q1246" s="0" t="str">
        <f aca="false">IF(AND(TRIM(F1246)&lt;&gt;"",COUNTIF(F$2:F1246,F1246)=1),MAX(Q$1:Q1245)+1,"")</f>
        <v/>
      </c>
    </row>
    <row r="1247" customFormat="false" ht="15" hidden="false" customHeight="false" outlineLevel="0" collapsed="false">
      <c r="A1247" s="9"/>
      <c r="B1247" s="10"/>
      <c r="C1247" s="11"/>
      <c r="D1247" s="11"/>
      <c r="E1247" s="11"/>
      <c r="F1247" s="11"/>
      <c r="G1247" s="12"/>
      <c r="H1247" s="12"/>
      <c r="I1247" s="10"/>
      <c r="J1247" s="12"/>
      <c r="K1247" s="13" t="str">
        <f aca="false">IF(ISNUMBER(B1247),YEAR(B1247),"")</f>
        <v/>
      </c>
      <c r="L1247" s="13" t="str">
        <f aca="false">IF(ISNUMBER(B1247),MONTH(B1247),"")</f>
        <v/>
      </c>
      <c r="M1247" s="13" t="str">
        <f aca="false">IF(AND(ISNUMBER(B1247),ISNUMBER(I1247)),B1247-I1247+1,"")</f>
        <v/>
      </c>
      <c r="N1247" s="14" t="str">
        <f aca="false">IF(B1247="","",IF(M1247="","시작일 미입력",IF(M1247&lt;1,"시작일 이전(확인)",IF(M1247=1,"1일째",IF(M1247=2,"2일째",IF(M1247=3,"3일째",IF(M1247&lt;=7,"일주일 이내",IF(M1247&lt;=14,"이주일 이내","15일 이후"))))))))</f>
        <v/>
      </c>
      <c r="O1247" s="0" t="str">
        <f aca="false">IF(AND(COUNTA($A1247:$J1247)&gt;0,OR(클레임조회!$C$4="",AND(ISNUMBER($B1247),$B1247&gt;=클레임조회!$C$4)),OR(클레임조회!$C$5="",AND(ISNUMBER($B1247),$B1247&lt;=클레임조회!$C$5)),OR(클레임조회!$C$6="",$C1247=클레임조회!$C$6),OR(클레임조회!$C$7="",$D1247=클레임조회!$C$7),OR(클레임조회!$C$8="",$E1247=클레임조회!$C$8),OR(클레임조회!$C$9="",$F1247=클레임조회!$C$9),OR(클레임조회!$C$10="",ISNUMBER(SEARCH(클레임조회!$C$10,$C1247&amp;" "&amp;$F1247&amp;" "&amp;$G1247&amp;" "&amp;$H1247)))),COUNT(O$1:O1246)+1,"")</f>
        <v/>
      </c>
      <c r="P1247" s="0" t="str">
        <f aca="false">IF(AND(TRIM(C1247)&lt;&gt;"",COUNTIF(C$2:C1247,C1247)=1),MAX(P$1:P1246)+1,"")</f>
        <v/>
      </c>
      <c r="Q1247" s="0" t="str">
        <f aca="false">IF(AND(TRIM(F1247)&lt;&gt;"",COUNTIF(F$2:F1247,F1247)=1),MAX(Q$1:Q1246)+1,"")</f>
        <v/>
      </c>
    </row>
    <row r="1248" customFormat="false" ht="15" hidden="false" customHeight="false" outlineLevel="0" collapsed="false">
      <c r="A1248" s="9"/>
      <c r="B1248" s="10"/>
      <c r="C1248" s="11"/>
      <c r="D1248" s="11"/>
      <c r="E1248" s="11"/>
      <c r="F1248" s="11"/>
      <c r="G1248" s="12"/>
      <c r="H1248" s="12"/>
      <c r="I1248" s="10"/>
      <c r="J1248" s="12"/>
      <c r="K1248" s="13" t="str">
        <f aca="false">IF(ISNUMBER(B1248),YEAR(B1248),"")</f>
        <v/>
      </c>
      <c r="L1248" s="13" t="str">
        <f aca="false">IF(ISNUMBER(B1248),MONTH(B1248),"")</f>
        <v/>
      </c>
      <c r="M1248" s="13" t="str">
        <f aca="false">IF(AND(ISNUMBER(B1248),ISNUMBER(I1248)),B1248-I1248+1,"")</f>
        <v/>
      </c>
      <c r="N1248" s="14" t="str">
        <f aca="false">IF(B1248="","",IF(M1248="","시작일 미입력",IF(M1248&lt;1,"시작일 이전(확인)",IF(M1248=1,"1일째",IF(M1248=2,"2일째",IF(M1248=3,"3일째",IF(M1248&lt;=7,"일주일 이내",IF(M1248&lt;=14,"이주일 이내","15일 이후"))))))))</f>
        <v/>
      </c>
      <c r="O1248" s="0" t="str">
        <f aca="false">IF(AND(COUNTA($A1248:$J1248)&gt;0,OR(클레임조회!$C$4="",AND(ISNUMBER($B1248),$B1248&gt;=클레임조회!$C$4)),OR(클레임조회!$C$5="",AND(ISNUMBER($B1248),$B1248&lt;=클레임조회!$C$5)),OR(클레임조회!$C$6="",$C1248=클레임조회!$C$6),OR(클레임조회!$C$7="",$D1248=클레임조회!$C$7),OR(클레임조회!$C$8="",$E1248=클레임조회!$C$8),OR(클레임조회!$C$9="",$F1248=클레임조회!$C$9),OR(클레임조회!$C$10="",ISNUMBER(SEARCH(클레임조회!$C$10,$C1248&amp;" "&amp;$F1248&amp;" "&amp;$G1248&amp;" "&amp;$H1248)))),COUNT(O$1:O1247)+1,"")</f>
        <v/>
      </c>
      <c r="P1248" s="0" t="str">
        <f aca="false">IF(AND(TRIM(C1248)&lt;&gt;"",COUNTIF(C$2:C1248,C1248)=1),MAX(P$1:P1247)+1,"")</f>
        <v/>
      </c>
      <c r="Q1248" s="0" t="str">
        <f aca="false">IF(AND(TRIM(F1248)&lt;&gt;"",COUNTIF(F$2:F1248,F1248)=1),MAX(Q$1:Q1247)+1,"")</f>
        <v/>
      </c>
    </row>
    <row r="1249" customFormat="false" ht="15" hidden="false" customHeight="false" outlineLevel="0" collapsed="false">
      <c r="A1249" s="9"/>
      <c r="B1249" s="10"/>
      <c r="C1249" s="11"/>
      <c r="D1249" s="11"/>
      <c r="E1249" s="11"/>
      <c r="F1249" s="11"/>
      <c r="G1249" s="12"/>
      <c r="H1249" s="12"/>
      <c r="I1249" s="10"/>
      <c r="J1249" s="12"/>
      <c r="K1249" s="13" t="str">
        <f aca="false">IF(ISNUMBER(B1249),YEAR(B1249),"")</f>
        <v/>
      </c>
      <c r="L1249" s="13" t="str">
        <f aca="false">IF(ISNUMBER(B1249),MONTH(B1249),"")</f>
        <v/>
      </c>
      <c r="M1249" s="13" t="str">
        <f aca="false">IF(AND(ISNUMBER(B1249),ISNUMBER(I1249)),B1249-I1249+1,"")</f>
        <v/>
      </c>
      <c r="N1249" s="14" t="str">
        <f aca="false">IF(B1249="","",IF(M1249="","시작일 미입력",IF(M1249&lt;1,"시작일 이전(확인)",IF(M1249=1,"1일째",IF(M1249=2,"2일째",IF(M1249=3,"3일째",IF(M1249&lt;=7,"일주일 이내",IF(M1249&lt;=14,"이주일 이내","15일 이후"))))))))</f>
        <v/>
      </c>
      <c r="O1249" s="0" t="str">
        <f aca="false">IF(AND(COUNTA($A1249:$J1249)&gt;0,OR(클레임조회!$C$4="",AND(ISNUMBER($B1249),$B1249&gt;=클레임조회!$C$4)),OR(클레임조회!$C$5="",AND(ISNUMBER($B1249),$B1249&lt;=클레임조회!$C$5)),OR(클레임조회!$C$6="",$C1249=클레임조회!$C$6),OR(클레임조회!$C$7="",$D1249=클레임조회!$C$7),OR(클레임조회!$C$8="",$E1249=클레임조회!$C$8),OR(클레임조회!$C$9="",$F1249=클레임조회!$C$9),OR(클레임조회!$C$10="",ISNUMBER(SEARCH(클레임조회!$C$10,$C1249&amp;" "&amp;$F1249&amp;" "&amp;$G1249&amp;" "&amp;$H1249)))),COUNT(O$1:O1248)+1,"")</f>
        <v/>
      </c>
      <c r="P1249" s="0" t="str">
        <f aca="false">IF(AND(TRIM(C1249)&lt;&gt;"",COUNTIF(C$2:C1249,C1249)=1),MAX(P$1:P1248)+1,"")</f>
        <v/>
      </c>
      <c r="Q1249" s="0" t="str">
        <f aca="false">IF(AND(TRIM(F1249)&lt;&gt;"",COUNTIF(F$2:F1249,F1249)=1),MAX(Q$1:Q1248)+1,"")</f>
        <v/>
      </c>
    </row>
    <row r="1250" customFormat="false" ht="15" hidden="false" customHeight="false" outlineLevel="0" collapsed="false">
      <c r="A1250" s="9"/>
      <c r="B1250" s="10"/>
      <c r="C1250" s="11"/>
      <c r="D1250" s="11"/>
      <c r="E1250" s="11"/>
      <c r="F1250" s="11"/>
      <c r="G1250" s="12"/>
      <c r="H1250" s="12"/>
      <c r="I1250" s="10"/>
      <c r="J1250" s="12"/>
      <c r="K1250" s="13" t="str">
        <f aca="false">IF(ISNUMBER(B1250),YEAR(B1250),"")</f>
        <v/>
      </c>
      <c r="L1250" s="13" t="str">
        <f aca="false">IF(ISNUMBER(B1250),MONTH(B1250),"")</f>
        <v/>
      </c>
      <c r="M1250" s="13" t="str">
        <f aca="false">IF(AND(ISNUMBER(B1250),ISNUMBER(I1250)),B1250-I1250+1,"")</f>
        <v/>
      </c>
      <c r="N1250" s="14" t="str">
        <f aca="false">IF(B1250="","",IF(M1250="","시작일 미입력",IF(M1250&lt;1,"시작일 이전(확인)",IF(M1250=1,"1일째",IF(M1250=2,"2일째",IF(M1250=3,"3일째",IF(M1250&lt;=7,"일주일 이내",IF(M1250&lt;=14,"이주일 이내","15일 이후"))))))))</f>
        <v/>
      </c>
      <c r="O1250" s="0" t="str">
        <f aca="false">IF(AND(COUNTA($A1250:$J1250)&gt;0,OR(클레임조회!$C$4="",AND(ISNUMBER($B1250),$B1250&gt;=클레임조회!$C$4)),OR(클레임조회!$C$5="",AND(ISNUMBER($B1250),$B1250&lt;=클레임조회!$C$5)),OR(클레임조회!$C$6="",$C1250=클레임조회!$C$6),OR(클레임조회!$C$7="",$D1250=클레임조회!$C$7),OR(클레임조회!$C$8="",$E1250=클레임조회!$C$8),OR(클레임조회!$C$9="",$F1250=클레임조회!$C$9),OR(클레임조회!$C$10="",ISNUMBER(SEARCH(클레임조회!$C$10,$C1250&amp;" "&amp;$F1250&amp;" "&amp;$G1250&amp;" "&amp;$H1250)))),COUNT(O$1:O1249)+1,"")</f>
        <v/>
      </c>
      <c r="P1250" s="0" t="str">
        <f aca="false">IF(AND(TRIM(C1250)&lt;&gt;"",COUNTIF(C$2:C1250,C1250)=1),MAX(P$1:P1249)+1,"")</f>
        <v/>
      </c>
      <c r="Q1250" s="0" t="str">
        <f aca="false">IF(AND(TRIM(F1250)&lt;&gt;"",COUNTIF(F$2:F1250,F1250)=1),MAX(Q$1:Q1249)+1,"")</f>
        <v/>
      </c>
    </row>
    <row r="1251" customFormat="false" ht="15" hidden="false" customHeight="false" outlineLevel="0" collapsed="false">
      <c r="A1251" s="9"/>
      <c r="B1251" s="10"/>
      <c r="C1251" s="11"/>
      <c r="D1251" s="11"/>
      <c r="E1251" s="11"/>
      <c r="F1251" s="11"/>
      <c r="G1251" s="12"/>
      <c r="H1251" s="12"/>
      <c r="I1251" s="10"/>
      <c r="J1251" s="12"/>
      <c r="K1251" s="13" t="str">
        <f aca="false">IF(ISNUMBER(B1251),YEAR(B1251),"")</f>
        <v/>
      </c>
      <c r="L1251" s="13" t="str">
        <f aca="false">IF(ISNUMBER(B1251),MONTH(B1251),"")</f>
        <v/>
      </c>
      <c r="M1251" s="13" t="str">
        <f aca="false">IF(AND(ISNUMBER(B1251),ISNUMBER(I1251)),B1251-I1251+1,"")</f>
        <v/>
      </c>
      <c r="N1251" s="14" t="str">
        <f aca="false">IF(B1251="","",IF(M1251="","시작일 미입력",IF(M1251&lt;1,"시작일 이전(확인)",IF(M1251=1,"1일째",IF(M1251=2,"2일째",IF(M1251=3,"3일째",IF(M1251&lt;=7,"일주일 이내",IF(M1251&lt;=14,"이주일 이내","15일 이후"))))))))</f>
        <v/>
      </c>
      <c r="O1251" s="0" t="str">
        <f aca="false">IF(AND(COUNTA($A1251:$J1251)&gt;0,OR(클레임조회!$C$4="",AND(ISNUMBER($B1251),$B1251&gt;=클레임조회!$C$4)),OR(클레임조회!$C$5="",AND(ISNUMBER($B1251),$B1251&lt;=클레임조회!$C$5)),OR(클레임조회!$C$6="",$C1251=클레임조회!$C$6),OR(클레임조회!$C$7="",$D1251=클레임조회!$C$7),OR(클레임조회!$C$8="",$E1251=클레임조회!$C$8),OR(클레임조회!$C$9="",$F1251=클레임조회!$C$9),OR(클레임조회!$C$10="",ISNUMBER(SEARCH(클레임조회!$C$10,$C1251&amp;" "&amp;$F1251&amp;" "&amp;$G1251&amp;" "&amp;$H1251)))),COUNT(O$1:O1250)+1,"")</f>
        <v/>
      </c>
      <c r="P1251" s="0" t="str">
        <f aca="false">IF(AND(TRIM(C1251)&lt;&gt;"",COUNTIF(C$2:C1251,C1251)=1),MAX(P$1:P1250)+1,"")</f>
        <v/>
      </c>
      <c r="Q1251" s="0" t="str">
        <f aca="false">IF(AND(TRIM(F1251)&lt;&gt;"",COUNTIF(F$2:F1251,F1251)=1),MAX(Q$1:Q1250)+1,"")</f>
        <v/>
      </c>
    </row>
    <row r="1252" customFormat="false" ht="15" hidden="false" customHeight="false" outlineLevel="0" collapsed="false">
      <c r="A1252" s="9"/>
      <c r="B1252" s="10"/>
      <c r="C1252" s="11"/>
      <c r="D1252" s="11"/>
      <c r="E1252" s="11"/>
      <c r="F1252" s="11"/>
      <c r="G1252" s="12"/>
      <c r="H1252" s="12"/>
      <c r="I1252" s="10"/>
      <c r="J1252" s="12"/>
      <c r="K1252" s="13" t="str">
        <f aca="false">IF(ISNUMBER(B1252),YEAR(B1252),"")</f>
        <v/>
      </c>
      <c r="L1252" s="13" t="str">
        <f aca="false">IF(ISNUMBER(B1252),MONTH(B1252),"")</f>
        <v/>
      </c>
      <c r="M1252" s="13" t="str">
        <f aca="false">IF(AND(ISNUMBER(B1252),ISNUMBER(I1252)),B1252-I1252+1,"")</f>
        <v/>
      </c>
      <c r="N1252" s="14" t="str">
        <f aca="false">IF(B1252="","",IF(M1252="","시작일 미입력",IF(M1252&lt;1,"시작일 이전(확인)",IF(M1252=1,"1일째",IF(M1252=2,"2일째",IF(M1252=3,"3일째",IF(M1252&lt;=7,"일주일 이내",IF(M1252&lt;=14,"이주일 이내","15일 이후"))))))))</f>
        <v/>
      </c>
      <c r="O1252" s="0" t="str">
        <f aca="false">IF(AND(COUNTA($A1252:$J1252)&gt;0,OR(클레임조회!$C$4="",AND(ISNUMBER($B1252),$B1252&gt;=클레임조회!$C$4)),OR(클레임조회!$C$5="",AND(ISNUMBER($B1252),$B1252&lt;=클레임조회!$C$5)),OR(클레임조회!$C$6="",$C1252=클레임조회!$C$6),OR(클레임조회!$C$7="",$D1252=클레임조회!$C$7),OR(클레임조회!$C$8="",$E1252=클레임조회!$C$8),OR(클레임조회!$C$9="",$F1252=클레임조회!$C$9),OR(클레임조회!$C$10="",ISNUMBER(SEARCH(클레임조회!$C$10,$C1252&amp;" "&amp;$F1252&amp;" "&amp;$G1252&amp;" "&amp;$H1252)))),COUNT(O$1:O1251)+1,"")</f>
        <v/>
      </c>
      <c r="P1252" s="0" t="str">
        <f aca="false">IF(AND(TRIM(C1252)&lt;&gt;"",COUNTIF(C$2:C1252,C1252)=1),MAX(P$1:P1251)+1,"")</f>
        <v/>
      </c>
      <c r="Q1252" s="0" t="str">
        <f aca="false">IF(AND(TRIM(F1252)&lt;&gt;"",COUNTIF(F$2:F1252,F1252)=1),MAX(Q$1:Q1251)+1,"")</f>
        <v/>
      </c>
    </row>
    <row r="1253" customFormat="false" ht="15" hidden="false" customHeight="false" outlineLevel="0" collapsed="false">
      <c r="A1253" s="9"/>
      <c r="B1253" s="10"/>
      <c r="C1253" s="11"/>
      <c r="D1253" s="11"/>
      <c r="E1253" s="11"/>
      <c r="F1253" s="11"/>
      <c r="G1253" s="12"/>
      <c r="H1253" s="12"/>
      <c r="I1253" s="10"/>
      <c r="J1253" s="12"/>
      <c r="K1253" s="13" t="str">
        <f aca="false">IF(ISNUMBER(B1253),YEAR(B1253),"")</f>
        <v/>
      </c>
      <c r="L1253" s="13" t="str">
        <f aca="false">IF(ISNUMBER(B1253),MONTH(B1253),"")</f>
        <v/>
      </c>
      <c r="M1253" s="13" t="str">
        <f aca="false">IF(AND(ISNUMBER(B1253),ISNUMBER(I1253)),B1253-I1253+1,"")</f>
        <v/>
      </c>
      <c r="N1253" s="14" t="str">
        <f aca="false">IF(B1253="","",IF(M1253="","시작일 미입력",IF(M1253&lt;1,"시작일 이전(확인)",IF(M1253=1,"1일째",IF(M1253=2,"2일째",IF(M1253=3,"3일째",IF(M1253&lt;=7,"일주일 이내",IF(M1253&lt;=14,"이주일 이내","15일 이후"))))))))</f>
        <v/>
      </c>
      <c r="O1253" s="0" t="str">
        <f aca="false">IF(AND(COUNTA($A1253:$J1253)&gt;0,OR(클레임조회!$C$4="",AND(ISNUMBER($B1253),$B1253&gt;=클레임조회!$C$4)),OR(클레임조회!$C$5="",AND(ISNUMBER($B1253),$B1253&lt;=클레임조회!$C$5)),OR(클레임조회!$C$6="",$C1253=클레임조회!$C$6),OR(클레임조회!$C$7="",$D1253=클레임조회!$C$7),OR(클레임조회!$C$8="",$E1253=클레임조회!$C$8),OR(클레임조회!$C$9="",$F1253=클레임조회!$C$9),OR(클레임조회!$C$10="",ISNUMBER(SEARCH(클레임조회!$C$10,$C1253&amp;" "&amp;$F1253&amp;" "&amp;$G1253&amp;" "&amp;$H1253)))),COUNT(O$1:O1252)+1,"")</f>
        <v/>
      </c>
      <c r="P1253" s="0" t="str">
        <f aca="false">IF(AND(TRIM(C1253)&lt;&gt;"",COUNTIF(C$2:C1253,C1253)=1),MAX(P$1:P1252)+1,"")</f>
        <v/>
      </c>
      <c r="Q1253" s="0" t="str">
        <f aca="false">IF(AND(TRIM(F1253)&lt;&gt;"",COUNTIF(F$2:F1253,F1253)=1),MAX(Q$1:Q1252)+1,"")</f>
        <v/>
      </c>
    </row>
    <row r="1254" customFormat="false" ht="15" hidden="false" customHeight="false" outlineLevel="0" collapsed="false">
      <c r="A1254" s="9"/>
      <c r="B1254" s="10"/>
      <c r="C1254" s="11"/>
      <c r="D1254" s="11"/>
      <c r="E1254" s="11"/>
      <c r="F1254" s="11"/>
      <c r="G1254" s="12"/>
      <c r="H1254" s="12"/>
      <c r="I1254" s="10"/>
      <c r="J1254" s="12"/>
      <c r="K1254" s="13" t="str">
        <f aca="false">IF(ISNUMBER(B1254),YEAR(B1254),"")</f>
        <v/>
      </c>
      <c r="L1254" s="13" t="str">
        <f aca="false">IF(ISNUMBER(B1254),MONTH(B1254),"")</f>
        <v/>
      </c>
      <c r="M1254" s="13" t="str">
        <f aca="false">IF(AND(ISNUMBER(B1254),ISNUMBER(I1254)),B1254-I1254+1,"")</f>
        <v/>
      </c>
      <c r="N1254" s="14" t="str">
        <f aca="false">IF(B1254="","",IF(M1254="","시작일 미입력",IF(M1254&lt;1,"시작일 이전(확인)",IF(M1254=1,"1일째",IF(M1254=2,"2일째",IF(M1254=3,"3일째",IF(M1254&lt;=7,"일주일 이내",IF(M1254&lt;=14,"이주일 이내","15일 이후"))))))))</f>
        <v/>
      </c>
      <c r="O1254" s="0" t="str">
        <f aca="false">IF(AND(COUNTA($A1254:$J1254)&gt;0,OR(클레임조회!$C$4="",AND(ISNUMBER($B1254),$B1254&gt;=클레임조회!$C$4)),OR(클레임조회!$C$5="",AND(ISNUMBER($B1254),$B1254&lt;=클레임조회!$C$5)),OR(클레임조회!$C$6="",$C1254=클레임조회!$C$6),OR(클레임조회!$C$7="",$D1254=클레임조회!$C$7),OR(클레임조회!$C$8="",$E1254=클레임조회!$C$8),OR(클레임조회!$C$9="",$F1254=클레임조회!$C$9),OR(클레임조회!$C$10="",ISNUMBER(SEARCH(클레임조회!$C$10,$C1254&amp;" "&amp;$F1254&amp;" "&amp;$G1254&amp;" "&amp;$H1254)))),COUNT(O$1:O1253)+1,"")</f>
        <v/>
      </c>
      <c r="P1254" s="0" t="str">
        <f aca="false">IF(AND(TRIM(C1254)&lt;&gt;"",COUNTIF(C$2:C1254,C1254)=1),MAX(P$1:P1253)+1,"")</f>
        <v/>
      </c>
      <c r="Q1254" s="0" t="str">
        <f aca="false">IF(AND(TRIM(F1254)&lt;&gt;"",COUNTIF(F$2:F1254,F1254)=1),MAX(Q$1:Q1253)+1,"")</f>
        <v/>
      </c>
    </row>
    <row r="1255" customFormat="false" ht="15" hidden="false" customHeight="false" outlineLevel="0" collapsed="false">
      <c r="A1255" s="9"/>
      <c r="B1255" s="10"/>
      <c r="C1255" s="11"/>
      <c r="D1255" s="11"/>
      <c r="E1255" s="11"/>
      <c r="F1255" s="11"/>
      <c r="G1255" s="12"/>
      <c r="H1255" s="12"/>
      <c r="I1255" s="10"/>
      <c r="J1255" s="12"/>
      <c r="K1255" s="13" t="str">
        <f aca="false">IF(ISNUMBER(B1255),YEAR(B1255),"")</f>
        <v/>
      </c>
      <c r="L1255" s="13" t="str">
        <f aca="false">IF(ISNUMBER(B1255),MONTH(B1255),"")</f>
        <v/>
      </c>
      <c r="M1255" s="13" t="str">
        <f aca="false">IF(AND(ISNUMBER(B1255),ISNUMBER(I1255)),B1255-I1255+1,"")</f>
        <v/>
      </c>
      <c r="N1255" s="14" t="str">
        <f aca="false">IF(B1255="","",IF(M1255="","시작일 미입력",IF(M1255&lt;1,"시작일 이전(확인)",IF(M1255=1,"1일째",IF(M1255=2,"2일째",IF(M1255=3,"3일째",IF(M1255&lt;=7,"일주일 이내",IF(M1255&lt;=14,"이주일 이내","15일 이후"))))))))</f>
        <v/>
      </c>
      <c r="O1255" s="0" t="str">
        <f aca="false">IF(AND(COUNTA($A1255:$J1255)&gt;0,OR(클레임조회!$C$4="",AND(ISNUMBER($B1255),$B1255&gt;=클레임조회!$C$4)),OR(클레임조회!$C$5="",AND(ISNUMBER($B1255),$B1255&lt;=클레임조회!$C$5)),OR(클레임조회!$C$6="",$C1255=클레임조회!$C$6),OR(클레임조회!$C$7="",$D1255=클레임조회!$C$7),OR(클레임조회!$C$8="",$E1255=클레임조회!$C$8),OR(클레임조회!$C$9="",$F1255=클레임조회!$C$9),OR(클레임조회!$C$10="",ISNUMBER(SEARCH(클레임조회!$C$10,$C1255&amp;" "&amp;$F1255&amp;" "&amp;$G1255&amp;" "&amp;$H1255)))),COUNT(O$1:O1254)+1,"")</f>
        <v/>
      </c>
      <c r="P1255" s="0" t="str">
        <f aca="false">IF(AND(TRIM(C1255)&lt;&gt;"",COUNTIF(C$2:C1255,C1255)=1),MAX(P$1:P1254)+1,"")</f>
        <v/>
      </c>
      <c r="Q1255" s="0" t="str">
        <f aca="false">IF(AND(TRIM(F1255)&lt;&gt;"",COUNTIF(F$2:F1255,F1255)=1),MAX(Q$1:Q1254)+1,"")</f>
        <v/>
      </c>
    </row>
    <row r="1256" customFormat="false" ht="15" hidden="false" customHeight="false" outlineLevel="0" collapsed="false">
      <c r="A1256" s="9"/>
      <c r="B1256" s="10"/>
      <c r="C1256" s="11"/>
      <c r="D1256" s="11"/>
      <c r="E1256" s="11"/>
      <c r="F1256" s="11"/>
      <c r="G1256" s="12"/>
      <c r="H1256" s="12"/>
      <c r="I1256" s="10"/>
      <c r="J1256" s="12"/>
      <c r="K1256" s="13" t="str">
        <f aca="false">IF(ISNUMBER(B1256),YEAR(B1256),"")</f>
        <v/>
      </c>
      <c r="L1256" s="13" t="str">
        <f aca="false">IF(ISNUMBER(B1256),MONTH(B1256),"")</f>
        <v/>
      </c>
      <c r="M1256" s="13" t="str">
        <f aca="false">IF(AND(ISNUMBER(B1256),ISNUMBER(I1256)),B1256-I1256+1,"")</f>
        <v/>
      </c>
      <c r="N1256" s="14" t="str">
        <f aca="false">IF(B1256="","",IF(M1256="","시작일 미입력",IF(M1256&lt;1,"시작일 이전(확인)",IF(M1256=1,"1일째",IF(M1256=2,"2일째",IF(M1256=3,"3일째",IF(M1256&lt;=7,"일주일 이내",IF(M1256&lt;=14,"이주일 이내","15일 이후"))))))))</f>
        <v/>
      </c>
      <c r="O1256" s="0" t="str">
        <f aca="false">IF(AND(COUNTA($A1256:$J1256)&gt;0,OR(클레임조회!$C$4="",AND(ISNUMBER($B1256),$B1256&gt;=클레임조회!$C$4)),OR(클레임조회!$C$5="",AND(ISNUMBER($B1256),$B1256&lt;=클레임조회!$C$5)),OR(클레임조회!$C$6="",$C1256=클레임조회!$C$6),OR(클레임조회!$C$7="",$D1256=클레임조회!$C$7),OR(클레임조회!$C$8="",$E1256=클레임조회!$C$8),OR(클레임조회!$C$9="",$F1256=클레임조회!$C$9),OR(클레임조회!$C$10="",ISNUMBER(SEARCH(클레임조회!$C$10,$C1256&amp;" "&amp;$F1256&amp;" "&amp;$G1256&amp;" "&amp;$H1256)))),COUNT(O$1:O1255)+1,"")</f>
        <v/>
      </c>
      <c r="P1256" s="0" t="str">
        <f aca="false">IF(AND(TRIM(C1256)&lt;&gt;"",COUNTIF(C$2:C1256,C1256)=1),MAX(P$1:P1255)+1,"")</f>
        <v/>
      </c>
      <c r="Q1256" s="0" t="str">
        <f aca="false">IF(AND(TRIM(F1256)&lt;&gt;"",COUNTIF(F$2:F1256,F1256)=1),MAX(Q$1:Q1255)+1,"")</f>
        <v/>
      </c>
    </row>
    <row r="1257" customFormat="false" ht="15" hidden="false" customHeight="false" outlineLevel="0" collapsed="false">
      <c r="A1257" s="9"/>
      <c r="B1257" s="10"/>
      <c r="C1257" s="11"/>
      <c r="D1257" s="11"/>
      <c r="E1257" s="11"/>
      <c r="F1257" s="11"/>
      <c r="G1257" s="12"/>
      <c r="H1257" s="12"/>
      <c r="I1257" s="10"/>
      <c r="J1257" s="12"/>
      <c r="K1257" s="13" t="str">
        <f aca="false">IF(ISNUMBER(B1257),YEAR(B1257),"")</f>
        <v/>
      </c>
      <c r="L1257" s="13" t="str">
        <f aca="false">IF(ISNUMBER(B1257),MONTH(B1257),"")</f>
        <v/>
      </c>
      <c r="M1257" s="13" t="str">
        <f aca="false">IF(AND(ISNUMBER(B1257),ISNUMBER(I1257)),B1257-I1257+1,"")</f>
        <v/>
      </c>
      <c r="N1257" s="14" t="str">
        <f aca="false">IF(B1257="","",IF(M1257="","시작일 미입력",IF(M1257&lt;1,"시작일 이전(확인)",IF(M1257=1,"1일째",IF(M1257=2,"2일째",IF(M1257=3,"3일째",IF(M1257&lt;=7,"일주일 이내",IF(M1257&lt;=14,"이주일 이내","15일 이후"))))))))</f>
        <v/>
      </c>
      <c r="O1257" s="0" t="str">
        <f aca="false">IF(AND(COUNTA($A1257:$J1257)&gt;0,OR(클레임조회!$C$4="",AND(ISNUMBER($B1257),$B1257&gt;=클레임조회!$C$4)),OR(클레임조회!$C$5="",AND(ISNUMBER($B1257),$B1257&lt;=클레임조회!$C$5)),OR(클레임조회!$C$6="",$C1257=클레임조회!$C$6),OR(클레임조회!$C$7="",$D1257=클레임조회!$C$7),OR(클레임조회!$C$8="",$E1257=클레임조회!$C$8),OR(클레임조회!$C$9="",$F1257=클레임조회!$C$9),OR(클레임조회!$C$10="",ISNUMBER(SEARCH(클레임조회!$C$10,$C1257&amp;" "&amp;$F1257&amp;" "&amp;$G1257&amp;" "&amp;$H1257)))),COUNT(O$1:O1256)+1,"")</f>
        <v/>
      </c>
      <c r="P1257" s="0" t="str">
        <f aca="false">IF(AND(TRIM(C1257)&lt;&gt;"",COUNTIF(C$2:C1257,C1257)=1),MAX(P$1:P1256)+1,"")</f>
        <v/>
      </c>
      <c r="Q1257" s="0" t="str">
        <f aca="false">IF(AND(TRIM(F1257)&lt;&gt;"",COUNTIF(F$2:F1257,F1257)=1),MAX(Q$1:Q1256)+1,"")</f>
        <v/>
      </c>
    </row>
    <row r="1258" customFormat="false" ht="15" hidden="false" customHeight="false" outlineLevel="0" collapsed="false">
      <c r="A1258" s="9"/>
      <c r="B1258" s="10"/>
      <c r="C1258" s="11"/>
      <c r="D1258" s="11"/>
      <c r="E1258" s="11"/>
      <c r="F1258" s="11"/>
      <c r="G1258" s="12"/>
      <c r="H1258" s="12"/>
      <c r="I1258" s="10"/>
      <c r="J1258" s="12"/>
      <c r="K1258" s="13" t="str">
        <f aca="false">IF(ISNUMBER(B1258),YEAR(B1258),"")</f>
        <v/>
      </c>
      <c r="L1258" s="13" t="str">
        <f aca="false">IF(ISNUMBER(B1258),MONTH(B1258),"")</f>
        <v/>
      </c>
      <c r="M1258" s="13" t="str">
        <f aca="false">IF(AND(ISNUMBER(B1258),ISNUMBER(I1258)),B1258-I1258+1,"")</f>
        <v/>
      </c>
      <c r="N1258" s="14" t="str">
        <f aca="false">IF(B1258="","",IF(M1258="","시작일 미입력",IF(M1258&lt;1,"시작일 이전(확인)",IF(M1258=1,"1일째",IF(M1258=2,"2일째",IF(M1258=3,"3일째",IF(M1258&lt;=7,"일주일 이내",IF(M1258&lt;=14,"이주일 이내","15일 이후"))))))))</f>
        <v/>
      </c>
      <c r="O1258" s="0" t="str">
        <f aca="false">IF(AND(COUNTA($A1258:$J1258)&gt;0,OR(클레임조회!$C$4="",AND(ISNUMBER($B1258),$B1258&gt;=클레임조회!$C$4)),OR(클레임조회!$C$5="",AND(ISNUMBER($B1258),$B1258&lt;=클레임조회!$C$5)),OR(클레임조회!$C$6="",$C1258=클레임조회!$C$6),OR(클레임조회!$C$7="",$D1258=클레임조회!$C$7),OR(클레임조회!$C$8="",$E1258=클레임조회!$C$8),OR(클레임조회!$C$9="",$F1258=클레임조회!$C$9),OR(클레임조회!$C$10="",ISNUMBER(SEARCH(클레임조회!$C$10,$C1258&amp;" "&amp;$F1258&amp;" "&amp;$G1258&amp;" "&amp;$H1258)))),COUNT(O$1:O1257)+1,"")</f>
        <v/>
      </c>
      <c r="P1258" s="0" t="str">
        <f aca="false">IF(AND(TRIM(C1258)&lt;&gt;"",COUNTIF(C$2:C1258,C1258)=1),MAX(P$1:P1257)+1,"")</f>
        <v/>
      </c>
      <c r="Q1258" s="0" t="str">
        <f aca="false">IF(AND(TRIM(F1258)&lt;&gt;"",COUNTIF(F$2:F1258,F1258)=1),MAX(Q$1:Q1257)+1,"")</f>
        <v/>
      </c>
    </row>
    <row r="1259" customFormat="false" ht="15" hidden="false" customHeight="false" outlineLevel="0" collapsed="false">
      <c r="A1259" s="9"/>
      <c r="B1259" s="10"/>
      <c r="C1259" s="11"/>
      <c r="D1259" s="11"/>
      <c r="E1259" s="11"/>
      <c r="F1259" s="11"/>
      <c r="G1259" s="12"/>
      <c r="H1259" s="12"/>
      <c r="I1259" s="10"/>
      <c r="J1259" s="12"/>
      <c r="K1259" s="13" t="str">
        <f aca="false">IF(ISNUMBER(B1259),YEAR(B1259),"")</f>
        <v/>
      </c>
      <c r="L1259" s="13" t="str">
        <f aca="false">IF(ISNUMBER(B1259),MONTH(B1259),"")</f>
        <v/>
      </c>
      <c r="M1259" s="13" t="str">
        <f aca="false">IF(AND(ISNUMBER(B1259),ISNUMBER(I1259)),B1259-I1259+1,"")</f>
        <v/>
      </c>
      <c r="N1259" s="14" t="str">
        <f aca="false">IF(B1259="","",IF(M1259="","시작일 미입력",IF(M1259&lt;1,"시작일 이전(확인)",IF(M1259=1,"1일째",IF(M1259=2,"2일째",IF(M1259=3,"3일째",IF(M1259&lt;=7,"일주일 이내",IF(M1259&lt;=14,"이주일 이내","15일 이후"))))))))</f>
        <v/>
      </c>
      <c r="O1259" s="0" t="str">
        <f aca="false">IF(AND(COUNTA($A1259:$J1259)&gt;0,OR(클레임조회!$C$4="",AND(ISNUMBER($B1259),$B1259&gt;=클레임조회!$C$4)),OR(클레임조회!$C$5="",AND(ISNUMBER($B1259),$B1259&lt;=클레임조회!$C$5)),OR(클레임조회!$C$6="",$C1259=클레임조회!$C$6),OR(클레임조회!$C$7="",$D1259=클레임조회!$C$7),OR(클레임조회!$C$8="",$E1259=클레임조회!$C$8),OR(클레임조회!$C$9="",$F1259=클레임조회!$C$9),OR(클레임조회!$C$10="",ISNUMBER(SEARCH(클레임조회!$C$10,$C1259&amp;" "&amp;$F1259&amp;" "&amp;$G1259&amp;" "&amp;$H1259)))),COUNT(O$1:O1258)+1,"")</f>
        <v/>
      </c>
      <c r="P1259" s="0" t="str">
        <f aca="false">IF(AND(TRIM(C1259)&lt;&gt;"",COUNTIF(C$2:C1259,C1259)=1),MAX(P$1:P1258)+1,"")</f>
        <v/>
      </c>
      <c r="Q1259" s="0" t="str">
        <f aca="false">IF(AND(TRIM(F1259)&lt;&gt;"",COUNTIF(F$2:F1259,F1259)=1),MAX(Q$1:Q1258)+1,"")</f>
        <v/>
      </c>
    </row>
    <row r="1260" customFormat="false" ht="15" hidden="false" customHeight="false" outlineLevel="0" collapsed="false">
      <c r="A1260" s="9"/>
      <c r="B1260" s="10"/>
      <c r="C1260" s="11"/>
      <c r="D1260" s="11"/>
      <c r="E1260" s="11"/>
      <c r="F1260" s="11"/>
      <c r="G1260" s="12"/>
      <c r="H1260" s="12"/>
      <c r="I1260" s="10"/>
      <c r="J1260" s="12"/>
      <c r="K1260" s="13" t="str">
        <f aca="false">IF(ISNUMBER(B1260),YEAR(B1260),"")</f>
        <v/>
      </c>
      <c r="L1260" s="13" t="str">
        <f aca="false">IF(ISNUMBER(B1260),MONTH(B1260),"")</f>
        <v/>
      </c>
      <c r="M1260" s="13" t="str">
        <f aca="false">IF(AND(ISNUMBER(B1260),ISNUMBER(I1260)),B1260-I1260+1,"")</f>
        <v/>
      </c>
      <c r="N1260" s="14" t="str">
        <f aca="false">IF(B1260="","",IF(M1260="","시작일 미입력",IF(M1260&lt;1,"시작일 이전(확인)",IF(M1260=1,"1일째",IF(M1260=2,"2일째",IF(M1260=3,"3일째",IF(M1260&lt;=7,"일주일 이내",IF(M1260&lt;=14,"이주일 이내","15일 이후"))))))))</f>
        <v/>
      </c>
      <c r="O1260" s="0" t="str">
        <f aca="false">IF(AND(COUNTA($A1260:$J1260)&gt;0,OR(클레임조회!$C$4="",AND(ISNUMBER($B1260),$B1260&gt;=클레임조회!$C$4)),OR(클레임조회!$C$5="",AND(ISNUMBER($B1260),$B1260&lt;=클레임조회!$C$5)),OR(클레임조회!$C$6="",$C1260=클레임조회!$C$6),OR(클레임조회!$C$7="",$D1260=클레임조회!$C$7),OR(클레임조회!$C$8="",$E1260=클레임조회!$C$8),OR(클레임조회!$C$9="",$F1260=클레임조회!$C$9),OR(클레임조회!$C$10="",ISNUMBER(SEARCH(클레임조회!$C$10,$C1260&amp;" "&amp;$F1260&amp;" "&amp;$G1260&amp;" "&amp;$H1260)))),COUNT(O$1:O1259)+1,"")</f>
        <v/>
      </c>
      <c r="P1260" s="0" t="str">
        <f aca="false">IF(AND(TRIM(C1260)&lt;&gt;"",COUNTIF(C$2:C1260,C1260)=1),MAX(P$1:P1259)+1,"")</f>
        <v/>
      </c>
      <c r="Q1260" s="0" t="str">
        <f aca="false">IF(AND(TRIM(F1260)&lt;&gt;"",COUNTIF(F$2:F1260,F1260)=1),MAX(Q$1:Q1259)+1,"")</f>
        <v/>
      </c>
    </row>
    <row r="1261" customFormat="false" ht="15" hidden="false" customHeight="false" outlineLevel="0" collapsed="false">
      <c r="A1261" s="9"/>
      <c r="B1261" s="10"/>
      <c r="C1261" s="11"/>
      <c r="D1261" s="11"/>
      <c r="E1261" s="11"/>
      <c r="F1261" s="11"/>
      <c r="G1261" s="12"/>
      <c r="H1261" s="12"/>
      <c r="I1261" s="10"/>
      <c r="J1261" s="12"/>
      <c r="K1261" s="13" t="str">
        <f aca="false">IF(ISNUMBER(B1261),YEAR(B1261),"")</f>
        <v/>
      </c>
      <c r="L1261" s="13" t="str">
        <f aca="false">IF(ISNUMBER(B1261),MONTH(B1261),"")</f>
        <v/>
      </c>
      <c r="M1261" s="13" t="str">
        <f aca="false">IF(AND(ISNUMBER(B1261),ISNUMBER(I1261)),B1261-I1261+1,"")</f>
        <v/>
      </c>
      <c r="N1261" s="14" t="str">
        <f aca="false">IF(B1261="","",IF(M1261="","시작일 미입력",IF(M1261&lt;1,"시작일 이전(확인)",IF(M1261=1,"1일째",IF(M1261=2,"2일째",IF(M1261=3,"3일째",IF(M1261&lt;=7,"일주일 이내",IF(M1261&lt;=14,"이주일 이내","15일 이후"))))))))</f>
        <v/>
      </c>
      <c r="O1261" s="0" t="str">
        <f aca="false">IF(AND(COUNTA($A1261:$J1261)&gt;0,OR(클레임조회!$C$4="",AND(ISNUMBER($B1261),$B1261&gt;=클레임조회!$C$4)),OR(클레임조회!$C$5="",AND(ISNUMBER($B1261),$B1261&lt;=클레임조회!$C$5)),OR(클레임조회!$C$6="",$C1261=클레임조회!$C$6),OR(클레임조회!$C$7="",$D1261=클레임조회!$C$7),OR(클레임조회!$C$8="",$E1261=클레임조회!$C$8),OR(클레임조회!$C$9="",$F1261=클레임조회!$C$9),OR(클레임조회!$C$10="",ISNUMBER(SEARCH(클레임조회!$C$10,$C1261&amp;" "&amp;$F1261&amp;" "&amp;$G1261&amp;" "&amp;$H1261)))),COUNT(O$1:O1260)+1,"")</f>
        <v/>
      </c>
      <c r="P1261" s="0" t="str">
        <f aca="false">IF(AND(TRIM(C1261)&lt;&gt;"",COUNTIF(C$2:C1261,C1261)=1),MAX(P$1:P1260)+1,"")</f>
        <v/>
      </c>
      <c r="Q1261" s="0" t="str">
        <f aca="false">IF(AND(TRIM(F1261)&lt;&gt;"",COUNTIF(F$2:F1261,F1261)=1),MAX(Q$1:Q1260)+1,"")</f>
        <v/>
      </c>
    </row>
    <row r="1262" customFormat="false" ht="15" hidden="false" customHeight="false" outlineLevel="0" collapsed="false">
      <c r="A1262" s="9"/>
      <c r="B1262" s="10"/>
      <c r="C1262" s="11"/>
      <c r="D1262" s="11"/>
      <c r="E1262" s="11"/>
      <c r="F1262" s="11"/>
      <c r="G1262" s="12"/>
      <c r="H1262" s="12"/>
      <c r="I1262" s="10"/>
      <c r="J1262" s="12"/>
      <c r="K1262" s="13" t="str">
        <f aca="false">IF(ISNUMBER(B1262),YEAR(B1262),"")</f>
        <v/>
      </c>
      <c r="L1262" s="13" t="str">
        <f aca="false">IF(ISNUMBER(B1262),MONTH(B1262),"")</f>
        <v/>
      </c>
      <c r="M1262" s="13" t="str">
        <f aca="false">IF(AND(ISNUMBER(B1262),ISNUMBER(I1262)),B1262-I1262+1,"")</f>
        <v/>
      </c>
      <c r="N1262" s="14" t="str">
        <f aca="false">IF(B1262="","",IF(M1262="","시작일 미입력",IF(M1262&lt;1,"시작일 이전(확인)",IF(M1262=1,"1일째",IF(M1262=2,"2일째",IF(M1262=3,"3일째",IF(M1262&lt;=7,"일주일 이내",IF(M1262&lt;=14,"이주일 이내","15일 이후"))))))))</f>
        <v/>
      </c>
      <c r="O1262" s="0" t="str">
        <f aca="false">IF(AND(COUNTA($A1262:$J1262)&gt;0,OR(클레임조회!$C$4="",AND(ISNUMBER($B1262),$B1262&gt;=클레임조회!$C$4)),OR(클레임조회!$C$5="",AND(ISNUMBER($B1262),$B1262&lt;=클레임조회!$C$5)),OR(클레임조회!$C$6="",$C1262=클레임조회!$C$6),OR(클레임조회!$C$7="",$D1262=클레임조회!$C$7),OR(클레임조회!$C$8="",$E1262=클레임조회!$C$8),OR(클레임조회!$C$9="",$F1262=클레임조회!$C$9),OR(클레임조회!$C$10="",ISNUMBER(SEARCH(클레임조회!$C$10,$C1262&amp;" "&amp;$F1262&amp;" "&amp;$G1262&amp;" "&amp;$H1262)))),COUNT(O$1:O1261)+1,"")</f>
        <v/>
      </c>
      <c r="P1262" s="0" t="str">
        <f aca="false">IF(AND(TRIM(C1262)&lt;&gt;"",COUNTIF(C$2:C1262,C1262)=1),MAX(P$1:P1261)+1,"")</f>
        <v/>
      </c>
      <c r="Q1262" s="0" t="str">
        <f aca="false">IF(AND(TRIM(F1262)&lt;&gt;"",COUNTIF(F$2:F1262,F1262)=1),MAX(Q$1:Q1261)+1,"")</f>
        <v/>
      </c>
    </row>
    <row r="1263" customFormat="false" ht="15" hidden="false" customHeight="false" outlineLevel="0" collapsed="false">
      <c r="A1263" s="9"/>
      <c r="B1263" s="10"/>
      <c r="C1263" s="11"/>
      <c r="D1263" s="11"/>
      <c r="E1263" s="11"/>
      <c r="F1263" s="11"/>
      <c r="G1263" s="12"/>
      <c r="H1263" s="12"/>
      <c r="I1263" s="10"/>
      <c r="J1263" s="12"/>
      <c r="K1263" s="13" t="str">
        <f aca="false">IF(ISNUMBER(B1263),YEAR(B1263),"")</f>
        <v/>
      </c>
      <c r="L1263" s="13" t="str">
        <f aca="false">IF(ISNUMBER(B1263),MONTH(B1263),"")</f>
        <v/>
      </c>
      <c r="M1263" s="13" t="str">
        <f aca="false">IF(AND(ISNUMBER(B1263),ISNUMBER(I1263)),B1263-I1263+1,"")</f>
        <v/>
      </c>
      <c r="N1263" s="14" t="str">
        <f aca="false">IF(B1263="","",IF(M1263="","시작일 미입력",IF(M1263&lt;1,"시작일 이전(확인)",IF(M1263=1,"1일째",IF(M1263=2,"2일째",IF(M1263=3,"3일째",IF(M1263&lt;=7,"일주일 이내",IF(M1263&lt;=14,"이주일 이내","15일 이후"))))))))</f>
        <v/>
      </c>
      <c r="O1263" s="0" t="str">
        <f aca="false">IF(AND(COUNTA($A1263:$J1263)&gt;0,OR(클레임조회!$C$4="",AND(ISNUMBER($B1263),$B1263&gt;=클레임조회!$C$4)),OR(클레임조회!$C$5="",AND(ISNUMBER($B1263),$B1263&lt;=클레임조회!$C$5)),OR(클레임조회!$C$6="",$C1263=클레임조회!$C$6),OR(클레임조회!$C$7="",$D1263=클레임조회!$C$7),OR(클레임조회!$C$8="",$E1263=클레임조회!$C$8),OR(클레임조회!$C$9="",$F1263=클레임조회!$C$9),OR(클레임조회!$C$10="",ISNUMBER(SEARCH(클레임조회!$C$10,$C1263&amp;" "&amp;$F1263&amp;" "&amp;$G1263&amp;" "&amp;$H1263)))),COUNT(O$1:O1262)+1,"")</f>
        <v/>
      </c>
      <c r="P1263" s="0" t="str">
        <f aca="false">IF(AND(TRIM(C1263)&lt;&gt;"",COUNTIF(C$2:C1263,C1263)=1),MAX(P$1:P1262)+1,"")</f>
        <v/>
      </c>
      <c r="Q1263" s="0" t="str">
        <f aca="false">IF(AND(TRIM(F1263)&lt;&gt;"",COUNTIF(F$2:F1263,F1263)=1),MAX(Q$1:Q1262)+1,"")</f>
        <v/>
      </c>
    </row>
    <row r="1264" customFormat="false" ht="15" hidden="false" customHeight="false" outlineLevel="0" collapsed="false">
      <c r="A1264" s="9"/>
      <c r="B1264" s="10"/>
      <c r="C1264" s="11"/>
      <c r="D1264" s="11"/>
      <c r="E1264" s="11"/>
      <c r="F1264" s="11"/>
      <c r="G1264" s="12"/>
      <c r="H1264" s="12"/>
      <c r="I1264" s="10"/>
      <c r="J1264" s="12"/>
      <c r="K1264" s="13" t="str">
        <f aca="false">IF(ISNUMBER(B1264),YEAR(B1264),"")</f>
        <v/>
      </c>
      <c r="L1264" s="13" t="str">
        <f aca="false">IF(ISNUMBER(B1264),MONTH(B1264),"")</f>
        <v/>
      </c>
      <c r="M1264" s="13" t="str">
        <f aca="false">IF(AND(ISNUMBER(B1264),ISNUMBER(I1264)),B1264-I1264+1,"")</f>
        <v/>
      </c>
      <c r="N1264" s="14" t="str">
        <f aca="false">IF(B1264="","",IF(M1264="","시작일 미입력",IF(M1264&lt;1,"시작일 이전(확인)",IF(M1264=1,"1일째",IF(M1264=2,"2일째",IF(M1264=3,"3일째",IF(M1264&lt;=7,"일주일 이내",IF(M1264&lt;=14,"이주일 이내","15일 이후"))))))))</f>
        <v/>
      </c>
      <c r="O1264" s="0" t="str">
        <f aca="false">IF(AND(COUNTA($A1264:$J1264)&gt;0,OR(클레임조회!$C$4="",AND(ISNUMBER($B1264),$B1264&gt;=클레임조회!$C$4)),OR(클레임조회!$C$5="",AND(ISNUMBER($B1264),$B1264&lt;=클레임조회!$C$5)),OR(클레임조회!$C$6="",$C1264=클레임조회!$C$6),OR(클레임조회!$C$7="",$D1264=클레임조회!$C$7),OR(클레임조회!$C$8="",$E1264=클레임조회!$C$8),OR(클레임조회!$C$9="",$F1264=클레임조회!$C$9),OR(클레임조회!$C$10="",ISNUMBER(SEARCH(클레임조회!$C$10,$C1264&amp;" "&amp;$F1264&amp;" "&amp;$G1264&amp;" "&amp;$H1264)))),COUNT(O$1:O1263)+1,"")</f>
        <v/>
      </c>
      <c r="P1264" s="0" t="str">
        <f aca="false">IF(AND(TRIM(C1264)&lt;&gt;"",COUNTIF(C$2:C1264,C1264)=1),MAX(P$1:P1263)+1,"")</f>
        <v/>
      </c>
      <c r="Q1264" s="0" t="str">
        <f aca="false">IF(AND(TRIM(F1264)&lt;&gt;"",COUNTIF(F$2:F1264,F1264)=1),MAX(Q$1:Q1263)+1,"")</f>
        <v/>
      </c>
    </row>
    <row r="1265" customFormat="false" ht="15" hidden="false" customHeight="false" outlineLevel="0" collapsed="false">
      <c r="A1265" s="9"/>
      <c r="B1265" s="10"/>
      <c r="C1265" s="11"/>
      <c r="D1265" s="11"/>
      <c r="E1265" s="11"/>
      <c r="F1265" s="11"/>
      <c r="G1265" s="12"/>
      <c r="H1265" s="12"/>
      <c r="I1265" s="10"/>
      <c r="J1265" s="12"/>
      <c r="K1265" s="13" t="str">
        <f aca="false">IF(ISNUMBER(B1265),YEAR(B1265),"")</f>
        <v/>
      </c>
      <c r="L1265" s="13" t="str">
        <f aca="false">IF(ISNUMBER(B1265),MONTH(B1265),"")</f>
        <v/>
      </c>
      <c r="M1265" s="13" t="str">
        <f aca="false">IF(AND(ISNUMBER(B1265),ISNUMBER(I1265)),B1265-I1265+1,"")</f>
        <v/>
      </c>
      <c r="N1265" s="14" t="str">
        <f aca="false">IF(B1265="","",IF(M1265="","시작일 미입력",IF(M1265&lt;1,"시작일 이전(확인)",IF(M1265=1,"1일째",IF(M1265=2,"2일째",IF(M1265=3,"3일째",IF(M1265&lt;=7,"일주일 이내",IF(M1265&lt;=14,"이주일 이내","15일 이후"))))))))</f>
        <v/>
      </c>
      <c r="O1265" s="0" t="str">
        <f aca="false">IF(AND(COUNTA($A1265:$J1265)&gt;0,OR(클레임조회!$C$4="",AND(ISNUMBER($B1265),$B1265&gt;=클레임조회!$C$4)),OR(클레임조회!$C$5="",AND(ISNUMBER($B1265),$B1265&lt;=클레임조회!$C$5)),OR(클레임조회!$C$6="",$C1265=클레임조회!$C$6),OR(클레임조회!$C$7="",$D1265=클레임조회!$C$7),OR(클레임조회!$C$8="",$E1265=클레임조회!$C$8),OR(클레임조회!$C$9="",$F1265=클레임조회!$C$9),OR(클레임조회!$C$10="",ISNUMBER(SEARCH(클레임조회!$C$10,$C1265&amp;" "&amp;$F1265&amp;" "&amp;$G1265&amp;" "&amp;$H1265)))),COUNT(O$1:O1264)+1,"")</f>
        <v/>
      </c>
      <c r="P1265" s="0" t="str">
        <f aca="false">IF(AND(TRIM(C1265)&lt;&gt;"",COUNTIF(C$2:C1265,C1265)=1),MAX(P$1:P1264)+1,"")</f>
        <v/>
      </c>
      <c r="Q1265" s="0" t="str">
        <f aca="false">IF(AND(TRIM(F1265)&lt;&gt;"",COUNTIF(F$2:F1265,F1265)=1),MAX(Q$1:Q1264)+1,"")</f>
        <v/>
      </c>
    </row>
    <row r="1266" customFormat="false" ht="15" hidden="false" customHeight="false" outlineLevel="0" collapsed="false">
      <c r="A1266" s="9"/>
      <c r="B1266" s="10"/>
      <c r="C1266" s="11"/>
      <c r="D1266" s="11"/>
      <c r="E1266" s="11"/>
      <c r="F1266" s="11"/>
      <c r="G1266" s="12"/>
      <c r="H1266" s="12"/>
      <c r="I1266" s="10"/>
      <c r="J1266" s="12"/>
      <c r="K1266" s="13" t="str">
        <f aca="false">IF(ISNUMBER(B1266),YEAR(B1266),"")</f>
        <v/>
      </c>
      <c r="L1266" s="13" t="str">
        <f aca="false">IF(ISNUMBER(B1266),MONTH(B1266),"")</f>
        <v/>
      </c>
      <c r="M1266" s="13" t="str">
        <f aca="false">IF(AND(ISNUMBER(B1266),ISNUMBER(I1266)),B1266-I1266+1,"")</f>
        <v/>
      </c>
      <c r="N1266" s="14" t="str">
        <f aca="false">IF(B1266="","",IF(M1266="","시작일 미입력",IF(M1266&lt;1,"시작일 이전(확인)",IF(M1266=1,"1일째",IF(M1266=2,"2일째",IF(M1266=3,"3일째",IF(M1266&lt;=7,"일주일 이내",IF(M1266&lt;=14,"이주일 이내","15일 이후"))))))))</f>
        <v/>
      </c>
      <c r="O1266" s="0" t="str">
        <f aca="false">IF(AND(COUNTA($A1266:$J1266)&gt;0,OR(클레임조회!$C$4="",AND(ISNUMBER($B1266),$B1266&gt;=클레임조회!$C$4)),OR(클레임조회!$C$5="",AND(ISNUMBER($B1266),$B1266&lt;=클레임조회!$C$5)),OR(클레임조회!$C$6="",$C1266=클레임조회!$C$6),OR(클레임조회!$C$7="",$D1266=클레임조회!$C$7),OR(클레임조회!$C$8="",$E1266=클레임조회!$C$8),OR(클레임조회!$C$9="",$F1266=클레임조회!$C$9),OR(클레임조회!$C$10="",ISNUMBER(SEARCH(클레임조회!$C$10,$C1266&amp;" "&amp;$F1266&amp;" "&amp;$G1266&amp;" "&amp;$H1266)))),COUNT(O$1:O1265)+1,"")</f>
        <v/>
      </c>
      <c r="P1266" s="0" t="str">
        <f aca="false">IF(AND(TRIM(C1266)&lt;&gt;"",COUNTIF(C$2:C1266,C1266)=1),MAX(P$1:P1265)+1,"")</f>
        <v/>
      </c>
      <c r="Q1266" s="0" t="str">
        <f aca="false">IF(AND(TRIM(F1266)&lt;&gt;"",COUNTIF(F$2:F1266,F1266)=1),MAX(Q$1:Q1265)+1,"")</f>
        <v/>
      </c>
    </row>
    <row r="1267" customFormat="false" ht="15" hidden="false" customHeight="false" outlineLevel="0" collapsed="false">
      <c r="A1267" s="9"/>
      <c r="B1267" s="10"/>
      <c r="C1267" s="11"/>
      <c r="D1267" s="11"/>
      <c r="E1267" s="11"/>
      <c r="F1267" s="11"/>
      <c r="G1267" s="12"/>
      <c r="H1267" s="12"/>
      <c r="I1267" s="10"/>
      <c r="J1267" s="12"/>
      <c r="K1267" s="13" t="str">
        <f aca="false">IF(ISNUMBER(B1267),YEAR(B1267),"")</f>
        <v/>
      </c>
      <c r="L1267" s="13" t="str">
        <f aca="false">IF(ISNUMBER(B1267),MONTH(B1267),"")</f>
        <v/>
      </c>
      <c r="M1267" s="13" t="str">
        <f aca="false">IF(AND(ISNUMBER(B1267),ISNUMBER(I1267)),B1267-I1267+1,"")</f>
        <v/>
      </c>
      <c r="N1267" s="14" t="str">
        <f aca="false">IF(B1267="","",IF(M1267="","시작일 미입력",IF(M1267&lt;1,"시작일 이전(확인)",IF(M1267=1,"1일째",IF(M1267=2,"2일째",IF(M1267=3,"3일째",IF(M1267&lt;=7,"일주일 이내",IF(M1267&lt;=14,"이주일 이내","15일 이후"))))))))</f>
        <v/>
      </c>
      <c r="O1267" s="0" t="str">
        <f aca="false">IF(AND(COUNTA($A1267:$J1267)&gt;0,OR(클레임조회!$C$4="",AND(ISNUMBER($B1267),$B1267&gt;=클레임조회!$C$4)),OR(클레임조회!$C$5="",AND(ISNUMBER($B1267),$B1267&lt;=클레임조회!$C$5)),OR(클레임조회!$C$6="",$C1267=클레임조회!$C$6),OR(클레임조회!$C$7="",$D1267=클레임조회!$C$7),OR(클레임조회!$C$8="",$E1267=클레임조회!$C$8),OR(클레임조회!$C$9="",$F1267=클레임조회!$C$9),OR(클레임조회!$C$10="",ISNUMBER(SEARCH(클레임조회!$C$10,$C1267&amp;" "&amp;$F1267&amp;" "&amp;$G1267&amp;" "&amp;$H1267)))),COUNT(O$1:O1266)+1,"")</f>
        <v/>
      </c>
      <c r="P1267" s="0" t="str">
        <f aca="false">IF(AND(TRIM(C1267)&lt;&gt;"",COUNTIF(C$2:C1267,C1267)=1),MAX(P$1:P1266)+1,"")</f>
        <v/>
      </c>
      <c r="Q1267" s="0" t="str">
        <f aca="false">IF(AND(TRIM(F1267)&lt;&gt;"",COUNTIF(F$2:F1267,F1267)=1),MAX(Q$1:Q1266)+1,"")</f>
        <v/>
      </c>
    </row>
    <row r="1268" customFormat="false" ht="15" hidden="false" customHeight="false" outlineLevel="0" collapsed="false">
      <c r="A1268" s="9"/>
      <c r="B1268" s="10"/>
      <c r="C1268" s="11"/>
      <c r="D1268" s="11"/>
      <c r="E1268" s="11"/>
      <c r="F1268" s="11"/>
      <c r="G1268" s="12"/>
      <c r="H1268" s="12"/>
      <c r="I1268" s="10"/>
      <c r="J1268" s="12"/>
      <c r="K1268" s="13" t="str">
        <f aca="false">IF(ISNUMBER(B1268),YEAR(B1268),"")</f>
        <v/>
      </c>
      <c r="L1268" s="13" t="str">
        <f aca="false">IF(ISNUMBER(B1268),MONTH(B1268),"")</f>
        <v/>
      </c>
      <c r="M1268" s="13" t="str">
        <f aca="false">IF(AND(ISNUMBER(B1268),ISNUMBER(I1268)),B1268-I1268+1,"")</f>
        <v/>
      </c>
      <c r="N1268" s="14" t="str">
        <f aca="false">IF(B1268="","",IF(M1268="","시작일 미입력",IF(M1268&lt;1,"시작일 이전(확인)",IF(M1268=1,"1일째",IF(M1268=2,"2일째",IF(M1268=3,"3일째",IF(M1268&lt;=7,"일주일 이내",IF(M1268&lt;=14,"이주일 이내","15일 이후"))))))))</f>
        <v/>
      </c>
      <c r="O1268" s="0" t="str">
        <f aca="false">IF(AND(COUNTA($A1268:$J1268)&gt;0,OR(클레임조회!$C$4="",AND(ISNUMBER($B1268),$B1268&gt;=클레임조회!$C$4)),OR(클레임조회!$C$5="",AND(ISNUMBER($B1268),$B1268&lt;=클레임조회!$C$5)),OR(클레임조회!$C$6="",$C1268=클레임조회!$C$6),OR(클레임조회!$C$7="",$D1268=클레임조회!$C$7),OR(클레임조회!$C$8="",$E1268=클레임조회!$C$8),OR(클레임조회!$C$9="",$F1268=클레임조회!$C$9),OR(클레임조회!$C$10="",ISNUMBER(SEARCH(클레임조회!$C$10,$C1268&amp;" "&amp;$F1268&amp;" "&amp;$G1268&amp;" "&amp;$H1268)))),COUNT(O$1:O1267)+1,"")</f>
        <v/>
      </c>
      <c r="P1268" s="0" t="str">
        <f aca="false">IF(AND(TRIM(C1268)&lt;&gt;"",COUNTIF(C$2:C1268,C1268)=1),MAX(P$1:P1267)+1,"")</f>
        <v/>
      </c>
      <c r="Q1268" s="0" t="str">
        <f aca="false">IF(AND(TRIM(F1268)&lt;&gt;"",COUNTIF(F$2:F1268,F1268)=1),MAX(Q$1:Q1267)+1,"")</f>
        <v/>
      </c>
    </row>
    <row r="1269" customFormat="false" ht="15" hidden="false" customHeight="false" outlineLevel="0" collapsed="false">
      <c r="A1269" s="9"/>
      <c r="B1269" s="10"/>
      <c r="C1269" s="11"/>
      <c r="D1269" s="11"/>
      <c r="E1269" s="11"/>
      <c r="F1269" s="11"/>
      <c r="G1269" s="12"/>
      <c r="H1269" s="12"/>
      <c r="I1269" s="10"/>
      <c r="J1269" s="12"/>
      <c r="K1269" s="13" t="str">
        <f aca="false">IF(ISNUMBER(B1269),YEAR(B1269),"")</f>
        <v/>
      </c>
      <c r="L1269" s="13" t="str">
        <f aca="false">IF(ISNUMBER(B1269),MONTH(B1269),"")</f>
        <v/>
      </c>
      <c r="M1269" s="13" t="str">
        <f aca="false">IF(AND(ISNUMBER(B1269),ISNUMBER(I1269)),B1269-I1269+1,"")</f>
        <v/>
      </c>
      <c r="N1269" s="14" t="str">
        <f aca="false">IF(B1269="","",IF(M1269="","시작일 미입력",IF(M1269&lt;1,"시작일 이전(확인)",IF(M1269=1,"1일째",IF(M1269=2,"2일째",IF(M1269=3,"3일째",IF(M1269&lt;=7,"일주일 이내",IF(M1269&lt;=14,"이주일 이내","15일 이후"))))))))</f>
        <v/>
      </c>
      <c r="O1269" s="0" t="str">
        <f aca="false">IF(AND(COUNTA($A1269:$J1269)&gt;0,OR(클레임조회!$C$4="",AND(ISNUMBER($B1269),$B1269&gt;=클레임조회!$C$4)),OR(클레임조회!$C$5="",AND(ISNUMBER($B1269),$B1269&lt;=클레임조회!$C$5)),OR(클레임조회!$C$6="",$C1269=클레임조회!$C$6),OR(클레임조회!$C$7="",$D1269=클레임조회!$C$7),OR(클레임조회!$C$8="",$E1269=클레임조회!$C$8),OR(클레임조회!$C$9="",$F1269=클레임조회!$C$9),OR(클레임조회!$C$10="",ISNUMBER(SEARCH(클레임조회!$C$10,$C1269&amp;" "&amp;$F1269&amp;" "&amp;$G1269&amp;" "&amp;$H1269)))),COUNT(O$1:O1268)+1,"")</f>
        <v/>
      </c>
      <c r="P1269" s="0" t="str">
        <f aca="false">IF(AND(TRIM(C1269)&lt;&gt;"",COUNTIF(C$2:C1269,C1269)=1),MAX(P$1:P1268)+1,"")</f>
        <v/>
      </c>
      <c r="Q1269" s="0" t="str">
        <f aca="false">IF(AND(TRIM(F1269)&lt;&gt;"",COUNTIF(F$2:F1269,F1269)=1),MAX(Q$1:Q1268)+1,"")</f>
        <v/>
      </c>
    </row>
    <row r="1270" customFormat="false" ht="15" hidden="false" customHeight="false" outlineLevel="0" collapsed="false">
      <c r="A1270" s="9"/>
      <c r="B1270" s="10"/>
      <c r="C1270" s="11"/>
      <c r="D1270" s="11"/>
      <c r="E1270" s="11"/>
      <c r="F1270" s="11"/>
      <c r="G1270" s="12"/>
      <c r="H1270" s="12"/>
      <c r="I1270" s="10"/>
      <c r="J1270" s="12"/>
      <c r="K1270" s="13" t="str">
        <f aca="false">IF(ISNUMBER(B1270),YEAR(B1270),"")</f>
        <v/>
      </c>
      <c r="L1270" s="13" t="str">
        <f aca="false">IF(ISNUMBER(B1270),MONTH(B1270),"")</f>
        <v/>
      </c>
      <c r="M1270" s="13" t="str">
        <f aca="false">IF(AND(ISNUMBER(B1270),ISNUMBER(I1270)),B1270-I1270+1,"")</f>
        <v/>
      </c>
      <c r="N1270" s="14" t="str">
        <f aca="false">IF(B1270="","",IF(M1270="","시작일 미입력",IF(M1270&lt;1,"시작일 이전(확인)",IF(M1270=1,"1일째",IF(M1270=2,"2일째",IF(M1270=3,"3일째",IF(M1270&lt;=7,"일주일 이내",IF(M1270&lt;=14,"이주일 이내","15일 이후"))))))))</f>
        <v/>
      </c>
      <c r="O1270" s="0" t="str">
        <f aca="false">IF(AND(COUNTA($A1270:$J1270)&gt;0,OR(클레임조회!$C$4="",AND(ISNUMBER($B1270),$B1270&gt;=클레임조회!$C$4)),OR(클레임조회!$C$5="",AND(ISNUMBER($B1270),$B1270&lt;=클레임조회!$C$5)),OR(클레임조회!$C$6="",$C1270=클레임조회!$C$6),OR(클레임조회!$C$7="",$D1270=클레임조회!$C$7),OR(클레임조회!$C$8="",$E1270=클레임조회!$C$8),OR(클레임조회!$C$9="",$F1270=클레임조회!$C$9),OR(클레임조회!$C$10="",ISNUMBER(SEARCH(클레임조회!$C$10,$C1270&amp;" "&amp;$F1270&amp;" "&amp;$G1270&amp;" "&amp;$H1270)))),COUNT(O$1:O1269)+1,"")</f>
        <v/>
      </c>
      <c r="P1270" s="0" t="str">
        <f aca="false">IF(AND(TRIM(C1270)&lt;&gt;"",COUNTIF(C$2:C1270,C1270)=1),MAX(P$1:P1269)+1,"")</f>
        <v/>
      </c>
      <c r="Q1270" s="0" t="str">
        <f aca="false">IF(AND(TRIM(F1270)&lt;&gt;"",COUNTIF(F$2:F1270,F1270)=1),MAX(Q$1:Q1269)+1,"")</f>
        <v/>
      </c>
    </row>
    <row r="1271" customFormat="false" ht="15" hidden="false" customHeight="false" outlineLevel="0" collapsed="false">
      <c r="A1271" s="9"/>
      <c r="B1271" s="10"/>
      <c r="C1271" s="11"/>
      <c r="D1271" s="11"/>
      <c r="E1271" s="11"/>
      <c r="F1271" s="11"/>
      <c r="G1271" s="12"/>
      <c r="H1271" s="12"/>
      <c r="I1271" s="10"/>
      <c r="J1271" s="12"/>
      <c r="K1271" s="13" t="str">
        <f aca="false">IF(ISNUMBER(B1271),YEAR(B1271),"")</f>
        <v/>
      </c>
      <c r="L1271" s="13" t="str">
        <f aca="false">IF(ISNUMBER(B1271),MONTH(B1271),"")</f>
        <v/>
      </c>
      <c r="M1271" s="13" t="str">
        <f aca="false">IF(AND(ISNUMBER(B1271),ISNUMBER(I1271)),B1271-I1271+1,"")</f>
        <v/>
      </c>
      <c r="N1271" s="14" t="str">
        <f aca="false">IF(B1271="","",IF(M1271="","시작일 미입력",IF(M1271&lt;1,"시작일 이전(확인)",IF(M1271=1,"1일째",IF(M1271=2,"2일째",IF(M1271=3,"3일째",IF(M1271&lt;=7,"일주일 이내",IF(M1271&lt;=14,"이주일 이내","15일 이후"))))))))</f>
        <v/>
      </c>
      <c r="O1271" s="0" t="str">
        <f aca="false">IF(AND(COUNTA($A1271:$J1271)&gt;0,OR(클레임조회!$C$4="",AND(ISNUMBER($B1271),$B1271&gt;=클레임조회!$C$4)),OR(클레임조회!$C$5="",AND(ISNUMBER($B1271),$B1271&lt;=클레임조회!$C$5)),OR(클레임조회!$C$6="",$C1271=클레임조회!$C$6),OR(클레임조회!$C$7="",$D1271=클레임조회!$C$7),OR(클레임조회!$C$8="",$E1271=클레임조회!$C$8),OR(클레임조회!$C$9="",$F1271=클레임조회!$C$9),OR(클레임조회!$C$10="",ISNUMBER(SEARCH(클레임조회!$C$10,$C1271&amp;" "&amp;$F1271&amp;" "&amp;$G1271&amp;" "&amp;$H1271)))),COUNT(O$1:O1270)+1,"")</f>
        <v/>
      </c>
      <c r="P1271" s="0" t="str">
        <f aca="false">IF(AND(TRIM(C1271)&lt;&gt;"",COUNTIF(C$2:C1271,C1271)=1),MAX(P$1:P1270)+1,"")</f>
        <v/>
      </c>
      <c r="Q1271" s="0" t="str">
        <f aca="false">IF(AND(TRIM(F1271)&lt;&gt;"",COUNTIF(F$2:F1271,F1271)=1),MAX(Q$1:Q1270)+1,"")</f>
        <v/>
      </c>
    </row>
    <row r="1272" customFormat="false" ht="15" hidden="false" customHeight="false" outlineLevel="0" collapsed="false">
      <c r="A1272" s="9"/>
      <c r="B1272" s="10"/>
      <c r="C1272" s="11"/>
      <c r="D1272" s="11"/>
      <c r="E1272" s="11"/>
      <c r="F1272" s="11"/>
      <c r="G1272" s="12"/>
      <c r="H1272" s="12"/>
      <c r="I1272" s="10"/>
      <c r="J1272" s="12"/>
      <c r="K1272" s="13" t="str">
        <f aca="false">IF(ISNUMBER(B1272),YEAR(B1272),"")</f>
        <v/>
      </c>
      <c r="L1272" s="13" t="str">
        <f aca="false">IF(ISNUMBER(B1272),MONTH(B1272),"")</f>
        <v/>
      </c>
      <c r="M1272" s="13" t="str">
        <f aca="false">IF(AND(ISNUMBER(B1272),ISNUMBER(I1272)),B1272-I1272+1,"")</f>
        <v/>
      </c>
      <c r="N1272" s="14" t="str">
        <f aca="false">IF(B1272="","",IF(M1272="","시작일 미입력",IF(M1272&lt;1,"시작일 이전(확인)",IF(M1272=1,"1일째",IF(M1272=2,"2일째",IF(M1272=3,"3일째",IF(M1272&lt;=7,"일주일 이내",IF(M1272&lt;=14,"이주일 이내","15일 이후"))))))))</f>
        <v/>
      </c>
      <c r="O1272" s="0" t="str">
        <f aca="false">IF(AND(COUNTA($A1272:$J1272)&gt;0,OR(클레임조회!$C$4="",AND(ISNUMBER($B1272),$B1272&gt;=클레임조회!$C$4)),OR(클레임조회!$C$5="",AND(ISNUMBER($B1272),$B1272&lt;=클레임조회!$C$5)),OR(클레임조회!$C$6="",$C1272=클레임조회!$C$6),OR(클레임조회!$C$7="",$D1272=클레임조회!$C$7),OR(클레임조회!$C$8="",$E1272=클레임조회!$C$8),OR(클레임조회!$C$9="",$F1272=클레임조회!$C$9),OR(클레임조회!$C$10="",ISNUMBER(SEARCH(클레임조회!$C$10,$C1272&amp;" "&amp;$F1272&amp;" "&amp;$G1272&amp;" "&amp;$H1272)))),COUNT(O$1:O1271)+1,"")</f>
        <v/>
      </c>
      <c r="P1272" s="0" t="str">
        <f aca="false">IF(AND(TRIM(C1272)&lt;&gt;"",COUNTIF(C$2:C1272,C1272)=1),MAX(P$1:P1271)+1,"")</f>
        <v/>
      </c>
      <c r="Q1272" s="0" t="str">
        <f aca="false">IF(AND(TRIM(F1272)&lt;&gt;"",COUNTIF(F$2:F1272,F1272)=1),MAX(Q$1:Q1271)+1,"")</f>
        <v/>
      </c>
    </row>
    <row r="1273" customFormat="false" ht="15" hidden="false" customHeight="false" outlineLevel="0" collapsed="false">
      <c r="A1273" s="9"/>
      <c r="B1273" s="10"/>
      <c r="C1273" s="11"/>
      <c r="D1273" s="11"/>
      <c r="E1273" s="11"/>
      <c r="F1273" s="11"/>
      <c r="G1273" s="12"/>
      <c r="H1273" s="12"/>
      <c r="I1273" s="10"/>
      <c r="J1273" s="12"/>
      <c r="K1273" s="13" t="str">
        <f aca="false">IF(ISNUMBER(B1273),YEAR(B1273),"")</f>
        <v/>
      </c>
      <c r="L1273" s="13" t="str">
        <f aca="false">IF(ISNUMBER(B1273),MONTH(B1273),"")</f>
        <v/>
      </c>
      <c r="M1273" s="13" t="str">
        <f aca="false">IF(AND(ISNUMBER(B1273),ISNUMBER(I1273)),B1273-I1273+1,"")</f>
        <v/>
      </c>
      <c r="N1273" s="14" t="str">
        <f aca="false">IF(B1273="","",IF(M1273="","시작일 미입력",IF(M1273&lt;1,"시작일 이전(확인)",IF(M1273=1,"1일째",IF(M1273=2,"2일째",IF(M1273=3,"3일째",IF(M1273&lt;=7,"일주일 이내",IF(M1273&lt;=14,"이주일 이내","15일 이후"))))))))</f>
        <v/>
      </c>
      <c r="O1273" s="0" t="str">
        <f aca="false">IF(AND(COUNTA($A1273:$J1273)&gt;0,OR(클레임조회!$C$4="",AND(ISNUMBER($B1273),$B1273&gt;=클레임조회!$C$4)),OR(클레임조회!$C$5="",AND(ISNUMBER($B1273),$B1273&lt;=클레임조회!$C$5)),OR(클레임조회!$C$6="",$C1273=클레임조회!$C$6),OR(클레임조회!$C$7="",$D1273=클레임조회!$C$7),OR(클레임조회!$C$8="",$E1273=클레임조회!$C$8),OR(클레임조회!$C$9="",$F1273=클레임조회!$C$9),OR(클레임조회!$C$10="",ISNUMBER(SEARCH(클레임조회!$C$10,$C1273&amp;" "&amp;$F1273&amp;" "&amp;$G1273&amp;" "&amp;$H1273)))),COUNT(O$1:O1272)+1,"")</f>
        <v/>
      </c>
      <c r="P1273" s="0" t="str">
        <f aca="false">IF(AND(TRIM(C1273)&lt;&gt;"",COUNTIF(C$2:C1273,C1273)=1),MAX(P$1:P1272)+1,"")</f>
        <v/>
      </c>
      <c r="Q1273" s="0" t="str">
        <f aca="false">IF(AND(TRIM(F1273)&lt;&gt;"",COUNTIF(F$2:F1273,F1273)=1),MAX(Q$1:Q1272)+1,"")</f>
        <v/>
      </c>
    </row>
    <row r="1274" customFormat="false" ht="15" hidden="false" customHeight="false" outlineLevel="0" collapsed="false">
      <c r="A1274" s="9"/>
      <c r="B1274" s="10"/>
      <c r="C1274" s="11"/>
      <c r="D1274" s="11"/>
      <c r="E1274" s="11"/>
      <c r="F1274" s="11"/>
      <c r="G1274" s="12"/>
      <c r="H1274" s="12"/>
      <c r="I1274" s="10"/>
      <c r="J1274" s="12"/>
      <c r="K1274" s="13" t="str">
        <f aca="false">IF(ISNUMBER(B1274),YEAR(B1274),"")</f>
        <v/>
      </c>
      <c r="L1274" s="13" t="str">
        <f aca="false">IF(ISNUMBER(B1274),MONTH(B1274),"")</f>
        <v/>
      </c>
      <c r="M1274" s="13" t="str">
        <f aca="false">IF(AND(ISNUMBER(B1274),ISNUMBER(I1274)),B1274-I1274+1,"")</f>
        <v/>
      </c>
      <c r="N1274" s="14" t="str">
        <f aca="false">IF(B1274="","",IF(M1274="","시작일 미입력",IF(M1274&lt;1,"시작일 이전(확인)",IF(M1274=1,"1일째",IF(M1274=2,"2일째",IF(M1274=3,"3일째",IF(M1274&lt;=7,"일주일 이내",IF(M1274&lt;=14,"이주일 이내","15일 이후"))))))))</f>
        <v/>
      </c>
      <c r="O1274" s="0" t="str">
        <f aca="false">IF(AND(COUNTA($A1274:$J1274)&gt;0,OR(클레임조회!$C$4="",AND(ISNUMBER($B1274),$B1274&gt;=클레임조회!$C$4)),OR(클레임조회!$C$5="",AND(ISNUMBER($B1274),$B1274&lt;=클레임조회!$C$5)),OR(클레임조회!$C$6="",$C1274=클레임조회!$C$6),OR(클레임조회!$C$7="",$D1274=클레임조회!$C$7),OR(클레임조회!$C$8="",$E1274=클레임조회!$C$8),OR(클레임조회!$C$9="",$F1274=클레임조회!$C$9),OR(클레임조회!$C$10="",ISNUMBER(SEARCH(클레임조회!$C$10,$C1274&amp;" "&amp;$F1274&amp;" "&amp;$G1274&amp;" "&amp;$H1274)))),COUNT(O$1:O1273)+1,"")</f>
        <v/>
      </c>
      <c r="P1274" s="0" t="str">
        <f aca="false">IF(AND(TRIM(C1274)&lt;&gt;"",COUNTIF(C$2:C1274,C1274)=1),MAX(P$1:P1273)+1,"")</f>
        <v/>
      </c>
      <c r="Q1274" s="0" t="str">
        <f aca="false">IF(AND(TRIM(F1274)&lt;&gt;"",COUNTIF(F$2:F1274,F1274)=1),MAX(Q$1:Q1273)+1,"")</f>
        <v/>
      </c>
    </row>
    <row r="1275" customFormat="false" ht="15" hidden="false" customHeight="false" outlineLevel="0" collapsed="false">
      <c r="A1275" s="9"/>
      <c r="B1275" s="10"/>
      <c r="C1275" s="11"/>
      <c r="D1275" s="11"/>
      <c r="E1275" s="11"/>
      <c r="F1275" s="11"/>
      <c r="G1275" s="12"/>
      <c r="H1275" s="12"/>
      <c r="I1275" s="10"/>
      <c r="J1275" s="12"/>
      <c r="K1275" s="13" t="str">
        <f aca="false">IF(ISNUMBER(B1275),YEAR(B1275),"")</f>
        <v/>
      </c>
      <c r="L1275" s="13" t="str">
        <f aca="false">IF(ISNUMBER(B1275),MONTH(B1275),"")</f>
        <v/>
      </c>
      <c r="M1275" s="13" t="str">
        <f aca="false">IF(AND(ISNUMBER(B1275),ISNUMBER(I1275)),B1275-I1275+1,"")</f>
        <v/>
      </c>
      <c r="N1275" s="14" t="str">
        <f aca="false">IF(B1275="","",IF(M1275="","시작일 미입력",IF(M1275&lt;1,"시작일 이전(확인)",IF(M1275=1,"1일째",IF(M1275=2,"2일째",IF(M1275=3,"3일째",IF(M1275&lt;=7,"일주일 이내",IF(M1275&lt;=14,"이주일 이내","15일 이후"))))))))</f>
        <v/>
      </c>
      <c r="O1275" s="0" t="str">
        <f aca="false">IF(AND(COUNTA($A1275:$J1275)&gt;0,OR(클레임조회!$C$4="",AND(ISNUMBER($B1275),$B1275&gt;=클레임조회!$C$4)),OR(클레임조회!$C$5="",AND(ISNUMBER($B1275),$B1275&lt;=클레임조회!$C$5)),OR(클레임조회!$C$6="",$C1275=클레임조회!$C$6),OR(클레임조회!$C$7="",$D1275=클레임조회!$C$7),OR(클레임조회!$C$8="",$E1275=클레임조회!$C$8),OR(클레임조회!$C$9="",$F1275=클레임조회!$C$9),OR(클레임조회!$C$10="",ISNUMBER(SEARCH(클레임조회!$C$10,$C1275&amp;" "&amp;$F1275&amp;" "&amp;$G1275&amp;" "&amp;$H1275)))),COUNT(O$1:O1274)+1,"")</f>
        <v/>
      </c>
      <c r="P1275" s="0" t="str">
        <f aca="false">IF(AND(TRIM(C1275)&lt;&gt;"",COUNTIF(C$2:C1275,C1275)=1),MAX(P$1:P1274)+1,"")</f>
        <v/>
      </c>
      <c r="Q1275" s="0" t="str">
        <f aca="false">IF(AND(TRIM(F1275)&lt;&gt;"",COUNTIF(F$2:F1275,F1275)=1),MAX(Q$1:Q1274)+1,"")</f>
        <v/>
      </c>
    </row>
    <row r="1276" customFormat="false" ht="15" hidden="false" customHeight="false" outlineLevel="0" collapsed="false">
      <c r="A1276" s="9"/>
      <c r="B1276" s="10"/>
      <c r="C1276" s="11"/>
      <c r="D1276" s="11"/>
      <c r="E1276" s="11"/>
      <c r="F1276" s="11"/>
      <c r="G1276" s="12"/>
      <c r="H1276" s="12"/>
      <c r="I1276" s="10"/>
      <c r="J1276" s="12"/>
      <c r="K1276" s="13" t="str">
        <f aca="false">IF(ISNUMBER(B1276),YEAR(B1276),"")</f>
        <v/>
      </c>
      <c r="L1276" s="13" t="str">
        <f aca="false">IF(ISNUMBER(B1276),MONTH(B1276),"")</f>
        <v/>
      </c>
      <c r="M1276" s="13" t="str">
        <f aca="false">IF(AND(ISNUMBER(B1276),ISNUMBER(I1276)),B1276-I1276+1,"")</f>
        <v/>
      </c>
      <c r="N1276" s="14" t="str">
        <f aca="false">IF(B1276="","",IF(M1276="","시작일 미입력",IF(M1276&lt;1,"시작일 이전(확인)",IF(M1276=1,"1일째",IF(M1276=2,"2일째",IF(M1276=3,"3일째",IF(M1276&lt;=7,"일주일 이내",IF(M1276&lt;=14,"이주일 이내","15일 이후"))))))))</f>
        <v/>
      </c>
      <c r="O1276" s="0" t="str">
        <f aca="false">IF(AND(COUNTA($A1276:$J1276)&gt;0,OR(클레임조회!$C$4="",AND(ISNUMBER($B1276),$B1276&gt;=클레임조회!$C$4)),OR(클레임조회!$C$5="",AND(ISNUMBER($B1276),$B1276&lt;=클레임조회!$C$5)),OR(클레임조회!$C$6="",$C1276=클레임조회!$C$6),OR(클레임조회!$C$7="",$D1276=클레임조회!$C$7),OR(클레임조회!$C$8="",$E1276=클레임조회!$C$8),OR(클레임조회!$C$9="",$F1276=클레임조회!$C$9),OR(클레임조회!$C$10="",ISNUMBER(SEARCH(클레임조회!$C$10,$C1276&amp;" "&amp;$F1276&amp;" "&amp;$G1276&amp;" "&amp;$H1276)))),COUNT(O$1:O1275)+1,"")</f>
        <v/>
      </c>
      <c r="P1276" s="0" t="str">
        <f aca="false">IF(AND(TRIM(C1276)&lt;&gt;"",COUNTIF(C$2:C1276,C1276)=1),MAX(P$1:P1275)+1,"")</f>
        <v/>
      </c>
      <c r="Q1276" s="0" t="str">
        <f aca="false">IF(AND(TRIM(F1276)&lt;&gt;"",COUNTIF(F$2:F1276,F1276)=1),MAX(Q$1:Q1275)+1,"")</f>
        <v/>
      </c>
    </row>
    <row r="1277" customFormat="false" ht="15" hidden="false" customHeight="false" outlineLevel="0" collapsed="false">
      <c r="A1277" s="9"/>
      <c r="B1277" s="10"/>
      <c r="C1277" s="11"/>
      <c r="D1277" s="11"/>
      <c r="E1277" s="11"/>
      <c r="F1277" s="11"/>
      <c r="G1277" s="12"/>
      <c r="H1277" s="12"/>
      <c r="I1277" s="10"/>
      <c r="J1277" s="12"/>
      <c r="K1277" s="13" t="str">
        <f aca="false">IF(ISNUMBER(B1277),YEAR(B1277),"")</f>
        <v/>
      </c>
      <c r="L1277" s="13" t="str">
        <f aca="false">IF(ISNUMBER(B1277),MONTH(B1277),"")</f>
        <v/>
      </c>
      <c r="M1277" s="13" t="str">
        <f aca="false">IF(AND(ISNUMBER(B1277),ISNUMBER(I1277)),B1277-I1277+1,"")</f>
        <v/>
      </c>
      <c r="N1277" s="14" t="str">
        <f aca="false">IF(B1277="","",IF(M1277="","시작일 미입력",IF(M1277&lt;1,"시작일 이전(확인)",IF(M1277=1,"1일째",IF(M1277=2,"2일째",IF(M1277=3,"3일째",IF(M1277&lt;=7,"일주일 이내",IF(M1277&lt;=14,"이주일 이내","15일 이후"))))))))</f>
        <v/>
      </c>
      <c r="O1277" s="0" t="str">
        <f aca="false">IF(AND(COUNTA($A1277:$J1277)&gt;0,OR(클레임조회!$C$4="",AND(ISNUMBER($B1277),$B1277&gt;=클레임조회!$C$4)),OR(클레임조회!$C$5="",AND(ISNUMBER($B1277),$B1277&lt;=클레임조회!$C$5)),OR(클레임조회!$C$6="",$C1277=클레임조회!$C$6),OR(클레임조회!$C$7="",$D1277=클레임조회!$C$7),OR(클레임조회!$C$8="",$E1277=클레임조회!$C$8),OR(클레임조회!$C$9="",$F1277=클레임조회!$C$9),OR(클레임조회!$C$10="",ISNUMBER(SEARCH(클레임조회!$C$10,$C1277&amp;" "&amp;$F1277&amp;" "&amp;$G1277&amp;" "&amp;$H1277)))),COUNT(O$1:O1276)+1,"")</f>
        <v/>
      </c>
      <c r="P1277" s="0" t="str">
        <f aca="false">IF(AND(TRIM(C1277)&lt;&gt;"",COUNTIF(C$2:C1277,C1277)=1),MAX(P$1:P1276)+1,"")</f>
        <v/>
      </c>
      <c r="Q1277" s="0" t="str">
        <f aca="false">IF(AND(TRIM(F1277)&lt;&gt;"",COUNTIF(F$2:F1277,F1277)=1),MAX(Q$1:Q1276)+1,"")</f>
        <v/>
      </c>
    </row>
    <row r="1278" customFormat="false" ht="15" hidden="false" customHeight="false" outlineLevel="0" collapsed="false">
      <c r="A1278" s="9"/>
      <c r="B1278" s="10"/>
      <c r="C1278" s="11"/>
      <c r="D1278" s="11"/>
      <c r="E1278" s="11"/>
      <c r="F1278" s="11"/>
      <c r="G1278" s="12"/>
      <c r="H1278" s="12"/>
      <c r="I1278" s="10"/>
      <c r="J1278" s="12"/>
      <c r="K1278" s="13" t="str">
        <f aca="false">IF(ISNUMBER(B1278),YEAR(B1278),"")</f>
        <v/>
      </c>
      <c r="L1278" s="13" t="str">
        <f aca="false">IF(ISNUMBER(B1278),MONTH(B1278),"")</f>
        <v/>
      </c>
      <c r="M1278" s="13" t="str">
        <f aca="false">IF(AND(ISNUMBER(B1278),ISNUMBER(I1278)),B1278-I1278+1,"")</f>
        <v/>
      </c>
      <c r="N1278" s="14" t="str">
        <f aca="false">IF(B1278="","",IF(M1278="","시작일 미입력",IF(M1278&lt;1,"시작일 이전(확인)",IF(M1278=1,"1일째",IF(M1278=2,"2일째",IF(M1278=3,"3일째",IF(M1278&lt;=7,"일주일 이내",IF(M1278&lt;=14,"이주일 이내","15일 이후"))))))))</f>
        <v/>
      </c>
      <c r="O1278" s="0" t="str">
        <f aca="false">IF(AND(COUNTA($A1278:$J1278)&gt;0,OR(클레임조회!$C$4="",AND(ISNUMBER($B1278),$B1278&gt;=클레임조회!$C$4)),OR(클레임조회!$C$5="",AND(ISNUMBER($B1278),$B1278&lt;=클레임조회!$C$5)),OR(클레임조회!$C$6="",$C1278=클레임조회!$C$6),OR(클레임조회!$C$7="",$D1278=클레임조회!$C$7),OR(클레임조회!$C$8="",$E1278=클레임조회!$C$8),OR(클레임조회!$C$9="",$F1278=클레임조회!$C$9),OR(클레임조회!$C$10="",ISNUMBER(SEARCH(클레임조회!$C$10,$C1278&amp;" "&amp;$F1278&amp;" "&amp;$G1278&amp;" "&amp;$H1278)))),COUNT(O$1:O1277)+1,"")</f>
        <v/>
      </c>
      <c r="P1278" s="0" t="str">
        <f aca="false">IF(AND(TRIM(C1278)&lt;&gt;"",COUNTIF(C$2:C1278,C1278)=1),MAX(P$1:P1277)+1,"")</f>
        <v/>
      </c>
      <c r="Q1278" s="0" t="str">
        <f aca="false">IF(AND(TRIM(F1278)&lt;&gt;"",COUNTIF(F$2:F1278,F1278)=1),MAX(Q$1:Q1277)+1,"")</f>
        <v/>
      </c>
    </row>
    <row r="1279" customFormat="false" ht="15" hidden="false" customHeight="false" outlineLevel="0" collapsed="false">
      <c r="A1279" s="9"/>
      <c r="B1279" s="10"/>
      <c r="C1279" s="11"/>
      <c r="D1279" s="11"/>
      <c r="E1279" s="11"/>
      <c r="F1279" s="11"/>
      <c r="G1279" s="12"/>
      <c r="H1279" s="12"/>
      <c r="I1279" s="10"/>
      <c r="J1279" s="12"/>
      <c r="K1279" s="13" t="str">
        <f aca="false">IF(ISNUMBER(B1279),YEAR(B1279),"")</f>
        <v/>
      </c>
      <c r="L1279" s="13" t="str">
        <f aca="false">IF(ISNUMBER(B1279),MONTH(B1279),"")</f>
        <v/>
      </c>
      <c r="M1279" s="13" t="str">
        <f aca="false">IF(AND(ISNUMBER(B1279),ISNUMBER(I1279)),B1279-I1279+1,"")</f>
        <v/>
      </c>
      <c r="N1279" s="14" t="str">
        <f aca="false">IF(B1279="","",IF(M1279="","시작일 미입력",IF(M1279&lt;1,"시작일 이전(확인)",IF(M1279=1,"1일째",IF(M1279=2,"2일째",IF(M1279=3,"3일째",IF(M1279&lt;=7,"일주일 이내",IF(M1279&lt;=14,"이주일 이내","15일 이후"))))))))</f>
        <v/>
      </c>
      <c r="O1279" s="0" t="str">
        <f aca="false">IF(AND(COUNTA($A1279:$J1279)&gt;0,OR(클레임조회!$C$4="",AND(ISNUMBER($B1279),$B1279&gt;=클레임조회!$C$4)),OR(클레임조회!$C$5="",AND(ISNUMBER($B1279),$B1279&lt;=클레임조회!$C$5)),OR(클레임조회!$C$6="",$C1279=클레임조회!$C$6),OR(클레임조회!$C$7="",$D1279=클레임조회!$C$7),OR(클레임조회!$C$8="",$E1279=클레임조회!$C$8),OR(클레임조회!$C$9="",$F1279=클레임조회!$C$9),OR(클레임조회!$C$10="",ISNUMBER(SEARCH(클레임조회!$C$10,$C1279&amp;" "&amp;$F1279&amp;" "&amp;$G1279&amp;" "&amp;$H1279)))),COUNT(O$1:O1278)+1,"")</f>
        <v/>
      </c>
      <c r="P1279" s="0" t="str">
        <f aca="false">IF(AND(TRIM(C1279)&lt;&gt;"",COUNTIF(C$2:C1279,C1279)=1),MAX(P$1:P1278)+1,"")</f>
        <v/>
      </c>
      <c r="Q1279" s="0" t="str">
        <f aca="false">IF(AND(TRIM(F1279)&lt;&gt;"",COUNTIF(F$2:F1279,F1279)=1),MAX(Q$1:Q1278)+1,"")</f>
        <v/>
      </c>
    </row>
    <row r="1280" customFormat="false" ht="15" hidden="false" customHeight="false" outlineLevel="0" collapsed="false">
      <c r="A1280" s="9"/>
      <c r="B1280" s="10"/>
      <c r="C1280" s="11"/>
      <c r="D1280" s="11"/>
      <c r="E1280" s="11"/>
      <c r="F1280" s="11"/>
      <c r="G1280" s="12"/>
      <c r="H1280" s="12"/>
      <c r="I1280" s="10"/>
      <c r="J1280" s="12"/>
      <c r="K1280" s="13" t="str">
        <f aca="false">IF(ISNUMBER(B1280),YEAR(B1280),"")</f>
        <v/>
      </c>
      <c r="L1280" s="13" t="str">
        <f aca="false">IF(ISNUMBER(B1280),MONTH(B1280),"")</f>
        <v/>
      </c>
      <c r="M1280" s="13" t="str">
        <f aca="false">IF(AND(ISNUMBER(B1280),ISNUMBER(I1280)),B1280-I1280+1,"")</f>
        <v/>
      </c>
      <c r="N1280" s="14" t="str">
        <f aca="false">IF(B1280="","",IF(M1280="","시작일 미입력",IF(M1280&lt;1,"시작일 이전(확인)",IF(M1280=1,"1일째",IF(M1280=2,"2일째",IF(M1280=3,"3일째",IF(M1280&lt;=7,"일주일 이내",IF(M1280&lt;=14,"이주일 이내","15일 이후"))))))))</f>
        <v/>
      </c>
      <c r="O1280" s="0" t="str">
        <f aca="false">IF(AND(COUNTA($A1280:$J1280)&gt;0,OR(클레임조회!$C$4="",AND(ISNUMBER($B1280),$B1280&gt;=클레임조회!$C$4)),OR(클레임조회!$C$5="",AND(ISNUMBER($B1280),$B1280&lt;=클레임조회!$C$5)),OR(클레임조회!$C$6="",$C1280=클레임조회!$C$6),OR(클레임조회!$C$7="",$D1280=클레임조회!$C$7),OR(클레임조회!$C$8="",$E1280=클레임조회!$C$8),OR(클레임조회!$C$9="",$F1280=클레임조회!$C$9),OR(클레임조회!$C$10="",ISNUMBER(SEARCH(클레임조회!$C$10,$C1280&amp;" "&amp;$F1280&amp;" "&amp;$G1280&amp;" "&amp;$H1280)))),COUNT(O$1:O1279)+1,"")</f>
        <v/>
      </c>
      <c r="P1280" s="0" t="str">
        <f aca="false">IF(AND(TRIM(C1280)&lt;&gt;"",COUNTIF(C$2:C1280,C1280)=1),MAX(P$1:P1279)+1,"")</f>
        <v/>
      </c>
      <c r="Q1280" s="0" t="str">
        <f aca="false">IF(AND(TRIM(F1280)&lt;&gt;"",COUNTIF(F$2:F1280,F1280)=1),MAX(Q$1:Q1279)+1,"")</f>
        <v/>
      </c>
    </row>
    <row r="1281" customFormat="false" ht="15" hidden="false" customHeight="false" outlineLevel="0" collapsed="false">
      <c r="A1281" s="9"/>
      <c r="B1281" s="10"/>
      <c r="C1281" s="11"/>
      <c r="D1281" s="11"/>
      <c r="E1281" s="11"/>
      <c r="F1281" s="11"/>
      <c r="G1281" s="12"/>
      <c r="H1281" s="12"/>
      <c r="I1281" s="10"/>
      <c r="J1281" s="12"/>
      <c r="K1281" s="13" t="str">
        <f aca="false">IF(ISNUMBER(B1281),YEAR(B1281),"")</f>
        <v/>
      </c>
      <c r="L1281" s="13" t="str">
        <f aca="false">IF(ISNUMBER(B1281),MONTH(B1281),"")</f>
        <v/>
      </c>
      <c r="M1281" s="13" t="str">
        <f aca="false">IF(AND(ISNUMBER(B1281),ISNUMBER(I1281)),B1281-I1281+1,"")</f>
        <v/>
      </c>
      <c r="N1281" s="14" t="str">
        <f aca="false">IF(B1281="","",IF(M1281="","시작일 미입력",IF(M1281&lt;1,"시작일 이전(확인)",IF(M1281=1,"1일째",IF(M1281=2,"2일째",IF(M1281=3,"3일째",IF(M1281&lt;=7,"일주일 이내",IF(M1281&lt;=14,"이주일 이내","15일 이후"))))))))</f>
        <v/>
      </c>
      <c r="O1281" s="0" t="str">
        <f aca="false">IF(AND(COUNTA($A1281:$J1281)&gt;0,OR(클레임조회!$C$4="",AND(ISNUMBER($B1281),$B1281&gt;=클레임조회!$C$4)),OR(클레임조회!$C$5="",AND(ISNUMBER($B1281),$B1281&lt;=클레임조회!$C$5)),OR(클레임조회!$C$6="",$C1281=클레임조회!$C$6),OR(클레임조회!$C$7="",$D1281=클레임조회!$C$7),OR(클레임조회!$C$8="",$E1281=클레임조회!$C$8),OR(클레임조회!$C$9="",$F1281=클레임조회!$C$9),OR(클레임조회!$C$10="",ISNUMBER(SEARCH(클레임조회!$C$10,$C1281&amp;" "&amp;$F1281&amp;" "&amp;$G1281&amp;" "&amp;$H1281)))),COUNT(O$1:O1280)+1,"")</f>
        <v/>
      </c>
      <c r="P1281" s="0" t="str">
        <f aca="false">IF(AND(TRIM(C1281)&lt;&gt;"",COUNTIF(C$2:C1281,C1281)=1),MAX(P$1:P1280)+1,"")</f>
        <v/>
      </c>
      <c r="Q1281" s="0" t="str">
        <f aca="false">IF(AND(TRIM(F1281)&lt;&gt;"",COUNTIF(F$2:F1281,F1281)=1),MAX(Q$1:Q1280)+1,"")</f>
        <v/>
      </c>
    </row>
    <row r="1282" customFormat="false" ht="15" hidden="false" customHeight="false" outlineLevel="0" collapsed="false">
      <c r="A1282" s="9"/>
      <c r="B1282" s="10"/>
      <c r="C1282" s="11"/>
      <c r="D1282" s="11"/>
      <c r="E1282" s="11"/>
      <c r="F1282" s="11"/>
      <c r="G1282" s="12"/>
      <c r="H1282" s="12"/>
      <c r="I1282" s="10"/>
      <c r="J1282" s="12"/>
      <c r="K1282" s="13" t="str">
        <f aca="false">IF(ISNUMBER(B1282),YEAR(B1282),"")</f>
        <v/>
      </c>
      <c r="L1282" s="13" t="str">
        <f aca="false">IF(ISNUMBER(B1282),MONTH(B1282),"")</f>
        <v/>
      </c>
      <c r="M1282" s="13" t="str">
        <f aca="false">IF(AND(ISNUMBER(B1282),ISNUMBER(I1282)),B1282-I1282+1,"")</f>
        <v/>
      </c>
      <c r="N1282" s="14" t="str">
        <f aca="false">IF(B1282="","",IF(M1282="","시작일 미입력",IF(M1282&lt;1,"시작일 이전(확인)",IF(M1282=1,"1일째",IF(M1282=2,"2일째",IF(M1282=3,"3일째",IF(M1282&lt;=7,"일주일 이내",IF(M1282&lt;=14,"이주일 이내","15일 이후"))))))))</f>
        <v/>
      </c>
      <c r="O1282" s="0" t="str">
        <f aca="false">IF(AND(COUNTA($A1282:$J1282)&gt;0,OR(클레임조회!$C$4="",AND(ISNUMBER($B1282),$B1282&gt;=클레임조회!$C$4)),OR(클레임조회!$C$5="",AND(ISNUMBER($B1282),$B1282&lt;=클레임조회!$C$5)),OR(클레임조회!$C$6="",$C1282=클레임조회!$C$6),OR(클레임조회!$C$7="",$D1282=클레임조회!$C$7),OR(클레임조회!$C$8="",$E1282=클레임조회!$C$8),OR(클레임조회!$C$9="",$F1282=클레임조회!$C$9),OR(클레임조회!$C$10="",ISNUMBER(SEARCH(클레임조회!$C$10,$C1282&amp;" "&amp;$F1282&amp;" "&amp;$G1282&amp;" "&amp;$H1282)))),COUNT(O$1:O1281)+1,"")</f>
        <v/>
      </c>
      <c r="P1282" s="0" t="str">
        <f aca="false">IF(AND(TRIM(C1282)&lt;&gt;"",COUNTIF(C$2:C1282,C1282)=1),MAX(P$1:P1281)+1,"")</f>
        <v/>
      </c>
      <c r="Q1282" s="0" t="str">
        <f aca="false">IF(AND(TRIM(F1282)&lt;&gt;"",COUNTIF(F$2:F1282,F1282)=1),MAX(Q$1:Q1281)+1,"")</f>
        <v/>
      </c>
    </row>
    <row r="1283" customFormat="false" ht="15" hidden="false" customHeight="false" outlineLevel="0" collapsed="false">
      <c r="A1283" s="9"/>
      <c r="B1283" s="10"/>
      <c r="C1283" s="11"/>
      <c r="D1283" s="11"/>
      <c r="E1283" s="11"/>
      <c r="F1283" s="11"/>
      <c r="G1283" s="12"/>
      <c r="H1283" s="12"/>
      <c r="I1283" s="10"/>
      <c r="J1283" s="12"/>
      <c r="K1283" s="13" t="str">
        <f aca="false">IF(ISNUMBER(B1283),YEAR(B1283),"")</f>
        <v/>
      </c>
      <c r="L1283" s="13" t="str">
        <f aca="false">IF(ISNUMBER(B1283),MONTH(B1283),"")</f>
        <v/>
      </c>
      <c r="M1283" s="13" t="str">
        <f aca="false">IF(AND(ISNUMBER(B1283),ISNUMBER(I1283)),B1283-I1283+1,"")</f>
        <v/>
      </c>
      <c r="N1283" s="14" t="str">
        <f aca="false">IF(B1283="","",IF(M1283="","시작일 미입력",IF(M1283&lt;1,"시작일 이전(확인)",IF(M1283=1,"1일째",IF(M1283=2,"2일째",IF(M1283=3,"3일째",IF(M1283&lt;=7,"일주일 이내",IF(M1283&lt;=14,"이주일 이내","15일 이후"))))))))</f>
        <v/>
      </c>
      <c r="O1283" s="0" t="str">
        <f aca="false">IF(AND(COUNTA($A1283:$J1283)&gt;0,OR(클레임조회!$C$4="",AND(ISNUMBER($B1283),$B1283&gt;=클레임조회!$C$4)),OR(클레임조회!$C$5="",AND(ISNUMBER($B1283),$B1283&lt;=클레임조회!$C$5)),OR(클레임조회!$C$6="",$C1283=클레임조회!$C$6),OR(클레임조회!$C$7="",$D1283=클레임조회!$C$7),OR(클레임조회!$C$8="",$E1283=클레임조회!$C$8),OR(클레임조회!$C$9="",$F1283=클레임조회!$C$9),OR(클레임조회!$C$10="",ISNUMBER(SEARCH(클레임조회!$C$10,$C1283&amp;" "&amp;$F1283&amp;" "&amp;$G1283&amp;" "&amp;$H1283)))),COUNT(O$1:O1282)+1,"")</f>
        <v/>
      </c>
      <c r="P1283" s="0" t="str">
        <f aca="false">IF(AND(TRIM(C1283)&lt;&gt;"",COUNTIF(C$2:C1283,C1283)=1),MAX(P$1:P1282)+1,"")</f>
        <v/>
      </c>
      <c r="Q1283" s="0" t="str">
        <f aca="false">IF(AND(TRIM(F1283)&lt;&gt;"",COUNTIF(F$2:F1283,F1283)=1),MAX(Q$1:Q1282)+1,"")</f>
        <v/>
      </c>
    </row>
    <row r="1284" customFormat="false" ht="15" hidden="false" customHeight="false" outlineLevel="0" collapsed="false">
      <c r="A1284" s="9"/>
      <c r="B1284" s="10"/>
      <c r="C1284" s="11"/>
      <c r="D1284" s="11"/>
      <c r="E1284" s="11"/>
      <c r="F1284" s="11"/>
      <c r="G1284" s="12"/>
      <c r="H1284" s="12"/>
      <c r="I1284" s="10"/>
      <c r="J1284" s="12"/>
      <c r="K1284" s="13" t="str">
        <f aca="false">IF(ISNUMBER(B1284),YEAR(B1284),"")</f>
        <v/>
      </c>
      <c r="L1284" s="13" t="str">
        <f aca="false">IF(ISNUMBER(B1284),MONTH(B1284),"")</f>
        <v/>
      </c>
      <c r="M1284" s="13" t="str">
        <f aca="false">IF(AND(ISNUMBER(B1284),ISNUMBER(I1284)),B1284-I1284+1,"")</f>
        <v/>
      </c>
      <c r="N1284" s="14" t="str">
        <f aca="false">IF(B1284="","",IF(M1284="","시작일 미입력",IF(M1284&lt;1,"시작일 이전(확인)",IF(M1284=1,"1일째",IF(M1284=2,"2일째",IF(M1284=3,"3일째",IF(M1284&lt;=7,"일주일 이내",IF(M1284&lt;=14,"이주일 이내","15일 이후"))))))))</f>
        <v/>
      </c>
      <c r="O1284" s="0" t="str">
        <f aca="false">IF(AND(COUNTA($A1284:$J1284)&gt;0,OR(클레임조회!$C$4="",AND(ISNUMBER($B1284),$B1284&gt;=클레임조회!$C$4)),OR(클레임조회!$C$5="",AND(ISNUMBER($B1284),$B1284&lt;=클레임조회!$C$5)),OR(클레임조회!$C$6="",$C1284=클레임조회!$C$6),OR(클레임조회!$C$7="",$D1284=클레임조회!$C$7),OR(클레임조회!$C$8="",$E1284=클레임조회!$C$8),OR(클레임조회!$C$9="",$F1284=클레임조회!$C$9),OR(클레임조회!$C$10="",ISNUMBER(SEARCH(클레임조회!$C$10,$C1284&amp;" "&amp;$F1284&amp;" "&amp;$G1284&amp;" "&amp;$H1284)))),COUNT(O$1:O1283)+1,"")</f>
        <v/>
      </c>
      <c r="P1284" s="0" t="str">
        <f aca="false">IF(AND(TRIM(C1284)&lt;&gt;"",COUNTIF(C$2:C1284,C1284)=1),MAX(P$1:P1283)+1,"")</f>
        <v/>
      </c>
      <c r="Q1284" s="0" t="str">
        <f aca="false">IF(AND(TRIM(F1284)&lt;&gt;"",COUNTIF(F$2:F1284,F1284)=1),MAX(Q$1:Q1283)+1,"")</f>
        <v/>
      </c>
    </row>
    <row r="1285" customFormat="false" ht="15" hidden="false" customHeight="false" outlineLevel="0" collapsed="false">
      <c r="A1285" s="9"/>
      <c r="B1285" s="10"/>
      <c r="C1285" s="11"/>
      <c r="D1285" s="11"/>
      <c r="E1285" s="11"/>
      <c r="F1285" s="11"/>
      <c r="G1285" s="12"/>
      <c r="H1285" s="12"/>
      <c r="I1285" s="10"/>
      <c r="J1285" s="12"/>
      <c r="K1285" s="13" t="str">
        <f aca="false">IF(ISNUMBER(B1285),YEAR(B1285),"")</f>
        <v/>
      </c>
      <c r="L1285" s="13" t="str">
        <f aca="false">IF(ISNUMBER(B1285),MONTH(B1285),"")</f>
        <v/>
      </c>
      <c r="M1285" s="13" t="str">
        <f aca="false">IF(AND(ISNUMBER(B1285),ISNUMBER(I1285)),B1285-I1285+1,"")</f>
        <v/>
      </c>
      <c r="N1285" s="14" t="str">
        <f aca="false">IF(B1285="","",IF(M1285="","시작일 미입력",IF(M1285&lt;1,"시작일 이전(확인)",IF(M1285=1,"1일째",IF(M1285=2,"2일째",IF(M1285=3,"3일째",IF(M1285&lt;=7,"일주일 이내",IF(M1285&lt;=14,"이주일 이내","15일 이후"))))))))</f>
        <v/>
      </c>
      <c r="O1285" s="0" t="str">
        <f aca="false">IF(AND(COUNTA($A1285:$J1285)&gt;0,OR(클레임조회!$C$4="",AND(ISNUMBER($B1285),$B1285&gt;=클레임조회!$C$4)),OR(클레임조회!$C$5="",AND(ISNUMBER($B1285),$B1285&lt;=클레임조회!$C$5)),OR(클레임조회!$C$6="",$C1285=클레임조회!$C$6),OR(클레임조회!$C$7="",$D1285=클레임조회!$C$7),OR(클레임조회!$C$8="",$E1285=클레임조회!$C$8),OR(클레임조회!$C$9="",$F1285=클레임조회!$C$9),OR(클레임조회!$C$10="",ISNUMBER(SEARCH(클레임조회!$C$10,$C1285&amp;" "&amp;$F1285&amp;" "&amp;$G1285&amp;" "&amp;$H1285)))),COUNT(O$1:O1284)+1,"")</f>
        <v/>
      </c>
      <c r="P1285" s="0" t="str">
        <f aca="false">IF(AND(TRIM(C1285)&lt;&gt;"",COUNTIF(C$2:C1285,C1285)=1),MAX(P$1:P1284)+1,"")</f>
        <v/>
      </c>
      <c r="Q1285" s="0" t="str">
        <f aca="false">IF(AND(TRIM(F1285)&lt;&gt;"",COUNTIF(F$2:F1285,F1285)=1),MAX(Q$1:Q1284)+1,"")</f>
        <v/>
      </c>
    </row>
    <row r="1286" customFormat="false" ht="15" hidden="false" customHeight="false" outlineLevel="0" collapsed="false">
      <c r="A1286" s="9"/>
      <c r="B1286" s="10"/>
      <c r="C1286" s="11"/>
      <c r="D1286" s="11"/>
      <c r="E1286" s="11"/>
      <c r="F1286" s="11"/>
      <c r="G1286" s="12"/>
      <c r="H1286" s="12"/>
      <c r="I1286" s="10"/>
      <c r="J1286" s="12"/>
      <c r="K1286" s="13" t="str">
        <f aca="false">IF(ISNUMBER(B1286),YEAR(B1286),"")</f>
        <v/>
      </c>
      <c r="L1286" s="13" t="str">
        <f aca="false">IF(ISNUMBER(B1286),MONTH(B1286),"")</f>
        <v/>
      </c>
      <c r="M1286" s="13" t="str">
        <f aca="false">IF(AND(ISNUMBER(B1286),ISNUMBER(I1286)),B1286-I1286+1,"")</f>
        <v/>
      </c>
      <c r="N1286" s="14" t="str">
        <f aca="false">IF(B1286="","",IF(M1286="","시작일 미입력",IF(M1286&lt;1,"시작일 이전(확인)",IF(M1286=1,"1일째",IF(M1286=2,"2일째",IF(M1286=3,"3일째",IF(M1286&lt;=7,"일주일 이내",IF(M1286&lt;=14,"이주일 이내","15일 이후"))))))))</f>
        <v/>
      </c>
      <c r="O1286" s="0" t="str">
        <f aca="false">IF(AND(COUNTA($A1286:$J1286)&gt;0,OR(클레임조회!$C$4="",AND(ISNUMBER($B1286),$B1286&gt;=클레임조회!$C$4)),OR(클레임조회!$C$5="",AND(ISNUMBER($B1286),$B1286&lt;=클레임조회!$C$5)),OR(클레임조회!$C$6="",$C1286=클레임조회!$C$6),OR(클레임조회!$C$7="",$D1286=클레임조회!$C$7),OR(클레임조회!$C$8="",$E1286=클레임조회!$C$8),OR(클레임조회!$C$9="",$F1286=클레임조회!$C$9),OR(클레임조회!$C$10="",ISNUMBER(SEARCH(클레임조회!$C$10,$C1286&amp;" "&amp;$F1286&amp;" "&amp;$G1286&amp;" "&amp;$H1286)))),COUNT(O$1:O1285)+1,"")</f>
        <v/>
      </c>
      <c r="P1286" s="0" t="str">
        <f aca="false">IF(AND(TRIM(C1286)&lt;&gt;"",COUNTIF(C$2:C1286,C1286)=1),MAX(P$1:P1285)+1,"")</f>
        <v/>
      </c>
      <c r="Q1286" s="0" t="str">
        <f aca="false">IF(AND(TRIM(F1286)&lt;&gt;"",COUNTIF(F$2:F1286,F1286)=1),MAX(Q$1:Q1285)+1,"")</f>
        <v/>
      </c>
    </row>
    <row r="1287" customFormat="false" ht="15" hidden="false" customHeight="false" outlineLevel="0" collapsed="false">
      <c r="A1287" s="9"/>
      <c r="B1287" s="10"/>
      <c r="C1287" s="11"/>
      <c r="D1287" s="11"/>
      <c r="E1287" s="11"/>
      <c r="F1287" s="11"/>
      <c r="G1287" s="12"/>
      <c r="H1287" s="12"/>
      <c r="I1287" s="10"/>
      <c r="J1287" s="12"/>
      <c r="K1287" s="13" t="str">
        <f aca="false">IF(ISNUMBER(B1287),YEAR(B1287),"")</f>
        <v/>
      </c>
      <c r="L1287" s="13" t="str">
        <f aca="false">IF(ISNUMBER(B1287),MONTH(B1287),"")</f>
        <v/>
      </c>
      <c r="M1287" s="13" t="str">
        <f aca="false">IF(AND(ISNUMBER(B1287),ISNUMBER(I1287)),B1287-I1287+1,"")</f>
        <v/>
      </c>
      <c r="N1287" s="14" t="str">
        <f aca="false">IF(B1287="","",IF(M1287="","시작일 미입력",IF(M1287&lt;1,"시작일 이전(확인)",IF(M1287=1,"1일째",IF(M1287=2,"2일째",IF(M1287=3,"3일째",IF(M1287&lt;=7,"일주일 이내",IF(M1287&lt;=14,"이주일 이내","15일 이후"))))))))</f>
        <v/>
      </c>
      <c r="O1287" s="0" t="str">
        <f aca="false">IF(AND(COUNTA($A1287:$J1287)&gt;0,OR(클레임조회!$C$4="",AND(ISNUMBER($B1287),$B1287&gt;=클레임조회!$C$4)),OR(클레임조회!$C$5="",AND(ISNUMBER($B1287),$B1287&lt;=클레임조회!$C$5)),OR(클레임조회!$C$6="",$C1287=클레임조회!$C$6),OR(클레임조회!$C$7="",$D1287=클레임조회!$C$7),OR(클레임조회!$C$8="",$E1287=클레임조회!$C$8),OR(클레임조회!$C$9="",$F1287=클레임조회!$C$9),OR(클레임조회!$C$10="",ISNUMBER(SEARCH(클레임조회!$C$10,$C1287&amp;" "&amp;$F1287&amp;" "&amp;$G1287&amp;" "&amp;$H1287)))),COUNT(O$1:O1286)+1,"")</f>
        <v/>
      </c>
      <c r="P1287" s="0" t="str">
        <f aca="false">IF(AND(TRIM(C1287)&lt;&gt;"",COUNTIF(C$2:C1287,C1287)=1),MAX(P$1:P1286)+1,"")</f>
        <v/>
      </c>
      <c r="Q1287" s="0" t="str">
        <f aca="false">IF(AND(TRIM(F1287)&lt;&gt;"",COUNTIF(F$2:F1287,F1287)=1),MAX(Q$1:Q1286)+1,"")</f>
        <v/>
      </c>
    </row>
    <row r="1288" customFormat="false" ht="15" hidden="false" customHeight="false" outlineLevel="0" collapsed="false">
      <c r="A1288" s="9"/>
      <c r="B1288" s="10"/>
      <c r="C1288" s="11"/>
      <c r="D1288" s="11"/>
      <c r="E1288" s="11"/>
      <c r="F1288" s="11"/>
      <c r="G1288" s="12"/>
      <c r="H1288" s="12"/>
      <c r="I1288" s="10"/>
      <c r="J1288" s="12"/>
      <c r="K1288" s="13" t="str">
        <f aca="false">IF(ISNUMBER(B1288),YEAR(B1288),"")</f>
        <v/>
      </c>
      <c r="L1288" s="13" t="str">
        <f aca="false">IF(ISNUMBER(B1288),MONTH(B1288),"")</f>
        <v/>
      </c>
      <c r="M1288" s="13" t="str">
        <f aca="false">IF(AND(ISNUMBER(B1288),ISNUMBER(I1288)),B1288-I1288+1,"")</f>
        <v/>
      </c>
      <c r="N1288" s="14" t="str">
        <f aca="false">IF(B1288="","",IF(M1288="","시작일 미입력",IF(M1288&lt;1,"시작일 이전(확인)",IF(M1288=1,"1일째",IF(M1288=2,"2일째",IF(M1288=3,"3일째",IF(M1288&lt;=7,"일주일 이내",IF(M1288&lt;=14,"이주일 이내","15일 이후"))))))))</f>
        <v/>
      </c>
      <c r="O1288" s="0" t="str">
        <f aca="false">IF(AND(COUNTA($A1288:$J1288)&gt;0,OR(클레임조회!$C$4="",AND(ISNUMBER($B1288),$B1288&gt;=클레임조회!$C$4)),OR(클레임조회!$C$5="",AND(ISNUMBER($B1288),$B1288&lt;=클레임조회!$C$5)),OR(클레임조회!$C$6="",$C1288=클레임조회!$C$6),OR(클레임조회!$C$7="",$D1288=클레임조회!$C$7),OR(클레임조회!$C$8="",$E1288=클레임조회!$C$8),OR(클레임조회!$C$9="",$F1288=클레임조회!$C$9),OR(클레임조회!$C$10="",ISNUMBER(SEARCH(클레임조회!$C$10,$C1288&amp;" "&amp;$F1288&amp;" "&amp;$G1288&amp;" "&amp;$H1288)))),COUNT(O$1:O1287)+1,"")</f>
        <v/>
      </c>
      <c r="P1288" s="0" t="str">
        <f aca="false">IF(AND(TRIM(C1288)&lt;&gt;"",COUNTIF(C$2:C1288,C1288)=1),MAX(P$1:P1287)+1,"")</f>
        <v/>
      </c>
      <c r="Q1288" s="0" t="str">
        <f aca="false">IF(AND(TRIM(F1288)&lt;&gt;"",COUNTIF(F$2:F1288,F1288)=1),MAX(Q$1:Q1287)+1,"")</f>
        <v/>
      </c>
    </row>
    <row r="1289" customFormat="false" ht="15" hidden="false" customHeight="false" outlineLevel="0" collapsed="false">
      <c r="A1289" s="9"/>
      <c r="B1289" s="10"/>
      <c r="C1289" s="11"/>
      <c r="D1289" s="11"/>
      <c r="E1289" s="11"/>
      <c r="F1289" s="11"/>
      <c r="G1289" s="12"/>
      <c r="H1289" s="12"/>
      <c r="I1289" s="10"/>
      <c r="J1289" s="12"/>
      <c r="K1289" s="13" t="str">
        <f aca="false">IF(ISNUMBER(B1289),YEAR(B1289),"")</f>
        <v/>
      </c>
      <c r="L1289" s="13" t="str">
        <f aca="false">IF(ISNUMBER(B1289),MONTH(B1289),"")</f>
        <v/>
      </c>
      <c r="M1289" s="13" t="str">
        <f aca="false">IF(AND(ISNUMBER(B1289),ISNUMBER(I1289)),B1289-I1289+1,"")</f>
        <v/>
      </c>
      <c r="N1289" s="14" t="str">
        <f aca="false">IF(B1289="","",IF(M1289="","시작일 미입력",IF(M1289&lt;1,"시작일 이전(확인)",IF(M1289=1,"1일째",IF(M1289=2,"2일째",IF(M1289=3,"3일째",IF(M1289&lt;=7,"일주일 이내",IF(M1289&lt;=14,"이주일 이내","15일 이후"))))))))</f>
        <v/>
      </c>
      <c r="O1289" s="0" t="str">
        <f aca="false">IF(AND(COUNTA($A1289:$J1289)&gt;0,OR(클레임조회!$C$4="",AND(ISNUMBER($B1289),$B1289&gt;=클레임조회!$C$4)),OR(클레임조회!$C$5="",AND(ISNUMBER($B1289),$B1289&lt;=클레임조회!$C$5)),OR(클레임조회!$C$6="",$C1289=클레임조회!$C$6),OR(클레임조회!$C$7="",$D1289=클레임조회!$C$7),OR(클레임조회!$C$8="",$E1289=클레임조회!$C$8),OR(클레임조회!$C$9="",$F1289=클레임조회!$C$9),OR(클레임조회!$C$10="",ISNUMBER(SEARCH(클레임조회!$C$10,$C1289&amp;" "&amp;$F1289&amp;" "&amp;$G1289&amp;" "&amp;$H1289)))),COUNT(O$1:O1288)+1,"")</f>
        <v/>
      </c>
      <c r="P1289" s="0" t="str">
        <f aca="false">IF(AND(TRIM(C1289)&lt;&gt;"",COUNTIF(C$2:C1289,C1289)=1),MAX(P$1:P1288)+1,"")</f>
        <v/>
      </c>
      <c r="Q1289" s="0" t="str">
        <f aca="false">IF(AND(TRIM(F1289)&lt;&gt;"",COUNTIF(F$2:F1289,F1289)=1),MAX(Q$1:Q1288)+1,"")</f>
        <v/>
      </c>
    </row>
    <row r="1290" customFormat="false" ht="15" hidden="false" customHeight="false" outlineLevel="0" collapsed="false">
      <c r="A1290" s="9"/>
      <c r="B1290" s="10"/>
      <c r="C1290" s="11"/>
      <c r="D1290" s="11"/>
      <c r="E1290" s="11"/>
      <c r="F1290" s="11"/>
      <c r="G1290" s="12"/>
      <c r="H1290" s="12"/>
      <c r="I1290" s="10"/>
      <c r="J1290" s="12"/>
      <c r="K1290" s="13" t="str">
        <f aca="false">IF(ISNUMBER(B1290),YEAR(B1290),"")</f>
        <v/>
      </c>
      <c r="L1290" s="13" t="str">
        <f aca="false">IF(ISNUMBER(B1290),MONTH(B1290),"")</f>
        <v/>
      </c>
      <c r="M1290" s="13" t="str">
        <f aca="false">IF(AND(ISNUMBER(B1290),ISNUMBER(I1290)),B1290-I1290+1,"")</f>
        <v/>
      </c>
      <c r="N1290" s="14" t="str">
        <f aca="false">IF(B1290="","",IF(M1290="","시작일 미입력",IF(M1290&lt;1,"시작일 이전(확인)",IF(M1290=1,"1일째",IF(M1290=2,"2일째",IF(M1290=3,"3일째",IF(M1290&lt;=7,"일주일 이내",IF(M1290&lt;=14,"이주일 이내","15일 이후"))))))))</f>
        <v/>
      </c>
      <c r="O1290" s="0" t="str">
        <f aca="false">IF(AND(COUNTA($A1290:$J1290)&gt;0,OR(클레임조회!$C$4="",AND(ISNUMBER($B1290),$B1290&gt;=클레임조회!$C$4)),OR(클레임조회!$C$5="",AND(ISNUMBER($B1290),$B1290&lt;=클레임조회!$C$5)),OR(클레임조회!$C$6="",$C1290=클레임조회!$C$6),OR(클레임조회!$C$7="",$D1290=클레임조회!$C$7),OR(클레임조회!$C$8="",$E1290=클레임조회!$C$8),OR(클레임조회!$C$9="",$F1290=클레임조회!$C$9),OR(클레임조회!$C$10="",ISNUMBER(SEARCH(클레임조회!$C$10,$C1290&amp;" "&amp;$F1290&amp;" "&amp;$G1290&amp;" "&amp;$H1290)))),COUNT(O$1:O1289)+1,"")</f>
        <v/>
      </c>
      <c r="P1290" s="0" t="str">
        <f aca="false">IF(AND(TRIM(C1290)&lt;&gt;"",COUNTIF(C$2:C1290,C1290)=1),MAX(P$1:P1289)+1,"")</f>
        <v/>
      </c>
      <c r="Q1290" s="0" t="str">
        <f aca="false">IF(AND(TRIM(F1290)&lt;&gt;"",COUNTIF(F$2:F1290,F1290)=1),MAX(Q$1:Q1289)+1,"")</f>
        <v/>
      </c>
    </row>
    <row r="1291" customFormat="false" ht="15" hidden="false" customHeight="false" outlineLevel="0" collapsed="false">
      <c r="A1291" s="9"/>
      <c r="B1291" s="10"/>
      <c r="C1291" s="11"/>
      <c r="D1291" s="11"/>
      <c r="E1291" s="11"/>
      <c r="F1291" s="11"/>
      <c r="G1291" s="12"/>
      <c r="H1291" s="12"/>
      <c r="I1291" s="10"/>
      <c r="J1291" s="12"/>
      <c r="K1291" s="13" t="str">
        <f aca="false">IF(ISNUMBER(B1291),YEAR(B1291),"")</f>
        <v/>
      </c>
      <c r="L1291" s="13" t="str">
        <f aca="false">IF(ISNUMBER(B1291),MONTH(B1291),"")</f>
        <v/>
      </c>
      <c r="M1291" s="13" t="str">
        <f aca="false">IF(AND(ISNUMBER(B1291),ISNUMBER(I1291)),B1291-I1291+1,"")</f>
        <v/>
      </c>
      <c r="N1291" s="14" t="str">
        <f aca="false">IF(B1291="","",IF(M1291="","시작일 미입력",IF(M1291&lt;1,"시작일 이전(확인)",IF(M1291=1,"1일째",IF(M1291=2,"2일째",IF(M1291=3,"3일째",IF(M1291&lt;=7,"일주일 이내",IF(M1291&lt;=14,"이주일 이내","15일 이후"))))))))</f>
        <v/>
      </c>
      <c r="O1291" s="0" t="str">
        <f aca="false">IF(AND(COUNTA($A1291:$J1291)&gt;0,OR(클레임조회!$C$4="",AND(ISNUMBER($B1291),$B1291&gt;=클레임조회!$C$4)),OR(클레임조회!$C$5="",AND(ISNUMBER($B1291),$B1291&lt;=클레임조회!$C$5)),OR(클레임조회!$C$6="",$C1291=클레임조회!$C$6),OR(클레임조회!$C$7="",$D1291=클레임조회!$C$7),OR(클레임조회!$C$8="",$E1291=클레임조회!$C$8),OR(클레임조회!$C$9="",$F1291=클레임조회!$C$9),OR(클레임조회!$C$10="",ISNUMBER(SEARCH(클레임조회!$C$10,$C1291&amp;" "&amp;$F1291&amp;" "&amp;$G1291&amp;" "&amp;$H1291)))),COUNT(O$1:O1290)+1,"")</f>
        <v/>
      </c>
      <c r="P1291" s="0" t="str">
        <f aca="false">IF(AND(TRIM(C1291)&lt;&gt;"",COUNTIF(C$2:C1291,C1291)=1),MAX(P$1:P1290)+1,"")</f>
        <v/>
      </c>
      <c r="Q1291" s="0" t="str">
        <f aca="false">IF(AND(TRIM(F1291)&lt;&gt;"",COUNTIF(F$2:F1291,F1291)=1),MAX(Q$1:Q1290)+1,"")</f>
        <v/>
      </c>
    </row>
    <row r="1292" customFormat="false" ht="15" hidden="false" customHeight="false" outlineLevel="0" collapsed="false">
      <c r="A1292" s="9"/>
      <c r="B1292" s="10"/>
      <c r="C1292" s="11"/>
      <c r="D1292" s="11"/>
      <c r="E1292" s="11"/>
      <c r="F1292" s="11"/>
      <c r="G1292" s="12"/>
      <c r="H1292" s="12"/>
      <c r="I1292" s="10"/>
      <c r="J1292" s="12"/>
      <c r="K1292" s="13" t="str">
        <f aca="false">IF(ISNUMBER(B1292),YEAR(B1292),"")</f>
        <v/>
      </c>
      <c r="L1292" s="13" t="str">
        <f aca="false">IF(ISNUMBER(B1292),MONTH(B1292),"")</f>
        <v/>
      </c>
      <c r="M1292" s="13" t="str">
        <f aca="false">IF(AND(ISNUMBER(B1292),ISNUMBER(I1292)),B1292-I1292+1,"")</f>
        <v/>
      </c>
      <c r="N1292" s="14" t="str">
        <f aca="false">IF(B1292="","",IF(M1292="","시작일 미입력",IF(M1292&lt;1,"시작일 이전(확인)",IF(M1292=1,"1일째",IF(M1292=2,"2일째",IF(M1292=3,"3일째",IF(M1292&lt;=7,"일주일 이내",IF(M1292&lt;=14,"이주일 이내","15일 이후"))))))))</f>
        <v/>
      </c>
      <c r="O1292" s="0" t="str">
        <f aca="false">IF(AND(COUNTA($A1292:$J1292)&gt;0,OR(클레임조회!$C$4="",AND(ISNUMBER($B1292),$B1292&gt;=클레임조회!$C$4)),OR(클레임조회!$C$5="",AND(ISNUMBER($B1292),$B1292&lt;=클레임조회!$C$5)),OR(클레임조회!$C$6="",$C1292=클레임조회!$C$6),OR(클레임조회!$C$7="",$D1292=클레임조회!$C$7),OR(클레임조회!$C$8="",$E1292=클레임조회!$C$8),OR(클레임조회!$C$9="",$F1292=클레임조회!$C$9),OR(클레임조회!$C$10="",ISNUMBER(SEARCH(클레임조회!$C$10,$C1292&amp;" "&amp;$F1292&amp;" "&amp;$G1292&amp;" "&amp;$H1292)))),COUNT(O$1:O1291)+1,"")</f>
        <v/>
      </c>
      <c r="P1292" s="0" t="str">
        <f aca="false">IF(AND(TRIM(C1292)&lt;&gt;"",COUNTIF(C$2:C1292,C1292)=1),MAX(P$1:P1291)+1,"")</f>
        <v/>
      </c>
      <c r="Q1292" s="0" t="str">
        <f aca="false">IF(AND(TRIM(F1292)&lt;&gt;"",COUNTIF(F$2:F1292,F1292)=1),MAX(Q$1:Q1291)+1,"")</f>
        <v/>
      </c>
    </row>
    <row r="1293" customFormat="false" ht="15" hidden="false" customHeight="false" outlineLevel="0" collapsed="false">
      <c r="A1293" s="9"/>
      <c r="B1293" s="10"/>
      <c r="C1293" s="11"/>
      <c r="D1293" s="11"/>
      <c r="E1293" s="11"/>
      <c r="F1293" s="11"/>
      <c r="G1293" s="12"/>
      <c r="H1293" s="12"/>
      <c r="I1293" s="10"/>
      <c r="J1293" s="12"/>
      <c r="K1293" s="13" t="str">
        <f aca="false">IF(ISNUMBER(B1293),YEAR(B1293),"")</f>
        <v/>
      </c>
      <c r="L1293" s="13" t="str">
        <f aca="false">IF(ISNUMBER(B1293),MONTH(B1293),"")</f>
        <v/>
      </c>
      <c r="M1293" s="13" t="str">
        <f aca="false">IF(AND(ISNUMBER(B1293),ISNUMBER(I1293)),B1293-I1293+1,"")</f>
        <v/>
      </c>
      <c r="N1293" s="14" t="str">
        <f aca="false">IF(B1293="","",IF(M1293="","시작일 미입력",IF(M1293&lt;1,"시작일 이전(확인)",IF(M1293=1,"1일째",IF(M1293=2,"2일째",IF(M1293=3,"3일째",IF(M1293&lt;=7,"일주일 이내",IF(M1293&lt;=14,"이주일 이내","15일 이후"))))))))</f>
        <v/>
      </c>
      <c r="O1293" s="0" t="str">
        <f aca="false">IF(AND(COUNTA($A1293:$J1293)&gt;0,OR(클레임조회!$C$4="",AND(ISNUMBER($B1293),$B1293&gt;=클레임조회!$C$4)),OR(클레임조회!$C$5="",AND(ISNUMBER($B1293),$B1293&lt;=클레임조회!$C$5)),OR(클레임조회!$C$6="",$C1293=클레임조회!$C$6),OR(클레임조회!$C$7="",$D1293=클레임조회!$C$7),OR(클레임조회!$C$8="",$E1293=클레임조회!$C$8),OR(클레임조회!$C$9="",$F1293=클레임조회!$C$9),OR(클레임조회!$C$10="",ISNUMBER(SEARCH(클레임조회!$C$10,$C1293&amp;" "&amp;$F1293&amp;" "&amp;$G1293&amp;" "&amp;$H1293)))),COUNT(O$1:O1292)+1,"")</f>
        <v/>
      </c>
      <c r="P1293" s="0" t="str">
        <f aca="false">IF(AND(TRIM(C1293)&lt;&gt;"",COUNTIF(C$2:C1293,C1293)=1),MAX(P$1:P1292)+1,"")</f>
        <v/>
      </c>
      <c r="Q1293" s="0" t="str">
        <f aca="false">IF(AND(TRIM(F1293)&lt;&gt;"",COUNTIF(F$2:F1293,F1293)=1),MAX(Q$1:Q1292)+1,"")</f>
        <v/>
      </c>
    </row>
    <row r="1294" customFormat="false" ht="15" hidden="false" customHeight="false" outlineLevel="0" collapsed="false">
      <c r="A1294" s="9"/>
      <c r="B1294" s="10"/>
      <c r="C1294" s="11"/>
      <c r="D1294" s="11"/>
      <c r="E1294" s="11"/>
      <c r="F1294" s="11"/>
      <c r="G1294" s="12"/>
      <c r="H1294" s="12"/>
      <c r="I1294" s="10"/>
      <c r="J1294" s="12"/>
      <c r="K1294" s="13" t="str">
        <f aca="false">IF(ISNUMBER(B1294),YEAR(B1294),"")</f>
        <v/>
      </c>
      <c r="L1294" s="13" t="str">
        <f aca="false">IF(ISNUMBER(B1294),MONTH(B1294),"")</f>
        <v/>
      </c>
      <c r="M1294" s="13" t="str">
        <f aca="false">IF(AND(ISNUMBER(B1294),ISNUMBER(I1294)),B1294-I1294+1,"")</f>
        <v/>
      </c>
      <c r="N1294" s="14" t="str">
        <f aca="false">IF(B1294="","",IF(M1294="","시작일 미입력",IF(M1294&lt;1,"시작일 이전(확인)",IF(M1294=1,"1일째",IF(M1294=2,"2일째",IF(M1294=3,"3일째",IF(M1294&lt;=7,"일주일 이내",IF(M1294&lt;=14,"이주일 이내","15일 이후"))))))))</f>
        <v/>
      </c>
      <c r="O1294" s="0" t="str">
        <f aca="false">IF(AND(COUNTA($A1294:$J1294)&gt;0,OR(클레임조회!$C$4="",AND(ISNUMBER($B1294),$B1294&gt;=클레임조회!$C$4)),OR(클레임조회!$C$5="",AND(ISNUMBER($B1294),$B1294&lt;=클레임조회!$C$5)),OR(클레임조회!$C$6="",$C1294=클레임조회!$C$6),OR(클레임조회!$C$7="",$D1294=클레임조회!$C$7),OR(클레임조회!$C$8="",$E1294=클레임조회!$C$8),OR(클레임조회!$C$9="",$F1294=클레임조회!$C$9),OR(클레임조회!$C$10="",ISNUMBER(SEARCH(클레임조회!$C$10,$C1294&amp;" "&amp;$F1294&amp;" "&amp;$G1294&amp;" "&amp;$H1294)))),COUNT(O$1:O1293)+1,"")</f>
        <v/>
      </c>
      <c r="P1294" s="0" t="str">
        <f aca="false">IF(AND(TRIM(C1294)&lt;&gt;"",COUNTIF(C$2:C1294,C1294)=1),MAX(P$1:P1293)+1,"")</f>
        <v/>
      </c>
      <c r="Q1294" s="0" t="str">
        <f aca="false">IF(AND(TRIM(F1294)&lt;&gt;"",COUNTIF(F$2:F1294,F1294)=1),MAX(Q$1:Q1293)+1,"")</f>
        <v/>
      </c>
    </row>
    <row r="1295" customFormat="false" ht="15" hidden="false" customHeight="false" outlineLevel="0" collapsed="false">
      <c r="A1295" s="9"/>
      <c r="B1295" s="10"/>
      <c r="C1295" s="11"/>
      <c r="D1295" s="11"/>
      <c r="E1295" s="11"/>
      <c r="F1295" s="11"/>
      <c r="G1295" s="12"/>
      <c r="H1295" s="12"/>
      <c r="I1295" s="10"/>
      <c r="J1295" s="12"/>
      <c r="K1295" s="13" t="str">
        <f aca="false">IF(ISNUMBER(B1295),YEAR(B1295),"")</f>
        <v/>
      </c>
      <c r="L1295" s="13" t="str">
        <f aca="false">IF(ISNUMBER(B1295),MONTH(B1295),"")</f>
        <v/>
      </c>
      <c r="M1295" s="13" t="str">
        <f aca="false">IF(AND(ISNUMBER(B1295),ISNUMBER(I1295)),B1295-I1295+1,"")</f>
        <v/>
      </c>
      <c r="N1295" s="14" t="str">
        <f aca="false">IF(B1295="","",IF(M1295="","시작일 미입력",IF(M1295&lt;1,"시작일 이전(확인)",IF(M1295=1,"1일째",IF(M1295=2,"2일째",IF(M1295=3,"3일째",IF(M1295&lt;=7,"일주일 이내",IF(M1295&lt;=14,"이주일 이내","15일 이후"))))))))</f>
        <v/>
      </c>
      <c r="O1295" s="0" t="str">
        <f aca="false">IF(AND(COUNTA($A1295:$J1295)&gt;0,OR(클레임조회!$C$4="",AND(ISNUMBER($B1295),$B1295&gt;=클레임조회!$C$4)),OR(클레임조회!$C$5="",AND(ISNUMBER($B1295),$B1295&lt;=클레임조회!$C$5)),OR(클레임조회!$C$6="",$C1295=클레임조회!$C$6),OR(클레임조회!$C$7="",$D1295=클레임조회!$C$7),OR(클레임조회!$C$8="",$E1295=클레임조회!$C$8),OR(클레임조회!$C$9="",$F1295=클레임조회!$C$9),OR(클레임조회!$C$10="",ISNUMBER(SEARCH(클레임조회!$C$10,$C1295&amp;" "&amp;$F1295&amp;" "&amp;$G1295&amp;" "&amp;$H1295)))),COUNT(O$1:O1294)+1,"")</f>
        <v/>
      </c>
      <c r="P1295" s="0" t="str">
        <f aca="false">IF(AND(TRIM(C1295)&lt;&gt;"",COUNTIF(C$2:C1295,C1295)=1),MAX(P$1:P1294)+1,"")</f>
        <v/>
      </c>
      <c r="Q1295" s="0" t="str">
        <f aca="false">IF(AND(TRIM(F1295)&lt;&gt;"",COUNTIF(F$2:F1295,F1295)=1),MAX(Q$1:Q1294)+1,"")</f>
        <v/>
      </c>
    </row>
    <row r="1296" customFormat="false" ht="15" hidden="false" customHeight="false" outlineLevel="0" collapsed="false">
      <c r="A1296" s="9"/>
      <c r="B1296" s="10"/>
      <c r="C1296" s="11"/>
      <c r="D1296" s="11"/>
      <c r="E1296" s="11"/>
      <c r="F1296" s="11"/>
      <c r="G1296" s="12"/>
      <c r="H1296" s="12"/>
      <c r="I1296" s="10"/>
      <c r="J1296" s="12"/>
      <c r="K1296" s="13" t="str">
        <f aca="false">IF(ISNUMBER(B1296),YEAR(B1296),"")</f>
        <v/>
      </c>
      <c r="L1296" s="13" t="str">
        <f aca="false">IF(ISNUMBER(B1296),MONTH(B1296),"")</f>
        <v/>
      </c>
      <c r="M1296" s="13" t="str">
        <f aca="false">IF(AND(ISNUMBER(B1296),ISNUMBER(I1296)),B1296-I1296+1,"")</f>
        <v/>
      </c>
      <c r="N1296" s="14" t="str">
        <f aca="false">IF(B1296="","",IF(M1296="","시작일 미입력",IF(M1296&lt;1,"시작일 이전(확인)",IF(M1296=1,"1일째",IF(M1296=2,"2일째",IF(M1296=3,"3일째",IF(M1296&lt;=7,"일주일 이내",IF(M1296&lt;=14,"이주일 이내","15일 이후"))))))))</f>
        <v/>
      </c>
      <c r="O1296" s="0" t="str">
        <f aca="false">IF(AND(COUNTA($A1296:$J1296)&gt;0,OR(클레임조회!$C$4="",AND(ISNUMBER($B1296),$B1296&gt;=클레임조회!$C$4)),OR(클레임조회!$C$5="",AND(ISNUMBER($B1296),$B1296&lt;=클레임조회!$C$5)),OR(클레임조회!$C$6="",$C1296=클레임조회!$C$6),OR(클레임조회!$C$7="",$D1296=클레임조회!$C$7),OR(클레임조회!$C$8="",$E1296=클레임조회!$C$8),OR(클레임조회!$C$9="",$F1296=클레임조회!$C$9),OR(클레임조회!$C$10="",ISNUMBER(SEARCH(클레임조회!$C$10,$C1296&amp;" "&amp;$F1296&amp;" "&amp;$G1296&amp;" "&amp;$H1296)))),COUNT(O$1:O1295)+1,"")</f>
        <v/>
      </c>
      <c r="P1296" s="0" t="str">
        <f aca="false">IF(AND(TRIM(C1296)&lt;&gt;"",COUNTIF(C$2:C1296,C1296)=1),MAX(P$1:P1295)+1,"")</f>
        <v/>
      </c>
      <c r="Q1296" s="0" t="str">
        <f aca="false">IF(AND(TRIM(F1296)&lt;&gt;"",COUNTIF(F$2:F1296,F1296)=1),MAX(Q$1:Q1295)+1,"")</f>
        <v/>
      </c>
    </row>
    <row r="1297" customFormat="false" ht="15" hidden="false" customHeight="false" outlineLevel="0" collapsed="false">
      <c r="A1297" s="9"/>
      <c r="B1297" s="10"/>
      <c r="C1297" s="11"/>
      <c r="D1297" s="11"/>
      <c r="E1297" s="11"/>
      <c r="F1297" s="11"/>
      <c r="G1297" s="12"/>
      <c r="H1297" s="12"/>
      <c r="I1297" s="10"/>
      <c r="J1297" s="12"/>
      <c r="K1297" s="13" t="str">
        <f aca="false">IF(ISNUMBER(B1297),YEAR(B1297),"")</f>
        <v/>
      </c>
      <c r="L1297" s="13" t="str">
        <f aca="false">IF(ISNUMBER(B1297),MONTH(B1297),"")</f>
        <v/>
      </c>
      <c r="M1297" s="13" t="str">
        <f aca="false">IF(AND(ISNUMBER(B1297),ISNUMBER(I1297)),B1297-I1297+1,"")</f>
        <v/>
      </c>
      <c r="N1297" s="14" t="str">
        <f aca="false">IF(B1297="","",IF(M1297="","시작일 미입력",IF(M1297&lt;1,"시작일 이전(확인)",IF(M1297=1,"1일째",IF(M1297=2,"2일째",IF(M1297=3,"3일째",IF(M1297&lt;=7,"일주일 이내",IF(M1297&lt;=14,"이주일 이내","15일 이후"))))))))</f>
        <v/>
      </c>
      <c r="O1297" s="0" t="str">
        <f aca="false">IF(AND(COUNTA($A1297:$J1297)&gt;0,OR(클레임조회!$C$4="",AND(ISNUMBER($B1297),$B1297&gt;=클레임조회!$C$4)),OR(클레임조회!$C$5="",AND(ISNUMBER($B1297),$B1297&lt;=클레임조회!$C$5)),OR(클레임조회!$C$6="",$C1297=클레임조회!$C$6),OR(클레임조회!$C$7="",$D1297=클레임조회!$C$7),OR(클레임조회!$C$8="",$E1297=클레임조회!$C$8),OR(클레임조회!$C$9="",$F1297=클레임조회!$C$9),OR(클레임조회!$C$10="",ISNUMBER(SEARCH(클레임조회!$C$10,$C1297&amp;" "&amp;$F1297&amp;" "&amp;$G1297&amp;" "&amp;$H1297)))),COUNT(O$1:O1296)+1,"")</f>
        <v/>
      </c>
      <c r="P1297" s="0" t="str">
        <f aca="false">IF(AND(TRIM(C1297)&lt;&gt;"",COUNTIF(C$2:C1297,C1297)=1),MAX(P$1:P1296)+1,"")</f>
        <v/>
      </c>
      <c r="Q1297" s="0" t="str">
        <f aca="false">IF(AND(TRIM(F1297)&lt;&gt;"",COUNTIF(F$2:F1297,F1297)=1),MAX(Q$1:Q1296)+1,"")</f>
        <v/>
      </c>
    </row>
    <row r="1298" customFormat="false" ht="15" hidden="false" customHeight="false" outlineLevel="0" collapsed="false">
      <c r="A1298" s="9"/>
      <c r="B1298" s="10"/>
      <c r="C1298" s="11"/>
      <c r="D1298" s="11"/>
      <c r="E1298" s="11"/>
      <c r="F1298" s="11"/>
      <c r="G1298" s="12"/>
      <c r="H1298" s="12"/>
      <c r="I1298" s="10"/>
      <c r="J1298" s="12"/>
      <c r="K1298" s="13" t="str">
        <f aca="false">IF(ISNUMBER(B1298),YEAR(B1298),"")</f>
        <v/>
      </c>
      <c r="L1298" s="13" t="str">
        <f aca="false">IF(ISNUMBER(B1298),MONTH(B1298),"")</f>
        <v/>
      </c>
      <c r="M1298" s="13" t="str">
        <f aca="false">IF(AND(ISNUMBER(B1298),ISNUMBER(I1298)),B1298-I1298+1,"")</f>
        <v/>
      </c>
      <c r="N1298" s="14" t="str">
        <f aca="false">IF(B1298="","",IF(M1298="","시작일 미입력",IF(M1298&lt;1,"시작일 이전(확인)",IF(M1298=1,"1일째",IF(M1298=2,"2일째",IF(M1298=3,"3일째",IF(M1298&lt;=7,"일주일 이내",IF(M1298&lt;=14,"이주일 이내","15일 이후"))))))))</f>
        <v/>
      </c>
      <c r="O1298" s="0" t="str">
        <f aca="false">IF(AND(COUNTA($A1298:$J1298)&gt;0,OR(클레임조회!$C$4="",AND(ISNUMBER($B1298),$B1298&gt;=클레임조회!$C$4)),OR(클레임조회!$C$5="",AND(ISNUMBER($B1298),$B1298&lt;=클레임조회!$C$5)),OR(클레임조회!$C$6="",$C1298=클레임조회!$C$6),OR(클레임조회!$C$7="",$D1298=클레임조회!$C$7),OR(클레임조회!$C$8="",$E1298=클레임조회!$C$8),OR(클레임조회!$C$9="",$F1298=클레임조회!$C$9),OR(클레임조회!$C$10="",ISNUMBER(SEARCH(클레임조회!$C$10,$C1298&amp;" "&amp;$F1298&amp;" "&amp;$G1298&amp;" "&amp;$H1298)))),COUNT(O$1:O1297)+1,"")</f>
        <v/>
      </c>
      <c r="P1298" s="0" t="str">
        <f aca="false">IF(AND(TRIM(C1298)&lt;&gt;"",COUNTIF(C$2:C1298,C1298)=1),MAX(P$1:P1297)+1,"")</f>
        <v/>
      </c>
      <c r="Q1298" s="0" t="str">
        <f aca="false">IF(AND(TRIM(F1298)&lt;&gt;"",COUNTIF(F$2:F1298,F1298)=1),MAX(Q$1:Q1297)+1,"")</f>
        <v/>
      </c>
    </row>
    <row r="1299" customFormat="false" ht="15" hidden="false" customHeight="false" outlineLevel="0" collapsed="false">
      <c r="A1299" s="9"/>
      <c r="B1299" s="10"/>
      <c r="C1299" s="11"/>
      <c r="D1299" s="11"/>
      <c r="E1299" s="11"/>
      <c r="F1299" s="11"/>
      <c r="G1299" s="12"/>
      <c r="H1299" s="12"/>
      <c r="I1299" s="10"/>
      <c r="J1299" s="12"/>
      <c r="K1299" s="13" t="str">
        <f aca="false">IF(ISNUMBER(B1299),YEAR(B1299),"")</f>
        <v/>
      </c>
      <c r="L1299" s="13" t="str">
        <f aca="false">IF(ISNUMBER(B1299),MONTH(B1299),"")</f>
        <v/>
      </c>
      <c r="M1299" s="13" t="str">
        <f aca="false">IF(AND(ISNUMBER(B1299),ISNUMBER(I1299)),B1299-I1299+1,"")</f>
        <v/>
      </c>
      <c r="N1299" s="14" t="str">
        <f aca="false">IF(B1299="","",IF(M1299="","시작일 미입력",IF(M1299&lt;1,"시작일 이전(확인)",IF(M1299=1,"1일째",IF(M1299=2,"2일째",IF(M1299=3,"3일째",IF(M1299&lt;=7,"일주일 이내",IF(M1299&lt;=14,"이주일 이내","15일 이후"))))))))</f>
        <v/>
      </c>
      <c r="O1299" s="0" t="str">
        <f aca="false">IF(AND(COUNTA($A1299:$J1299)&gt;0,OR(클레임조회!$C$4="",AND(ISNUMBER($B1299),$B1299&gt;=클레임조회!$C$4)),OR(클레임조회!$C$5="",AND(ISNUMBER($B1299),$B1299&lt;=클레임조회!$C$5)),OR(클레임조회!$C$6="",$C1299=클레임조회!$C$6),OR(클레임조회!$C$7="",$D1299=클레임조회!$C$7),OR(클레임조회!$C$8="",$E1299=클레임조회!$C$8),OR(클레임조회!$C$9="",$F1299=클레임조회!$C$9),OR(클레임조회!$C$10="",ISNUMBER(SEARCH(클레임조회!$C$10,$C1299&amp;" "&amp;$F1299&amp;" "&amp;$G1299&amp;" "&amp;$H1299)))),COUNT(O$1:O1298)+1,"")</f>
        <v/>
      </c>
      <c r="P1299" s="0" t="str">
        <f aca="false">IF(AND(TRIM(C1299)&lt;&gt;"",COUNTIF(C$2:C1299,C1299)=1),MAX(P$1:P1298)+1,"")</f>
        <v/>
      </c>
      <c r="Q1299" s="0" t="str">
        <f aca="false">IF(AND(TRIM(F1299)&lt;&gt;"",COUNTIF(F$2:F1299,F1299)=1),MAX(Q$1:Q1298)+1,"")</f>
        <v/>
      </c>
    </row>
    <row r="1300" customFormat="false" ht="15" hidden="false" customHeight="false" outlineLevel="0" collapsed="false">
      <c r="A1300" s="9"/>
      <c r="B1300" s="10"/>
      <c r="C1300" s="11"/>
      <c r="D1300" s="11"/>
      <c r="E1300" s="11"/>
      <c r="F1300" s="11"/>
      <c r="G1300" s="12"/>
      <c r="H1300" s="12"/>
      <c r="I1300" s="10"/>
      <c r="J1300" s="12"/>
      <c r="K1300" s="13" t="str">
        <f aca="false">IF(ISNUMBER(B1300),YEAR(B1300),"")</f>
        <v/>
      </c>
      <c r="L1300" s="13" t="str">
        <f aca="false">IF(ISNUMBER(B1300),MONTH(B1300),"")</f>
        <v/>
      </c>
      <c r="M1300" s="13" t="str">
        <f aca="false">IF(AND(ISNUMBER(B1300),ISNUMBER(I1300)),B1300-I1300+1,"")</f>
        <v/>
      </c>
      <c r="N1300" s="14" t="str">
        <f aca="false">IF(B1300="","",IF(M1300="","시작일 미입력",IF(M1300&lt;1,"시작일 이전(확인)",IF(M1300=1,"1일째",IF(M1300=2,"2일째",IF(M1300=3,"3일째",IF(M1300&lt;=7,"일주일 이내",IF(M1300&lt;=14,"이주일 이내","15일 이후"))))))))</f>
        <v/>
      </c>
      <c r="O1300" s="0" t="str">
        <f aca="false">IF(AND(COUNTA($A1300:$J1300)&gt;0,OR(클레임조회!$C$4="",AND(ISNUMBER($B1300),$B1300&gt;=클레임조회!$C$4)),OR(클레임조회!$C$5="",AND(ISNUMBER($B1300),$B1300&lt;=클레임조회!$C$5)),OR(클레임조회!$C$6="",$C1300=클레임조회!$C$6),OR(클레임조회!$C$7="",$D1300=클레임조회!$C$7),OR(클레임조회!$C$8="",$E1300=클레임조회!$C$8),OR(클레임조회!$C$9="",$F1300=클레임조회!$C$9),OR(클레임조회!$C$10="",ISNUMBER(SEARCH(클레임조회!$C$10,$C1300&amp;" "&amp;$F1300&amp;" "&amp;$G1300&amp;" "&amp;$H1300)))),COUNT(O$1:O1299)+1,"")</f>
        <v/>
      </c>
      <c r="P1300" s="0" t="str">
        <f aca="false">IF(AND(TRIM(C1300)&lt;&gt;"",COUNTIF(C$2:C1300,C1300)=1),MAX(P$1:P1299)+1,"")</f>
        <v/>
      </c>
      <c r="Q1300" s="0" t="str">
        <f aca="false">IF(AND(TRIM(F1300)&lt;&gt;"",COUNTIF(F$2:F1300,F1300)=1),MAX(Q$1:Q1299)+1,"")</f>
        <v/>
      </c>
    </row>
    <row r="1301" customFormat="false" ht="15" hidden="false" customHeight="false" outlineLevel="0" collapsed="false">
      <c r="A1301" s="9"/>
      <c r="B1301" s="10"/>
      <c r="C1301" s="11"/>
      <c r="D1301" s="11"/>
      <c r="E1301" s="11"/>
      <c r="F1301" s="11"/>
      <c r="G1301" s="12"/>
      <c r="H1301" s="12"/>
      <c r="I1301" s="10"/>
      <c r="J1301" s="12"/>
      <c r="K1301" s="13" t="str">
        <f aca="false">IF(ISNUMBER(B1301),YEAR(B1301),"")</f>
        <v/>
      </c>
      <c r="L1301" s="13" t="str">
        <f aca="false">IF(ISNUMBER(B1301),MONTH(B1301),"")</f>
        <v/>
      </c>
      <c r="M1301" s="13" t="str">
        <f aca="false">IF(AND(ISNUMBER(B1301),ISNUMBER(I1301)),B1301-I1301+1,"")</f>
        <v/>
      </c>
      <c r="N1301" s="14" t="str">
        <f aca="false">IF(B1301="","",IF(M1301="","시작일 미입력",IF(M1301&lt;1,"시작일 이전(확인)",IF(M1301=1,"1일째",IF(M1301=2,"2일째",IF(M1301=3,"3일째",IF(M1301&lt;=7,"일주일 이내",IF(M1301&lt;=14,"이주일 이내","15일 이후"))))))))</f>
        <v/>
      </c>
      <c r="O1301" s="0" t="str">
        <f aca="false">IF(AND(COUNTA($A1301:$J1301)&gt;0,OR(클레임조회!$C$4="",AND(ISNUMBER($B1301),$B1301&gt;=클레임조회!$C$4)),OR(클레임조회!$C$5="",AND(ISNUMBER($B1301),$B1301&lt;=클레임조회!$C$5)),OR(클레임조회!$C$6="",$C1301=클레임조회!$C$6),OR(클레임조회!$C$7="",$D1301=클레임조회!$C$7),OR(클레임조회!$C$8="",$E1301=클레임조회!$C$8),OR(클레임조회!$C$9="",$F1301=클레임조회!$C$9),OR(클레임조회!$C$10="",ISNUMBER(SEARCH(클레임조회!$C$10,$C1301&amp;" "&amp;$F1301&amp;" "&amp;$G1301&amp;" "&amp;$H1301)))),COUNT(O$1:O1300)+1,"")</f>
        <v/>
      </c>
      <c r="P1301" s="0" t="str">
        <f aca="false">IF(AND(TRIM(C1301)&lt;&gt;"",COUNTIF(C$2:C1301,C1301)=1),MAX(P$1:P1300)+1,"")</f>
        <v/>
      </c>
      <c r="Q1301" s="0" t="str">
        <f aca="false">IF(AND(TRIM(F1301)&lt;&gt;"",COUNTIF(F$2:F1301,F1301)=1),MAX(Q$1:Q1300)+1,"")</f>
        <v/>
      </c>
    </row>
    <row r="1302" customFormat="false" ht="15" hidden="false" customHeight="false" outlineLevel="0" collapsed="false">
      <c r="A1302" s="9"/>
      <c r="B1302" s="10"/>
      <c r="C1302" s="11"/>
      <c r="D1302" s="11"/>
      <c r="E1302" s="11"/>
      <c r="F1302" s="11"/>
      <c r="G1302" s="12"/>
      <c r="H1302" s="12"/>
      <c r="I1302" s="10"/>
      <c r="J1302" s="12"/>
      <c r="K1302" s="13" t="str">
        <f aca="false">IF(ISNUMBER(B1302),YEAR(B1302),"")</f>
        <v/>
      </c>
      <c r="L1302" s="13" t="str">
        <f aca="false">IF(ISNUMBER(B1302),MONTH(B1302),"")</f>
        <v/>
      </c>
      <c r="M1302" s="13" t="str">
        <f aca="false">IF(AND(ISNUMBER(B1302),ISNUMBER(I1302)),B1302-I1302+1,"")</f>
        <v/>
      </c>
      <c r="N1302" s="14" t="str">
        <f aca="false">IF(B1302="","",IF(M1302="","시작일 미입력",IF(M1302&lt;1,"시작일 이전(확인)",IF(M1302=1,"1일째",IF(M1302=2,"2일째",IF(M1302=3,"3일째",IF(M1302&lt;=7,"일주일 이내",IF(M1302&lt;=14,"이주일 이내","15일 이후"))))))))</f>
        <v/>
      </c>
      <c r="O1302" s="0" t="str">
        <f aca="false">IF(AND(COUNTA($A1302:$J1302)&gt;0,OR(클레임조회!$C$4="",AND(ISNUMBER($B1302),$B1302&gt;=클레임조회!$C$4)),OR(클레임조회!$C$5="",AND(ISNUMBER($B1302),$B1302&lt;=클레임조회!$C$5)),OR(클레임조회!$C$6="",$C1302=클레임조회!$C$6),OR(클레임조회!$C$7="",$D1302=클레임조회!$C$7),OR(클레임조회!$C$8="",$E1302=클레임조회!$C$8),OR(클레임조회!$C$9="",$F1302=클레임조회!$C$9),OR(클레임조회!$C$10="",ISNUMBER(SEARCH(클레임조회!$C$10,$C1302&amp;" "&amp;$F1302&amp;" "&amp;$G1302&amp;" "&amp;$H1302)))),COUNT(O$1:O1301)+1,"")</f>
        <v/>
      </c>
      <c r="P1302" s="0" t="str">
        <f aca="false">IF(AND(TRIM(C1302)&lt;&gt;"",COUNTIF(C$2:C1302,C1302)=1),MAX(P$1:P1301)+1,"")</f>
        <v/>
      </c>
      <c r="Q1302" s="0" t="str">
        <f aca="false">IF(AND(TRIM(F1302)&lt;&gt;"",COUNTIF(F$2:F1302,F1302)=1),MAX(Q$1:Q1301)+1,"")</f>
        <v/>
      </c>
    </row>
    <row r="1303" customFormat="false" ht="15" hidden="false" customHeight="false" outlineLevel="0" collapsed="false">
      <c r="A1303" s="9"/>
      <c r="B1303" s="10"/>
      <c r="C1303" s="11"/>
      <c r="D1303" s="11"/>
      <c r="E1303" s="11"/>
      <c r="F1303" s="11"/>
      <c r="G1303" s="12"/>
      <c r="H1303" s="12"/>
      <c r="I1303" s="10"/>
      <c r="J1303" s="12"/>
      <c r="K1303" s="13" t="str">
        <f aca="false">IF(ISNUMBER(B1303),YEAR(B1303),"")</f>
        <v/>
      </c>
      <c r="L1303" s="13" t="str">
        <f aca="false">IF(ISNUMBER(B1303),MONTH(B1303),"")</f>
        <v/>
      </c>
      <c r="M1303" s="13" t="str">
        <f aca="false">IF(AND(ISNUMBER(B1303),ISNUMBER(I1303)),B1303-I1303+1,"")</f>
        <v/>
      </c>
      <c r="N1303" s="14" t="str">
        <f aca="false">IF(B1303="","",IF(M1303="","시작일 미입력",IF(M1303&lt;1,"시작일 이전(확인)",IF(M1303=1,"1일째",IF(M1303=2,"2일째",IF(M1303=3,"3일째",IF(M1303&lt;=7,"일주일 이내",IF(M1303&lt;=14,"이주일 이내","15일 이후"))))))))</f>
        <v/>
      </c>
      <c r="O1303" s="0" t="str">
        <f aca="false">IF(AND(COUNTA($A1303:$J1303)&gt;0,OR(클레임조회!$C$4="",AND(ISNUMBER($B1303),$B1303&gt;=클레임조회!$C$4)),OR(클레임조회!$C$5="",AND(ISNUMBER($B1303),$B1303&lt;=클레임조회!$C$5)),OR(클레임조회!$C$6="",$C1303=클레임조회!$C$6),OR(클레임조회!$C$7="",$D1303=클레임조회!$C$7),OR(클레임조회!$C$8="",$E1303=클레임조회!$C$8),OR(클레임조회!$C$9="",$F1303=클레임조회!$C$9),OR(클레임조회!$C$10="",ISNUMBER(SEARCH(클레임조회!$C$10,$C1303&amp;" "&amp;$F1303&amp;" "&amp;$G1303&amp;" "&amp;$H1303)))),COUNT(O$1:O1302)+1,"")</f>
        <v/>
      </c>
      <c r="P1303" s="0" t="str">
        <f aca="false">IF(AND(TRIM(C1303)&lt;&gt;"",COUNTIF(C$2:C1303,C1303)=1),MAX(P$1:P1302)+1,"")</f>
        <v/>
      </c>
      <c r="Q1303" s="0" t="str">
        <f aca="false">IF(AND(TRIM(F1303)&lt;&gt;"",COUNTIF(F$2:F1303,F1303)=1),MAX(Q$1:Q1302)+1,"")</f>
        <v/>
      </c>
    </row>
    <row r="1304" customFormat="false" ht="15" hidden="false" customHeight="false" outlineLevel="0" collapsed="false">
      <c r="A1304" s="9"/>
      <c r="B1304" s="10"/>
      <c r="C1304" s="11"/>
      <c r="D1304" s="11"/>
      <c r="E1304" s="11"/>
      <c r="F1304" s="11"/>
      <c r="G1304" s="12"/>
      <c r="H1304" s="12"/>
      <c r="I1304" s="10"/>
      <c r="J1304" s="12"/>
      <c r="K1304" s="13" t="str">
        <f aca="false">IF(ISNUMBER(B1304),YEAR(B1304),"")</f>
        <v/>
      </c>
      <c r="L1304" s="13" t="str">
        <f aca="false">IF(ISNUMBER(B1304),MONTH(B1304),"")</f>
        <v/>
      </c>
      <c r="M1304" s="13" t="str">
        <f aca="false">IF(AND(ISNUMBER(B1304),ISNUMBER(I1304)),B1304-I1304+1,"")</f>
        <v/>
      </c>
      <c r="N1304" s="14" t="str">
        <f aca="false">IF(B1304="","",IF(M1304="","시작일 미입력",IF(M1304&lt;1,"시작일 이전(확인)",IF(M1304=1,"1일째",IF(M1304=2,"2일째",IF(M1304=3,"3일째",IF(M1304&lt;=7,"일주일 이내",IF(M1304&lt;=14,"이주일 이내","15일 이후"))))))))</f>
        <v/>
      </c>
      <c r="O1304" s="0" t="str">
        <f aca="false">IF(AND(COUNTA($A1304:$J1304)&gt;0,OR(클레임조회!$C$4="",AND(ISNUMBER($B1304),$B1304&gt;=클레임조회!$C$4)),OR(클레임조회!$C$5="",AND(ISNUMBER($B1304),$B1304&lt;=클레임조회!$C$5)),OR(클레임조회!$C$6="",$C1304=클레임조회!$C$6),OR(클레임조회!$C$7="",$D1304=클레임조회!$C$7),OR(클레임조회!$C$8="",$E1304=클레임조회!$C$8),OR(클레임조회!$C$9="",$F1304=클레임조회!$C$9),OR(클레임조회!$C$10="",ISNUMBER(SEARCH(클레임조회!$C$10,$C1304&amp;" "&amp;$F1304&amp;" "&amp;$G1304&amp;" "&amp;$H1304)))),COUNT(O$1:O1303)+1,"")</f>
        <v/>
      </c>
      <c r="P1304" s="0" t="str">
        <f aca="false">IF(AND(TRIM(C1304)&lt;&gt;"",COUNTIF(C$2:C1304,C1304)=1),MAX(P$1:P1303)+1,"")</f>
        <v/>
      </c>
      <c r="Q1304" s="0" t="str">
        <f aca="false">IF(AND(TRIM(F1304)&lt;&gt;"",COUNTIF(F$2:F1304,F1304)=1),MAX(Q$1:Q1303)+1,"")</f>
        <v/>
      </c>
    </row>
    <row r="1305" customFormat="false" ht="15" hidden="false" customHeight="false" outlineLevel="0" collapsed="false">
      <c r="A1305" s="9"/>
      <c r="B1305" s="10"/>
      <c r="C1305" s="11"/>
      <c r="D1305" s="11"/>
      <c r="E1305" s="11"/>
      <c r="F1305" s="11"/>
      <c r="G1305" s="12"/>
      <c r="H1305" s="12"/>
      <c r="I1305" s="10"/>
      <c r="J1305" s="12"/>
      <c r="K1305" s="13" t="str">
        <f aca="false">IF(ISNUMBER(B1305),YEAR(B1305),"")</f>
        <v/>
      </c>
      <c r="L1305" s="13" t="str">
        <f aca="false">IF(ISNUMBER(B1305),MONTH(B1305),"")</f>
        <v/>
      </c>
      <c r="M1305" s="13" t="str">
        <f aca="false">IF(AND(ISNUMBER(B1305),ISNUMBER(I1305)),B1305-I1305+1,"")</f>
        <v/>
      </c>
      <c r="N1305" s="14" t="str">
        <f aca="false">IF(B1305="","",IF(M1305="","시작일 미입력",IF(M1305&lt;1,"시작일 이전(확인)",IF(M1305=1,"1일째",IF(M1305=2,"2일째",IF(M1305=3,"3일째",IF(M1305&lt;=7,"일주일 이내",IF(M1305&lt;=14,"이주일 이내","15일 이후"))))))))</f>
        <v/>
      </c>
      <c r="O1305" s="0" t="str">
        <f aca="false">IF(AND(COUNTA($A1305:$J1305)&gt;0,OR(클레임조회!$C$4="",AND(ISNUMBER($B1305),$B1305&gt;=클레임조회!$C$4)),OR(클레임조회!$C$5="",AND(ISNUMBER($B1305),$B1305&lt;=클레임조회!$C$5)),OR(클레임조회!$C$6="",$C1305=클레임조회!$C$6),OR(클레임조회!$C$7="",$D1305=클레임조회!$C$7),OR(클레임조회!$C$8="",$E1305=클레임조회!$C$8),OR(클레임조회!$C$9="",$F1305=클레임조회!$C$9),OR(클레임조회!$C$10="",ISNUMBER(SEARCH(클레임조회!$C$10,$C1305&amp;" "&amp;$F1305&amp;" "&amp;$G1305&amp;" "&amp;$H1305)))),COUNT(O$1:O1304)+1,"")</f>
        <v/>
      </c>
      <c r="P1305" s="0" t="str">
        <f aca="false">IF(AND(TRIM(C1305)&lt;&gt;"",COUNTIF(C$2:C1305,C1305)=1),MAX(P$1:P1304)+1,"")</f>
        <v/>
      </c>
      <c r="Q1305" s="0" t="str">
        <f aca="false">IF(AND(TRIM(F1305)&lt;&gt;"",COUNTIF(F$2:F1305,F1305)=1),MAX(Q$1:Q1304)+1,"")</f>
        <v/>
      </c>
    </row>
    <row r="1306" customFormat="false" ht="15" hidden="false" customHeight="false" outlineLevel="0" collapsed="false">
      <c r="A1306" s="9"/>
      <c r="B1306" s="10"/>
      <c r="C1306" s="11"/>
      <c r="D1306" s="11"/>
      <c r="E1306" s="11"/>
      <c r="F1306" s="11"/>
      <c r="G1306" s="12"/>
      <c r="H1306" s="12"/>
      <c r="I1306" s="10"/>
      <c r="J1306" s="12"/>
      <c r="K1306" s="13" t="str">
        <f aca="false">IF(ISNUMBER(B1306),YEAR(B1306),"")</f>
        <v/>
      </c>
      <c r="L1306" s="13" t="str">
        <f aca="false">IF(ISNUMBER(B1306),MONTH(B1306),"")</f>
        <v/>
      </c>
      <c r="M1306" s="13" t="str">
        <f aca="false">IF(AND(ISNUMBER(B1306),ISNUMBER(I1306)),B1306-I1306+1,"")</f>
        <v/>
      </c>
      <c r="N1306" s="14" t="str">
        <f aca="false">IF(B1306="","",IF(M1306="","시작일 미입력",IF(M1306&lt;1,"시작일 이전(확인)",IF(M1306=1,"1일째",IF(M1306=2,"2일째",IF(M1306=3,"3일째",IF(M1306&lt;=7,"일주일 이내",IF(M1306&lt;=14,"이주일 이내","15일 이후"))))))))</f>
        <v/>
      </c>
      <c r="O1306" s="0" t="str">
        <f aca="false">IF(AND(COUNTA($A1306:$J1306)&gt;0,OR(클레임조회!$C$4="",AND(ISNUMBER($B1306),$B1306&gt;=클레임조회!$C$4)),OR(클레임조회!$C$5="",AND(ISNUMBER($B1306),$B1306&lt;=클레임조회!$C$5)),OR(클레임조회!$C$6="",$C1306=클레임조회!$C$6),OR(클레임조회!$C$7="",$D1306=클레임조회!$C$7),OR(클레임조회!$C$8="",$E1306=클레임조회!$C$8),OR(클레임조회!$C$9="",$F1306=클레임조회!$C$9),OR(클레임조회!$C$10="",ISNUMBER(SEARCH(클레임조회!$C$10,$C1306&amp;" "&amp;$F1306&amp;" "&amp;$G1306&amp;" "&amp;$H1306)))),COUNT(O$1:O1305)+1,"")</f>
        <v/>
      </c>
      <c r="P1306" s="0" t="str">
        <f aca="false">IF(AND(TRIM(C1306)&lt;&gt;"",COUNTIF(C$2:C1306,C1306)=1),MAX(P$1:P1305)+1,"")</f>
        <v/>
      </c>
      <c r="Q1306" s="0" t="str">
        <f aca="false">IF(AND(TRIM(F1306)&lt;&gt;"",COUNTIF(F$2:F1306,F1306)=1),MAX(Q$1:Q1305)+1,"")</f>
        <v/>
      </c>
    </row>
    <row r="1307" customFormat="false" ht="15" hidden="false" customHeight="false" outlineLevel="0" collapsed="false">
      <c r="A1307" s="9"/>
      <c r="B1307" s="10"/>
      <c r="C1307" s="11"/>
      <c r="D1307" s="11"/>
      <c r="E1307" s="11"/>
      <c r="F1307" s="11"/>
      <c r="G1307" s="12"/>
      <c r="H1307" s="12"/>
      <c r="I1307" s="10"/>
      <c r="J1307" s="12"/>
      <c r="K1307" s="13" t="str">
        <f aca="false">IF(ISNUMBER(B1307),YEAR(B1307),"")</f>
        <v/>
      </c>
      <c r="L1307" s="13" t="str">
        <f aca="false">IF(ISNUMBER(B1307),MONTH(B1307),"")</f>
        <v/>
      </c>
      <c r="M1307" s="13" t="str">
        <f aca="false">IF(AND(ISNUMBER(B1307),ISNUMBER(I1307)),B1307-I1307+1,"")</f>
        <v/>
      </c>
      <c r="N1307" s="14" t="str">
        <f aca="false">IF(B1307="","",IF(M1307="","시작일 미입력",IF(M1307&lt;1,"시작일 이전(확인)",IF(M1307=1,"1일째",IF(M1307=2,"2일째",IF(M1307=3,"3일째",IF(M1307&lt;=7,"일주일 이내",IF(M1307&lt;=14,"이주일 이내","15일 이후"))))))))</f>
        <v/>
      </c>
      <c r="O1307" s="0" t="str">
        <f aca="false">IF(AND(COUNTA($A1307:$J1307)&gt;0,OR(클레임조회!$C$4="",AND(ISNUMBER($B1307),$B1307&gt;=클레임조회!$C$4)),OR(클레임조회!$C$5="",AND(ISNUMBER($B1307),$B1307&lt;=클레임조회!$C$5)),OR(클레임조회!$C$6="",$C1307=클레임조회!$C$6),OR(클레임조회!$C$7="",$D1307=클레임조회!$C$7),OR(클레임조회!$C$8="",$E1307=클레임조회!$C$8),OR(클레임조회!$C$9="",$F1307=클레임조회!$C$9),OR(클레임조회!$C$10="",ISNUMBER(SEARCH(클레임조회!$C$10,$C1307&amp;" "&amp;$F1307&amp;" "&amp;$G1307&amp;" "&amp;$H1307)))),COUNT(O$1:O1306)+1,"")</f>
        <v/>
      </c>
      <c r="P1307" s="0" t="str">
        <f aca="false">IF(AND(TRIM(C1307)&lt;&gt;"",COUNTIF(C$2:C1307,C1307)=1),MAX(P$1:P1306)+1,"")</f>
        <v/>
      </c>
      <c r="Q1307" s="0" t="str">
        <f aca="false">IF(AND(TRIM(F1307)&lt;&gt;"",COUNTIF(F$2:F1307,F1307)=1),MAX(Q$1:Q1306)+1,"")</f>
        <v/>
      </c>
    </row>
    <row r="1308" customFormat="false" ht="15" hidden="false" customHeight="false" outlineLevel="0" collapsed="false">
      <c r="A1308" s="9"/>
      <c r="B1308" s="10"/>
      <c r="C1308" s="11"/>
      <c r="D1308" s="11"/>
      <c r="E1308" s="11"/>
      <c r="F1308" s="11"/>
      <c r="G1308" s="12"/>
      <c r="H1308" s="12"/>
      <c r="I1308" s="10"/>
      <c r="J1308" s="12"/>
      <c r="K1308" s="13" t="str">
        <f aca="false">IF(ISNUMBER(B1308),YEAR(B1308),"")</f>
        <v/>
      </c>
      <c r="L1308" s="13" t="str">
        <f aca="false">IF(ISNUMBER(B1308),MONTH(B1308),"")</f>
        <v/>
      </c>
      <c r="M1308" s="13" t="str">
        <f aca="false">IF(AND(ISNUMBER(B1308),ISNUMBER(I1308)),B1308-I1308+1,"")</f>
        <v/>
      </c>
      <c r="N1308" s="14" t="str">
        <f aca="false">IF(B1308="","",IF(M1308="","시작일 미입력",IF(M1308&lt;1,"시작일 이전(확인)",IF(M1308=1,"1일째",IF(M1308=2,"2일째",IF(M1308=3,"3일째",IF(M1308&lt;=7,"일주일 이내",IF(M1308&lt;=14,"이주일 이내","15일 이후"))))))))</f>
        <v/>
      </c>
      <c r="O1308" s="0" t="str">
        <f aca="false">IF(AND(COUNTA($A1308:$J1308)&gt;0,OR(클레임조회!$C$4="",AND(ISNUMBER($B1308),$B1308&gt;=클레임조회!$C$4)),OR(클레임조회!$C$5="",AND(ISNUMBER($B1308),$B1308&lt;=클레임조회!$C$5)),OR(클레임조회!$C$6="",$C1308=클레임조회!$C$6),OR(클레임조회!$C$7="",$D1308=클레임조회!$C$7),OR(클레임조회!$C$8="",$E1308=클레임조회!$C$8),OR(클레임조회!$C$9="",$F1308=클레임조회!$C$9),OR(클레임조회!$C$10="",ISNUMBER(SEARCH(클레임조회!$C$10,$C1308&amp;" "&amp;$F1308&amp;" "&amp;$G1308&amp;" "&amp;$H1308)))),COUNT(O$1:O1307)+1,"")</f>
        <v/>
      </c>
      <c r="P1308" s="0" t="str">
        <f aca="false">IF(AND(TRIM(C1308)&lt;&gt;"",COUNTIF(C$2:C1308,C1308)=1),MAX(P$1:P1307)+1,"")</f>
        <v/>
      </c>
      <c r="Q1308" s="0" t="str">
        <f aca="false">IF(AND(TRIM(F1308)&lt;&gt;"",COUNTIF(F$2:F1308,F1308)=1),MAX(Q$1:Q1307)+1,"")</f>
        <v/>
      </c>
    </row>
    <row r="1309" customFormat="false" ht="15" hidden="false" customHeight="false" outlineLevel="0" collapsed="false">
      <c r="A1309" s="9"/>
      <c r="B1309" s="10"/>
      <c r="C1309" s="11"/>
      <c r="D1309" s="11"/>
      <c r="E1309" s="11"/>
      <c r="F1309" s="11"/>
      <c r="G1309" s="12"/>
      <c r="H1309" s="12"/>
      <c r="I1309" s="10"/>
      <c r="J1309" s="12"/>
      <c r="K1309" s="13" t="str">
        <f aca="false">IF(ISNUMBER(B1309),YEAR(B1309),"")</f>
        <v/>
      </c>
      <c r="L1309" s="13" t="str">
        <f aca="false">IF(ISNUMBER(B1309),MONTH(B1309),"")</f>
        <v/>
      </c>
      <c r="M1309" s="13" t="str">
        <f aca="false">IF(AND(ISNUMBER(B1309),ISNUMBER(I1309)),B1309-I1309+1,"")</f>
        <v/>
      </c>
      <c r="N1309" s="14" t="str">
        <f aca="false">IF(B1309="","",IF(M1309="","시작일 미입력",IF(M1309&lt;1,"시작일 이전(확인)",IF(M1309=1,"1일째",IF(M1309=2,"2일째",IF(M1309=3,"3일째",IF(M1309&lt;=7,"일주일 이내",IF(M1309&lt;=14,"이주일 이내","15일 이후"))))))))</f>
        <v/>
      </c>
      <c r="O1309" s="0" t="str">
        <f aca="false">IF(AND(COUNTA($A1309:$J1309)&gt;0,OR(클레임조회!$C$4="",AND(ISNUMBER($B1309),$B1309&gt;=클레임조회!$C$4)),OR(클레임조회!$C$5="",AND(ISNUMBER($B1309),$B1309&lt;=클레임조회!$C$5)),OR(클레임조회!$C$6="",$C1309=클레임조회!$C$6),OR(클레임조회!$C$7="",$D1309=클레임조회!$C$7),OR(클레임조회!$C$8="",$E1309=클레임조회!$C$8),OR(클레임조회!$C$9="",$F1309=클레임조회!$C$9),OR(클레임조회!$C$10="",ISNUMBER(SEARCH(클레임조회!$C$10,$C1309&amp;" "&amp;$F1309&amp;" "&amp;$G1309&amp;" "&amp;$H1309)))),COUNT(O$1:O1308)+1,"")</f>
        <v/>
      </c>
      <c r="P1309" s="0" t="str">
        <f aca="false">IF(AND(TRIM(C1309)&lt;&gt;"",COUNTIF(C$2:C1309,C1309)=1),MAX(P$1:P1308)+1,"")</f>
        <v/>
      </c>
      <c r="Q1309" s="0" t="str">
        <f aca="false">IF(AND(TRIM(F1309)&lt;&gt;"",COUNTIF(F$2:F1309,F1309)=1),MAX(Q$1:Q1308)+1,"")</f>
        <v/>
      </c>
    </row>
    <row r="1310" customFormat="false" ht="15" hidden="false" customHeight="false" outlineLevel="0" collapsed="false">
      <c r="A1310" s="9"/>
      <c r="B1310" s="10"/>
      <c r="C1310" s="11"/>
      <c r="D1310" s="11"/>
      <c r="E1310" s="11"/>
      <c r="F1310" s="11"/>
      <c r="G1310" s="12"/>
      <c r="H1310" s="12"/>
      <c r="I1310" s="10"/>
      <c r="J1310" s="12"/>
      <c r="K1310" s="13" t="str">
        <f aca="false">IF(ISNUMBER(B1310),YEAR(B1310),"")</f>
        <v/>
      </c>
      <c r="L1310" s="13" t="str">
        <f aca="false">IF(ISNUMBER(B1310),MONTH(B1310),"")</f>
        <v/>
      </c>
      <c r="M1310" s="13" t="str">
        <f aca="false">IF(AND(ISNUMBER(B1310),ISNUMBER(I1310)),B1310-I1310+1,"")</f>
        <v/>
      </c>
      <c r="N1310" s="14" t="str">
        <f aca="false">IF(B1310="","",IF(M1310="","시작일 미입력",IF(M1310&lt;1,"시작일 이전(확인)",IF(M1310=1,"1일째",IF(M1310=2,"2일째",IF(M1310=3,"3일째",IF(M1310&lt;=7,"일주일 이내",IF(M1310&lt;=14,"이주일 이내","15일 이후"))))))))</f>
        <v/>
      </c>
      <c r="O1310" s="0" t="str">
        <f aca="false">IF(AND(COUNTA($A1310:$J1310)&gt;0,OR(클레임조회!$C$4="",AND(ISNUMBER($B1310),$B1310&gt;=클레임조회!$C$4)),OR(클레임조회!$C$5="",AND(ISNUMBER($B1310),$B1310&lt;=클레임조회!$C$5)),OR(클레임조회!$C$6="",$C1310=클레임조회!$C$6),OR(클레임조회!$C$7="",$D1310=클레임조회!$C$7),OR(클레임조회!$C$8="",$E1310=클레임조회!$C$8),OR(클레임조회!$C$9="",$F1310=클레임조회!$C$9),OR(클레임조회!$C$10="",ISNUMBER(SEARCH(클레임조회!$C$10,$C1310&amp;" "&amp;$F1310&amp;" "&amp;$G1310&amp;" "&amp;$H1310)))),COUNT(O$1:O1309)+1,"")</f>
        <v/>
      </c>
      <c r="P1310" s="0" t="str">
        <f aca="false">IF(AND(TRIM(C1310)&lt;&gt;"",COUNTIF(C$2:C1310,C1310)=1),MAX(P$1:P1309)+1,"")</f>
        <v/>
      </c>
      <c r="Q1310" s="0" t="str">
        <f aca="false">IF(AND(TRIM(F1310)&lt;&gt;"",COUNTIF(F$2:F1310,F1310)=1),MAX(Q$1:Q1309)+1,"")</f>
        <v/>
      </c>
    </row>
    <row r="1311" customFormat="false" ht="15" hidden="false" customHeight="false" outlineLevel="0" collapsed="false">
      <c r="A1311" s="9"/>
      <c r="B1311" s="10"/>
      <c r="C1311" s="11"/>
      <c r="D1311" s="11"/>
      <c r="E1311" s="11"/>
      <c r="F1311" s="11"/>
      <c r="G1311" s="12"/>
      <c r="H1311" s="12"/>
      <c r="I1311" s="10"/>
      <c r="J1311" s="12"/>
      <c r="K1311" s="13" t="str">
        <f aca="false">IF(ISNUMBER(B1311),YEAR(B1311),"")</f>
        <v/>
      </c>
      <c r="L1311" s="13" t="str">
        <f aca="false">IF(ISNUMBER(B1311),MONTH(B1311),"")</f>
        <v/>
      </c>
      <c r="M1311" s="13" t="str">
        <f aca="false">IF(AND(ISNUMBER(B1311),ISNUMBER(I1311)),B1311-I1311+1,"")</f>
        <v/>
      </c>
      <c r="N1311" s="14" t="str">
        <f aca="false">IF(B1311="","",IF(M1311="","시작일 미입력",IF(M1311&lt;1,"시작일 이전(확인)",IF(M1311=1,"1일째",IF(M1311=2,"2일째",IF(M1311=3,"3일째",IF(M1311&lt;=7,"일주일 이내",IF(M1311&lt;=14,"이주일 이내","15일 이후"))))))))</f>
        <v/>
      </c>
      <c r="O1311" s="0" t="str">
        <f aca="false">IF(AND(COUNTA($A1311:$J1311)&gt;0,OR(클레임조회!$C$4="",AND(ISNUMBER($B1311),$B1311&gt;=클레임조회!$C$4)),OR(클레임조회!$C$5="",AND(ISNUMBER($B1311),$B1311&lt;=클레임조회!$C$5)),OR(클레임조회!$C$6="",$C1311=클레임조회!$C$6),OR(클레임조회!$C$7="",$D1311=클레임조회!$C$7),OR(클레임조회!$C$8="",$E1311=클레임조회!$C$8),OR(클레임조회!$C$9="",$F1311=클레임조회!$C$9),OR(클레임조회!$C$10="",ISNUMBER(SEARCH(클레임조회!$C$10,$C1311&amp;" "&amp;$F1311&amp;" "&amp;$G1311&amp;" "&amp;$H1311)))),COUNT(O$1:O1310)+1,"")</f>
        <v/>
      </c>
      <c r="P1311" s="0" t="str">
        <f aca="false">IF(AND(TRIM(C1311)&lt;&gt;"",COUNTIF(C$2:C1311,C1311)=1),MAX(P$1:P1310)+1,"")</f>
        <v/>
      </c>
      <c r="Q1311" s="0" t="str">
        <f aca="false">IF(AND(TRIM(F1311)&lt;&gt;"",COUNTIF(F$2:F1311,F1311)=1),MAX(Q$1:Q1310)+1,"")</f>
        <v/>
      </c>
    </row>
    <row r="1312" customFormat="false" ht="15" hidden="false" customHeight="false" outlineLevel="0" collapsed="false">
      <c r="A1312" s="9"/>
      <c r="B1312" s="10"/>
      <c r="C1312" s="11"/>
      <c r="D1312" s="11"/>
      <c r="E1312" s="11"/>
      <c r="F1312" s="11"/>
      <c r="G1312" s="12"/>
      <c r="H1312" s="12"/>
      <c r="I1312" s="10"/>
      <c r="J1312" s="12"/>
      <c r="K1312" s="13" t="str">
        <f aca="false">IF(ISNUMBER(B1312),YEAR(B1312),"")</f>
        <v/>
      </c>
      <c r="L1312" s="13" t="str">
        <f aca="false">IF(ISNUMBER(B1312),MONTH(B1312),"")</f>
        <v/>
      </c>
      <c r="M1312" s="13" t="str">
        <f aca="false">IF(AND(ISNUMBER(B1312),ISNUMBER(I1312)),B1312-I1312+1,"")</f>
        <v/>
      </c>
      <c r="N1312" s="14" t="str">
        <f aca="false">IF(B1312="","",IF(M1312="","시작일 미입력",IF(M1312&lt;1,"시작일 이전(확인)",IF(M1312=1,"1일째",IF(M1312=2,"2일째",IF(M1312=3,"3일째",IF(M1312&lt;=7,"일주일 이내",IF(M1312&lt;=14,"이주일 이내","15일 이후"))))))))</f>
        <v/>
      </c>
      <c r="O1312" s="0" t="str">
        <f aca="false">IF(AND(COUNTA($A1312:$J1312)&gt;0,OR(클레임조회!$C$4="",AND(ISNUMBER($B1312),$B1312&gt;=클레임조회!$C$4)),OR(클레임조회!$C$5="",AND(ISNUMBER($B1312),$B1312&lt;=클레임조회!$C$5)),OR(클레임조회!$C$6="",$C1312=클레임조회!$C$6),OR(클레임조회!$C$7="",$D1312=클레임조회!$C$7),OR(클레임조회!$C$8="",$E1312=클레임조회!$C$8),OR(클레임조회!$C$9="",$F1312=클레임조회!$C$9),OR(클레임조회!$C$10="",ISNUMBER(SEARCH(클레임조회!$C$10,$C1312&amp;" "&amp;$F1312&amp;" "&amp;$G1312&amp;" "&amp;$H1312)))),COUNT(O$1:O1311)+1,"")</f>
        <v/>
      </c>
      <c r="P1312" s="0" t="str">
        <f aca="false">IF(AND(TRIM(C1312)&lt;&gt;"",COUNTIF(C$2:C1312,C1312)=1),MAX(P$1:P1311)+1,"")</f>
        <v/>
      </c>
      <c r="Q1312" s="0" t="str">
        <f aca="false">IF(AND(TRIM(F1312)&lt;&gt;"",COUNTIF(F$2:F1312,F1312)=1),MAX(Q$1:Q1311)+1,"")</f>
        <v/>
      </c>
    </row>
    <row r="1313" customFormat="false" ht="15" hidden="false" customHeight="false" outlineLevel="0" collapsed="false">
      <c r="A1313" s="9"/>
      <c r="B1313" s="10"/>
      <c r="C1313" s="11"/>
      <c r="D1313" s="11"/>
      <c r="E1313" s="11"/>
      <c r="F1313" s="11"/>
      <c r="G1313" s="12"/>
      <c r="H1313" s="12"/>
      <c r="I1313" s="10"/>
      <c r="J1313" s="12"/>
      <c r="K1313" s="13" t="str">
        <f aca="false">IF(ISNUMBER(B1313),YEAR(B1313),"")</f>
        <v/>
      </c>
      <c r="L1313" s="13" t="str">
        <f aca="false">IF(ISNUMBER(B1313),MONTH(B1313),"")</f>
        <v/>
      </c>
      <c r="M1313" s="13" t="str">
        <f aca="false">IF(AND(ISNUMBER(B1313),ISNUMBER(I1313)),B1313-I1313+1,"")</f>
        <v/>
      </c>
      <c r="N1313" s="14" t="str">
        <f aca="false">IF(B1313="","",IF(M1313="","시작일 미입력",IF(M1313&lt;1,"시작일 이전(확인)",IF(M1313=1,"1일째",IF(M1313=2,"2일째",IF(M1313=3,"3일째",IF(M1313&lt;=7,"일주일 이내",IF(M1313&lt;=14,"이주일 이내","15일 이후"))))))))</f>
        <v/>
      </c>
      <c r="O1313" s="0" t="str">
        <f aca="false">IF(AND(COUNTA($A1313:$J1313)&gt;0,OR(클레임조회!$C$4="",AND(ISNUMBER($B1313),$B1313&gt;=클레임조회!$C$4)),OR(클레임조회!$C$5="",AND(ISNUMBER($B1313),$B1313&lt;=클레임조회!$C$5)),OR(클레임조회!$C$6="",$C1313=클레임조회!$C$6),OR(클레임조회!$C$7="",$D1313=클레임조회!$C$7),OR(클레임조회!$C$8="",$E1313=클레임조회!$C$8),OR(클레임조회!$C$9="",$F1313=클레임조회!$C$9),OR(클레임조회!$C$10="",ISNUMBER(SEARCH(클레임조회!$C$10,$C1313&amp;" "&amp;$F1313&amp;" "&amp;$G1313&amp;" "&amp;$H1313)))),COUNT(O$1:O1312)+1,"")</f>
        <v/>
      </c>
      <c r="P1313" s="0" t="str">
        <f aca="false">IF(AND(TRIM(C1313)&lt;&gt;"",COUNTIF(C$2:C1313,C1313)=1),MAX(P$1:P1312)+1,"")</f>
        <v/>
      </c>
      <c r="Q1313" s="0" t="str">
        <f aca="false">IF(AND(TRIM(F1313)&lt;&gt;"",COUNTIF(F$2:F1313,F1313)=1),MAX(Q$1:Q1312)+1,"")</f>
        <v/>
      </c>
    </row>
    <row r="1314" customFormat="false" ht="15" hidden="false" customHeight="false" outlineLevel="0" collapsed="false">
      <c r="A1314" s="9"/>
      <c r="B1314" s="10"/>
      <c r="C1314" s="11"/>
      <c r="D1314" s="11"/>
      <c r="E1314" s="11"/>
      <c r="F1314" s="11"/>
      <c r="G1314" s="12"/>
      <c r="H1314" s="12"/>
      <c r="I1314" s="10"/>
      <c r="J1314" s="12"/>
      <c r="K1314" s="13" t="str">
        <f aca="false">IF(ISNUMBER(B1314),YEAR(B1314),"")</f>
        <v/>
      </c>
      <c r="L1314" s="13" t="str">
        <f aca="false">IF(ISNUMBER(B1314),MONTH(B1314),"")</f>
        <v/>
      </c>
      <c r="M1314" s="13" t="str">
        <f aca="false">IF(AND(ISNUMBER(B1314),ISNUMBER(I1314)),B1314-I1314+1,"")</f>
        <v/>
      </c>
      <c r="N1314" s="14" t="str">
        <f aca="false">IF(B1314="","",IF(M1314="","시작일 미입력",IF(M1314&lt;1,"시작일 이전(확인)",IF(M1314=1,"1일째",IF(M1314=2,"2일째",IF(M1314=3,"3일째",IF(M1314&lt;=7,"일주일 이내",IF(M1314&lt;=14,"이주일 이내","15일 이후"))))))))</f>
        <v/>
      </c>
      <c r="O1314" s="0" t="str">
        <f aca="false">IF(AND(COUNTA($A1314:$J1314)&gt;0,OR(클레임조회!$C$4="",AND(ISNUMBER($B1314),$B1314&gt;=클레임조회!$C$4)),OR(클레임조회!$C$5="",AND(ISNUMBER($B1314),$B1314&lt;=클레임조회!$C$5)),OR(클레임조회!$C$6="",$C1314=클레임조회!$C$6),OR(클레임조회!$C$7="",$D1314=클레임조회!$C$7),OR(클레임조회!$C$8="",$E1314=클레임조회!$C$8),OR(클레임조회!$C$9="",$F1314=클레임조회!$C$9),OR(클레임조회!$C$10="",ISNUMBER(SEARCH(클레임조회!$C$10,$C1314&amp;" "&amp;$F1314&amp;" "&amp;$G1314&amp;" "&amp;$H1314)))),COUNT(O$1:O1313)+1,"")</f>
        <v/>
      </c>
      <c r="P1314" s="0" t="str">
        <f aca="false">IF(AND(TRIM(C1314)&lt;&gt;"",COUNTIF(C$2:C1314,C1314)=1),MAX(P$1:P1313)+1,"")</f>
        <v/>
      </c>
      <c r="Q1314" s="0" t="str">
        <f aca="false">IF(AND(TRIM(F1314)&lt;&gt;"",COUNTIF(F$2:F1314,F1314)=1),MAX(Q$1:Q1313)+1,"")</f>
        <v/>
      </c>
    </row>
    <row r="1315" customFormat="false" ht="15" hidden="false" customHeight="false" outlineLevel="0" collapsed="false">
      <c r="A1315" s="9"/>
      <c r="B1315" s="10"/>
      <c r="C1315" s="11"/>
      <c r="D1315" s="11"/>
      <c r="E1315" s="11"/>
      <c r="F1315" s="11"/>
      <c r="G1315" s="12"/>
      <c r="H1315" s="12"/>
      <c r="I1315" s="10"/>
      <c r="J1315" s="12"/>
      <c r="K1315" s="13" t="str">
        <f aca="false">IF(ISNUMBER(B1315),YEAR(B1315),"")</f>
        <v/>
      </c>
      <c r="L1315" s="13" t="str">
        <f aca="false">IF(ISNUMBER(B1315),MONTH(B1315),"")</f>
        <v/>
      </c>
      <c r="M1315" s="13" t="str">
        <f aca="false">IF(AND(ISNUMBER(B1315),ISNUMBER(I1315)),B1315-I1315+1,"")</f>
        <v/>
      </c>
      <c r="N1315" s="14" t="str">
        <f aca="false">IF(B1315="","",IF(M1315="","시작일 미입력",IF(M1315&lt;1,"시작일 이전(확인)",IF(M1315=1,"1일째",IF(M1315=2,"2일째",IF(M1315=3,"3일째",IF(M1315&lt;=7,"일주일 이내",IF(M1315&lt;=14,"이주일 이내","15일 이후"))))))))</f>
        <v/>
      </c>
      <c r="O1315" s="0" t="str">
        <f aca="false">IF(AND(COUNTA($A1315:$J1315)&gt;0,OR(클레임조회!$C$4="",AND(ISNUMBER($B1315),$B1315&gt;=클레임조회!$C$4)),OR(클레임조회!$C$5="",AND(ISNUMBER($B1315),$B1315&lt;=클레임조회!$C$5)),OR(클레임조회!$C$6="",$C1315=클레임조회!$C$6),OR(클레임조회!$C$7="",$D1315=클레임조회!$C$7),OR(클레임조회!$C$8="",$E1315=클레임조회!$C$8),OR(클레임조회!$C$9="",$F1315=클레임조회!$C$9),OR(클레임조회!$C$10="",ISNUMBER(SEARCH(클레임조회!$C$10,$C1315&amp;" "&amp;$F1315&amp;" "&amp;$G1315&amp;" "&amp;$H1315)))),COUNT(O$1:O1314)+1,"")</f>
        <v/>
      </c>
      <c r="P1315" s="0" t="str">
        <f aca="false">IF(AND(TRIM(C1315)&lt;&gt;"",COUNTIF(C$2:C1315,C1315)=1),MAX(P$1:P1314)+1,"")</f>
        <v/>
      </c>
      <c r="Q1315" s="0" t="str">
        <f aca="false">IF(AND(TRIM(F1315)&lt;&gt;"",COUNTIF(F$2:F1315,F1315)=1),MAX(Q$1:Q1314)+1,"")</f>
        <v/>
      </c>
    </row>
    <row r="1316" customFormat="false" ht="15" hidden="false" customHeight="false" outlineLevel="0" collapsed="false">
      <c r="A1316" s="9"/>
      <c r="B1316" s="10"/>
      <c r="C1316" s="11"/>
      <c r="D1316" s="11"/>
      <c r="E1316" s="11"/>
      <c r="F1316" s="11"/>
      <c r="G1316" s="12"/>
      <c r="H1316" s="12"/>
      <c r="I1316" s="10"/>
      <c r="J1316" s="12"/>
      <c r="K1316" s="13" t="str">
        <f aca="false">IF(ISNUMBER(B1316),YEAR(B1316),"")</f>
        <v/>
      </c>
      <c r="L1316" s="13" t="str">
        <f aca="false">IF(ISNUMBER(B1316),MONTH(B1316),"")</f>
        <v/>
      </c>
      <c r="M1316" s="13" t="str">
        <f aca="false">IF(AND(ISNUMBER(B1316),ISNUMBER(I1316)),B1316-I1316+1,"")</f>
        <v/>
      </c>
      <c r="N1316" s="14" t="str">
        <f aca="false">IF(B1316="","",IF(M1316="","시작일 미입력",IF(M1316&lt;1,"시작일 이전(확인)",IF(M1316=1,"1일째",IF(M1316=2,"2일째",IF(M1316=3,"3일째",IF(M1316&lt;=7,"일주일 이내",IF(M1316&lt;=14,"이주일 이내","15일 이후"))))))))</f>
        <v/>
      </c>
      <c r="O1316" s="0" t="str">
        <f aca="false">IF(AND(COUNTA($A1316:$J1316)&gt;0,OR(클레임조회!$C$4="",AND(ISNUMBER($B1316),$B1316&gt;=클레임조회!$C$4)),OR(클레임조회!$C$5="",AND(ISNUMBER($B1316),$B1316&lt;=클레임조회!$C$5)),OR(클레임조회!$C$6="",$C1316=클레임조회!$C$6),OR(클레임조회!$C$7="",$D1316=클레임조회!$C$7),OR(클레임조회!$C$8="",$E1316=클레임조회!$C$8),OR(클레임조회!$C$9="",$F1316=클레임조회!$C$9),OR(클레임조회!$C$10="",ISNUMBER(SEARCH(클레임조회!$C$10,$C1316&amp;" "&amp;$F1316&amp;" "&amp;$G1316&amp;" "&amp;$H1316)))),COUNT(O$1:O1315)+1,"")</f>
        <v/>
      </c>
      <c r="P1316" s="0" t="str">
        <f aca="false">IF(AND(TRIM(C1316)&lt;&gt;"",COUNTIF(C$2:C1316,C1316)=1),MAX(P$1:P1315)+1,"")</f>
        <v/>
      </c>
      <c r="Q1316" s="0" t="str">
        <f aca="false">IF(AND(TRIM(F1316)&lt;&gt;"",COUNTIF(F$2:F1316,F1316)=1),MAX(Q$1:Q1315)+1,"")</f>
        <v/>
      </c>
    </row>
    <row r="1317" customFormat="false" ht="15" hidden="false" customHeight="false" outlineLevel="0" collapsed="false">
      <c r="A1317" s="9"/>
      <c r="B1317" s="10"/>
      <c r="C1317" s="11"/>
      <c r="D1317" s="11"/>
      <c r="E1317" s="11"/>
      <c r="F1317" s="11"/>
      <c r="G1317" s="12"/>
      <c r="H1317" s="12"/>
      <c r="I1317" s="10"/>
      <c r="J1317" s="12"/>
      <c r="K1317" s="13" t="str">
        <f aca="false">IF(ISNUMBER(B1317),YEAR(B1317),"")</f>
        <v/>
      </c>
      <c r="L1317" s="13" t="str">
        <f aca="false">IF(ISNUMBER(B1317),MONTH(B1317),"")</f>
        <v/>
      </c>
      <c r="M1317" s="13" t="str">
        <f aca="false">IF(AND(ISNUMBER(B1317),ISNUMBER(I1317)),B1317-I1317+1,"")</f>
        <v/>
      </c>
      <c r="N1317" s="14" t="str">
        <f aca="false">IF(B1317="","",IF(M1317="","시작일 미입력",IF(M1317&lt;1,"시작일 이전(확인)",IF(M1317=1,"1일째",IF(M1317=2,"2일째",IF(M1317=3,"3일째",IF(M1317&lt;=7,"일주일 이내",IF(M1317&lt;=14,"이주일 이내","15일 이후"))))))))</f>
        <v/>
      </c>
      <c r="O1317" s="0" t="str">
        <f aca="false">IF(AND(COUNTA($A1317:$J1317)&gt;0,OR(클레임조회!$C$4="",AND(ISNUMBER($B1317),$B1317&gt;=클레임조회!$C$4)),OR(클레임조회!$C$5="",AND(ISNUMBER($B1317),$B1317&lt;=클레임조회!$C$5)),OR(클레임조회!$C$6="",$C1317=클레임조회!$C$6),OR(클레임조회!$C$7="",$D1317=클레임조회!$C$7),OR(클레임조회!$C$8="",$E1317=클레임조회!$C$8),OR(클레임조회!$C$9="",$F1317=클레임조회!$C$9),OR(클레임조회!$C$10="",ISNUMBER(SEARCH(클레임조회!$C$10,$C1317&amp;" "&amp;$F1317&amp;" "&amp;$G1317&amp;" "&amp;$H1317)))),COUNT(O$1:O1316)+1,"")</f>
        <v/>
      </c>
      <c r="P1317" s="0" t="str">
        <f aca="false">IF(AND(TRIM(C1317)&lt;&gt;"",COUNTIF(C$2:C1317,C1317)=1),MAX(P$1:P1316)+1,"")</f>
        <v/>
      </c>
      <c r="Q1317" s="0" t="str">
        <f aca="false">IF(AND(TRIM(F1317)&lt;&gt;"",COUNTIF(F$2:F1317,F1317)=1),MAX(Q$1:Q1316)+1,"")</f>
        <v/>
      </c>
    </row>
    <row r="1318" customFormat="false" ht="15" hidden="false" customHeight="false" outlineLevel="0" collapsed="false">
      <c r="A1318" s="9"/>
      <c r="B1318" s="10"/>
      <c r="C1318" s="11"/>
      <c r="D1318" s="11"/>
      <c r="E1318" s="11"/>
      <c r="F1318" s="11"/>
      <c r="G1318" s="12"/>
      <c r="H1318" s="12"/>
      <c r="I1318" s="10"/>
      <c r="J1318" s="12"/>
      <c r="K1318" s="13" t="str">
        <f aca="false">IF(ISNUMBER(B1318),YEAR(B1318),"")</f>
        <v/>
      </c>
      <c r="L1318" s="13" t="str">
        <f aca="false">IF(ISNUMBER(B1318),MONTH(B1318),"")</f>
        <v/>
      </c>
      <c r="M1318" s="13" t="str">
        <f aca="false">IF(AND(ISNUMBER(B1318),ISNUMBER(I1318)),B1318-I1318+1,"")</f>
        <v/>
      </c>
      <c r="N1318" s="14" t="str">
        <f aca="false">IF(B1318="","",IF(M1318="","시작일 미입력",IF(M1318&lt;1,"시작일 이전(확인)",IF(M1318=1,"1일째",IF(M1318=2,"2일째",IF(M1318=3,"3일째",IF(M1318&lt;=7,"일주일 이내",IF(M1318&lt;=14,"이주일 이내","15일 이후"))))))))</f>
        <v/>
      </c>
      <c r="O1318" s="0" t="str">
        <f aca="false">IF(AND(COUNTA($A1318:$J1318)&gt;0,OR(클레임조회!$C$4="",AND(ISNUMBER($B1318),$B1318&gt;=클레임조회!$C$4)),OR(클레임조회!$C$5="",AND(ISNUMBER($B1318),$B1318&lt;=클레임조회!$C$5)),OR(클레임조회!$C$6="",$C1318=클레임조회!$C$6),OR(클레임조회!$C$7="",$D1318=클레임조회!$C$7),OR(클레임조회!$C$8="",$E1318=클레임조회!$C$8),OR(클레임조회!$C$9="",$F1318=클레임조회!$C$9),OR(클레임조회!$C$10="",ISNUMBER(SEARCH(클레임조회!$C$10,$C1318&amp;" "&amp;$F1318&amp;" "&amp;$G1318&amp;" "&amp;$H1318)))),COUNT(O$1:O1317)+1,"")</f>
        <v/>
      </c>
      <c r="P1318" s="0" t="str">
        <f aca="false">IF(AND(TRIM(C1318)&lt;&gt;"",COUNTIF(C$2:C1318,C1318)=1),MAX(P$1:P1317)+1,"")</f>
        <v/>
      </c>
      <c r="Q1318" s="0" t="str">
        <f aca="false">IF(AND(TRIM(F1318)&lt;&gt;"",COUNTIF(F$2:F1318,F1318)=1),MAX(Q$1:Q1317)+1,"")</f>
        <v/>
      </c>
    </row>
    <row r="1319" customFormat="false" ht="15" hidden="false" customHeight="false" outlineLevel="0" collapsed="false">
      <c r="A1319" s="9"/>
      <c r="B1319" s="10"/>
      <c r="C1319" s="11"/>
      <c r="D1319" s="11"/>
      <c r="E1319" s="11"/>
      <c r="F1319" s="11"/>
      <c r="G1319" s="12"/>
      <c r="H1319" s="12"/>
      <c r="I1319" s="10"/>
      <c r="J1319" s="12"/>
      <c r="K1319" s="13" t="str">
        <f aca="false">IF(ISNUMBER(B1319),YEAR(B1319),"")</f>
        <v/>
      </c>
      <c r="L1319" s="13" t="str">
        <f aca="false">IF(ISNUMBER(B1319),MONTH(B1319),"")</f>
        <v/>
      </c>
      <c r="M1319" s="13" t="str">
        <f aca="false">IF(AND(ISNUMBER(B1319),ISNUMBER(I1319)),B1319-I1319+1,"")</f>
        <v/>
      </c>
      <c r="N1319" s="14" t="str">
        <f aca="false">IF(B1319="","",IF(M1319="","시작일 미입력",IF(M1319&lt;1,"시작일 이전(확인)",IF(M1319=1,"1일째",IF(M1319=2,"2일째",IF(M1319=3,"3일째",IF(M1319&lt;=7,"일주일 이내",IF(M1319&lt;=14,"이주일 이내","15일 이후"))))))))</f>
        <v/>
      </c>
      <c r="O1319" s="0" t="str">
        <f aca="false">IF(AND(COUNTA($A1319:$J1319)&gt;0,OR(클레임조회!$C$4="",AND(ISNUMBER($B1319),$B1319&gt;=클레임조회!$C$4)),OR(클레임조회!$C$5="",AND(ISNUMBER($B1319),$B1319&lt;=클레임조회!$C$5)),OR(클레임조회!$C$6="",$C1319=클레임조회!$C$6),OR(클레임조회!$C$7="",$D1319=클레임조회!$C$7),OR(클레임조회!$C$8="",$E1319=클레임조회!$C$8),OR(클레임조회!$C$9="",$F1319=클레임조회!$C$9),OR(클레임조회!$C$10="",ISNUMBER(SEARCH(클레임조회!$C$10,$C1319&amp;" "&amp;$F1319&amp;" "&amp;$G1319&amp;" "&amp;$H1319)))),COUNT(O$1:O1318)+1,"")</f>
        <v/>
      </c>
      <c r="P1319" s="0" t="str">
        <f aca="false">IF(AND(TRIM(C1319)&lt;&gt;"",COUNTIF(C$2:C1319,C1319)=1),MAX(P$1:P1318)+1,"")</f>
        <v/>
      </c>
      <c r="Q1319" s="0" t="str">
        <f aca="false">IF(AND(TRIM(F1319)&lt;&gt;"",COUNTIF(F$2:F1319,F1319)=1),MAX(Q$1:Q1318)+1,"")</f>
        <v/>
      </c>
    </row>
    <row r="1320" customFormat="false" ht="15" hidden="false" customHeight="false" outlineLevel="0" collapsed="false">
      <c r="A1320" s="9"/>
      <c r="B1320" s="10"/>
      <c r="C1320" s="11"/>
      <c r="D1320" s="11"/>
      <c r="E1320" s="11"/>
      <c r="F1320" s="11"/>
      <c r="G1320" s="12"/>
      <c r="H1320" s="12"/>
      <c r="I1320" s="10"/>
      <c r="J1320" s="12"/>
      <c r="K1320" s="13" t="str">
        <f aca="false">IF(ISNUMBER(B1320),YEAR(B1320),"")</f>
        <v/>
      </c>
      <c r="L1320" s="13" t="str">
        <f aca="false">IF(ISNUMBER(B1320),MONTH(B1320),"")</f>
        <v/>
      </c>
      <c r="M1320" s="13" t="str">
        <f aca="false">IF(AND(ISNUMBER(B1320),ISNUMBER(I1320)),B1320-I1320+1,"")</f>
        <v/>
      </c>
      <c r="N1320" s="14" t="str">
        <f aca="false">IF(B1320="","",IF(M1320="","시작일 미입력",IF(M1320&lt;1,"시작일 이전(확인)",IF(M1320=1,"1일째",IF(M1320=2,"2일째",IF(M1320=3,"3일째",IF(M1320&lt;=7,"일주일 이내",IF(M1320&lt;=14,"이주일 이내","15일 이후"))))))))</f>
        <v/>
      </c>
      <c r="O1320" s="0" t="str">
        <f aca="false">IF(AND(COUNTA($A1320:$J1320)&gt;0,OR(클레임조회!$C$4="",AND(ISNUMBER($B1320),$B1320&gt;=클레임조회!$C$4)),OR(클레임조회!$C$5="",AND(ISNUMBER($B1320),$B1320&lt;=클레임조회!$C$5)),OR(클레임조회!$C$6="",$C1320=클레임조회!$C$6),OR(클레임조회!$C$7="",$D1320=클레임조회!$C$7),OR(클레임조회!$C$8="",$E1320=클레임조회!$C$8),OR(클레임조회!$C$9="",$F1320=클레임조회!$C$9),OR(클레임조회!$C$10="",ISNUMBER(SEARCH(클레임조회!$C$10,$C1320&amp;" "&amp;$F1320&amp;" "&amp;$G1320&amp;" "&amp;$H1320)))),COUNT(O$1:O1319)+1,"")</f>
        <v/>
      </c>
      <c r="P1320" s="0" t="str">
        <f aca="false">IF(AND(TRIM(C1320)&lt;&gt;"",COUNTIF(C$2:C1320,C1320)=1),MAX(P$1:P1319)+1,"")</f>
        <v/>
      </c>
      <c r="Q1320" s="0" t="str">
        <f aca="false">IF(AND(TRIM(F1320)&lt;&gt;"",COUNTIF(F$2:F1320,F1320)=1),MAX(Q$1:Q1319)+1,"")</f>
        <v/>
      </c>
    </row>
    <row r="1321" customFormat="false" ht="15" hidden="false" customHeight="false" outlineLevel="0" collapsed="false">
      <c r="A1321" s="9"/>
      <c r="B1321" s="10"/>
      <c r="C1321" s="11"/>
      <c r="D1321" s="11"/>
      <c r="E1321" s="11"/>
      <c r="F1321" s="11"/>
      <c r="G1321" s="12"/>
      <c r="H1321" s="12"/>
      <c r="I1321" s="10"/>
      <c r="J1321" s="12"/>
      <c r="K1321" s="13" t="str">
        <f aca="false">IF(ISNUMBER(B1321),YEAR(B1321),"")</f>
        <v/>
      </c>
      <c r="L1321" s="13" t="str">
        <f aca="false">IF(ISNUMBER(B1321),MONTH(B1321),"")</f>
        <v/>
      </c>
      <c r="M1321" s="13" t="str">
        <f aca="false">IF(AND(ISNUMBER(B1321),ISNUMBER(I1321)),B1321-I1321+1,"")</f>
        <v/>
      </c>
      <c r="N1321" s="14" t="str">
        <f aca="false">IF(B1321="","",IF(M1321="","시작일 미입력",IF(M1321&lt;1,"시작일 이전(확인)",IF(M1321=1,"1일째",IF(M1321=2,"2일째",IF(M1321=3,"3일째",IF(M1321&lt;=7,"일주일 이내",IF(M1321&lt;=14,"이주일 이내","15일 이후"))))))))</f>
        <v/>
      </c>
      <c r="O1321" s="0" t="str">
        <f aca="false">IF(AND(COUNTA($A1321:$J1321)&gt;0,OR(클레임조회!$C$4="",AND(ISNUMBER($B1321),$B1321&gt;=클레임조회!$C$4)),OR(클레임조회!$C$5="",AND(ISNUMBER($B1321),$B1321&lt;=클레임조회!$C$5)),OR(클레임조회!$C$6="",$C1321=클레임조회!$C$6),OR(클레임조회!$C$7="",$D1321=클레임조회!$C$7),OR(클레임조회!$C$8="",$E1321=클레임조회!$C$8),OR(클레임조회!$C$9="",$F1321=클레임조회!$C$9),OR(클레임조회!$C$10="",ISNUMBER(SEARCH(클레임조회!$C$10,$C1321&amp;" "&amp;$F1321&amp;" "&amp;$G1321&amp;" "&amp;$H1321)))),COUNT(O$1:O1320)+1,"")</f>
        <v/>
      </c>
      <c r="P1321" s="0" t="str">
        <f aca="false">IF(AND(TRIM(C1321)&lt;&gt;"",COUNTIF(C$2:C1321,C1321)=1),MAX(P$1:P1320)+1,"")</f>
        <v/>
      </c>
      <c r="Q1321" s="0" t="str">
        <f aca="false">IF(AND(TRIM(F1321)&lt;&gt;"",COUNTIF(F$2:F1321,F1321)=1),MAX(Q$1:Q1320)+1,"")</f>
        <v/>
      </c>
    </row>
    <row r="1322" customFormat="false" ht="15" hidden="false" customHeight="false" outlineLevel="0" collapsed="false">
      <c r="A1322" s="9"/>
      <c r="B1322" s="10"/>
      <c r="C1322" s="11"/>
      <c r="D1322" s="11"/>
      <c r="E1322" s="11"/>
      <c r="F1322" s="11"/>
      <c r="G1322" s="12"/>
      <c r="H1322" s="12"/>
      <c r="I1322" s="10"/>
      <c r="J1322" s="12"/>
      <c r="K1322" s="13" t="str">
        <f aca="false">IF(ISNUMBER(B1322),YEAR(B1322),"")</f>
        <v/>
      </c>
      <c r="L1322" s="13" t="str">
        <f aca="false">IF(ISNUMBER(B1322),MONTH(B1322),"")</f>
        <v/>
      </c>
      <c r="M1322" s="13" t="str">
        <f aca="false">IF(AND(ISNUMBER(B1322),ISNUMBER(I1322)),B1322-I1322+1,"")</f>
        <v/>
      </c>
      <c r="N1322" s="14" t="str">
        <f aca="false">IF(B1322="","",IF(M1322="","시작일 미입력",IF(M1322&lt;1,"시작일 이전(확인)",IF(M1322=1,"1일째",IF(M1322=2,"2일째",IF(M1322=3,"3일째",IF(M1322&lt;=7,"일주일 이내",IF(M1322&lt;=14,"이주일 이내","15일 이후"))))))))</f>
        <v/>
      </c>
      <c r="O1322" s="0" t="str">
        <f aca="false">IF(AND(COUNTA($A1322:$J1322)&gt;0,OR(클레임조회!$C$4="",AND(ISNUMBER($B1322),$B1322&gt;=클레임조회!$C$4)),OR(클레임조회!$C$5="",AND(ISNUMBER($B1322),$B1322&lt;=클레임조회!$C$5)),OR(클레임조회!$C$6="",$C1322=클레임조회!$C$6),OR(클레임조회!$C$7="",$D1322=클레임조회!$C$7),OR(클레임조회!$C$8="",$E1322=클레임조회!$C$8),OR(클레임조회!$C$9="",$F1322=클레임조회!$C$9),OR(클레임조회!$C$10="",ISNUMBER(SEARCH(클레임조회!$C$10,$C1322&amp;" "&amp;$F1322&amp;" "&amp;$G1322&amp;" "&amp;$H1322)))),COUNT(O$1:O1321)+1,"")</f>
        <v/>
      </c>
      <c r="P1322" s="0" t="str">
        <f aca="false">IF(AND(TRIM(C1322)&lt;&gt;"",COUNTIF(C$2:C1322,C1322)=1),MAX(P$1:P1321)+1,"")</f>
        <v/>
      </c>
      <c r="Q1322" s="0" t="str">
        <f aca="false">IF(AND(TRIM(F1322)&lt;&gt;"",COUNTIF(F$2:F1322,F1322)=1),MAX(Q$1:Q1321)+1,"")</f>
        <v/>
      </c>
    </row>
    <row r="1323" customFormat="false" ht="15" hidden="false" customHeight="false" outlineLevel="0" collapsed="false">
      <c r="A1323" s="9"/>
      <c r="B1323" s="10"/>
      <c r="C1323" s="11"/>
      <c r="D1323" s="11"/>
      <c r="E1323" s="11"/>
      <c r="F1323" s="11"/>
      <c r="G1323" s="12"/>
      <c r="H1323" s="12"/>
      <c r="I1323" s="10"/>
      <c r="J1323" s="12"/>
      <c r="K1323" s="13" t="str">
        <f aca="false">IF(ISNUMBER(B1323),YEAR(B1323),"")</f>
        <v/>
      </c>
      <c r="L1323" s="13" t="str">
        <f aca="false">IF(ISNUMBER(B1323),MONTH(B1323),"")</f>
        <v/>
      </c>
      <c r="M1323" s="13" t="str">
        <f aca="false">IF(AND(ISNUMBER(B1323),ISNUMBER(I1323)),B1323-I1323+1,"")</f>
        <v/>
      </c>
      <c r="N1323" s="14" t="str">
        <f aca="false">IF(B1323="","",IF(M1323="","시작일 미입력",IF(M1323&lt;1,"시작일 이전(확인)",IF(M1323=1,"1일째",IF(M1323=2,"2일째",IF(M1323=3,"3일째",IF(M1323&lt;=7,"일주일 이내",IF(M1323&lt;=14,"이주일 이내","15일 이후"))))))))</f>
        <v/>
      </c>
      <c r="O1323" s="0" t="str">
        <f aca="false">IF(AND(COUNTA($A1323:$J1323)&gt;0,OR(클레임조회!$C$4="",AND(ISNUMBER($B1323),$B1323&gt;=클레임조회!$C$4)),OR(클레임조회!$C$5="",AND(ISNUMBER($B1323),$B1323&lt;=클레임조회!$C$5)),OR(클레임조회!$C$6="",$C1323=클레임조회!$C$6),OR(클레임조회!$C$7="",$D1323=클레임조회!$C$7),OR(클레임조회!$C$8="",$E1323=클레임조회!$C$8),OR(클레임조회!$C$9="",$F1323=클레임조회!$C$9),OR(클레임조회!$C$10="",ISNUMBER(SEARCH(클레임조회!$C$10,$C1323&amp;" "&amp;$F1323&amp;" "&amp;$G1323&amp;" "&amp;$H1323)))),COUNT(O$1:O1322)+1,"")</f>
        <v/>
      </c>
      <c r="P1323" s="0" t="str">
        <f aca="false">IF(AND(TRIM(C1323)&lt;&gt;"",COUNTIF(C$2:C1323,C1323)=1),MAX(P$1:P1322)+1,"")</f>
        <v/>
      </c>
      <c r="Q1323" s="0" t="str">
        <f aca="false">IF(AND(TRIM(F1323)&lt;&gt;"",COUNTIF(F$2:F1323,F1323)=1),MAX(Q$1:Q1322)+1,"")</f>
        <v/>
      </c>
    </row>
    <row r="1324" customFormat="false" ht="15" hidden="false" customHeight="false" outlineLevel="0" collapsed="false">
      <c r="A1324" s="9"/>
      <c r="B1324" s="10"/>
      <c r="C1324" s="11"/>
      <c r="D1324" s="11"/>
      <c r="E1324" s="11"/>
      <c r="F1324" s="11"/>
      <c r="G1324" s="12"/>
      <c r="H1324" s="12"/>
      <c r="I1324" s="10"/>
      <c r="J1324" s="12"/>
      <c r="K1324" s="13" t="str">
        <f aca="false">IF(ISNUMBER(B1324),YEAR(B1324),"")</f>
        <v/>
      </c>
      <c r="L1324" s="13" t="str">
        <f aca="false">IF(ISNUMBER(B1324),MONTH(B1324),"")</f>
        <v/>
      </c>
      <c r="M1324" s="13" t="str">
        <f aca="false">IF(AND(ISNUMBER(B1324),ISNUMBER(I1324)),B1324-I1324+1,"")</f>
        <v/>
      </c>
      <c r="N1324" s="14" t="str">
        <f aca="false">IF(B1324="","",IF(M1324="","시작일 미입력",IF(M1324&lt;1,"시작일 이전(확인)",IF(M1324=1,"1일째",IF(M1324=2,"2일째",IF(M1324=3,"3일째",IF(M1324&lt;=7,"일주일 이내",IF(M1324&lt;=14,"이주일 이내","15일 이후"))))))))</f>
        <v/>
      </c>
      <c r="O1324" s="0" t="str">
        <f aca="false">IF(AND(COUNTA($A1324:$J1324)&gt;0,OR(클레임조회!$C$4="",AND(ISNUMBER($B1324),$B1324&gt;=클레임조회!$C$4)),OR(클레임조회!$C$5="",AND(ISNUMBER($B1324),$B1324&lt;=클레임조회!$C$5)),OR(클레임조회!$C$6="",$C1324=클레임조회!$C$6),OR(클레임조회!$C$7="",$D1324=클레임조회!$C$7),OR(클레임조회!$C$8="",$E1324=클레임조회!$C$8),OR(클레임조회!$C$9="",$F1324=클레임조회!$C$9),OR(클레임조회!$C$10="",ISNUMBER(SEARCH(클레임조회!$C$10,$C1324&amp;" "&amp;$F1324&amp;" "&amp;$G1324&amp;" "&amp;$H1324)))),COUNT(O$1:O1323)+1,"")</f>
        <v/>
      </c>
      <c r="P1324" s="0" t="str">
        <f aca="false">IF(AND(TRIM(C1324)&lt;&gt;"",COUNTIF(C$2:C1324,C1324)=1),MAX(P$1:P1323)+1,"")</f>
        <v/>
      </c>
      <c r="Q1324" s="0" t="str">
        <f aca="false">IF(AND(TRIM(F1324)&lt;&gt;"",COUNTIF(F$2:F1324,F1324)=1),MAX(Q$1:Q1323)+1,"")</f>
        <v/>
      </c>
    </row>
    <row r="1325" customFormat="false" ht="15" hidden="false" customHeight="false" outlineLevel="0" collapsed="false">
      <c r="A1325" s="9"/>
      <c r="B1325" s="10"/>
      <c r="C1325" s="11"/>
      <c r="D1325" s="11"/>
      <c r="E1325" s="11"/>
      <c r="F1325" s="11"/>
      <c r="G1325" s="12"/>
      <c r="H1325" s="12"/>
      <c r="I1325" s="10"/>
      <c r="J1325" s="12"/>
      <c r="K1325" s="13" t="str">
        <f aca="false">IF(ISNUMBER(B1325),YEAR(B1325),"")</f>
        <v/>
      </c>
      <c r="L1325" s="13" t="str">
        <f aca="false">IF(ISNUMBER(B1325),MONTH(B1325),"")</f>
        <v/>
      </c>
      <c r="M1325" s="13" t="str">
        <f aca="false">IF(AND(ISNUMBER(B1325),ISNUMBER(I1325)),B1325-I1325+1,"")</f>
        <v/>
      </c>
      <c r="N1325" s="14" t="str">
        <f aca="false">IF(B1325="","",IF(M1325="","시작일 미입력",IF(M1325&lt;1,"시작일 이전(확인)",IF(M1325=1,"1일째",IF(M1325=2,"2일째",IF(M1325=3,"3일째",IF(M1325&lt;=7,"일주일 이내",IF(M1325&lt;=14,"이주일 이내","15일 이후"))))))))</f>
        <v/>
      </c>
      <c r="O1325" s="0" t="str">
        <f aca="false">IF(AND(COUNTA($A1325:$J1325)&gt;0,OR(클레임조회!$C$4="",AND(ISNUMBER($B1325),$B1325&gt;=클레임조회!$C$4)),OR(클레임조회!$C$5="",AND(ISNUMBER($B1325),$B1325&lt;=클레임조회!$C$5)),OR(클레임조회!$C$6="",$C1325=클레임조회!$C$6),OR(클레임조회!$C$7="",$D1325=클레임조회!$C$7),OR(클레임조회!$C$8="",$E1325=클레임조회!$C$8),OR(클레임조회!$C$9="",$F1325=클레임조회!$C$9),OR(클레임조회!$C$10="",ISNUMBER(SEARCH(클레임조회!$C$10,$C1325&amp;" "&amp;$F1325&amp;" "&amp;$G1325&amp;" "&amp;$H1325)))),COUNT(O$1:O1324)+1,"")</f>
        <v/>
      </c>
      <c r="P1325" s="0" t="str">
        <f aca="false">IF(AND(TRIM(C1325)&lt;&gt;"",COUNTIF(C$2:C1325,C1325)=1),MAX(P$1:P1324)+1,"")</f>
        <v/>
      </c>
      <c r="Q1325" s="0" t="str">
        <f aca="false">IF(AND(TRIM(F1325)&lt;&gt;"",COUNTIF(F$2:F1325,F1325)=1),MAX(Q$1:Q1324)+1,"")</f>
        <v/>
      </c>
    </row>
    <row r="1326" customFormat="false" ht="15" hidden="false" customHeight="false" outlineLevel="0" collapsed="false">
      <c r="A1326" s="9"/>
      <c r="B1326" s="10"/>
      <c r="C1326" s="11"/>
      <c r="D1326" s="11"/>
      <c r="E1326" s="11"/>
      <c r="F1326" s="11"/>
      <c r="G1326" s="12"/>
      <c r="H1326" s="12"/>
      <c r="I1326" s="10"/>
      <c r="J1326" s="12"/>
      <c r="K1326" s="13" t="str">
        <f aca="false">IF(ISNUMBER(B1326),YEAR(B1326),"")</f>
        <v/>
      </c>
      <c r="L1326" s="13" t="str">
        <f aca="false">IF(ISNUMBER(B1326),MONTH(B1326),"")</f>
        <v/>
      </c>
      <c r="M1326" s="13" t="str">
        <f aca="false">IF(AND(ISNUMBER(B1326),ISNUMBER(I1326)),B1326-I1326+1,"")</f>
        <v/>
      </c>
      <c r="N1326" s="14" t="str">
        <f aca="false">IF(B1326="","",IF(M1326="","시작일 미입력",IF(M1326&lt;1,"시작일 이전(확인)",IF(M1326=1,"1일째",IF(M1326=2,"2일째",IF(M1326=3,"3일째",IF(M1326&lt;=7,"일주일 이내",IF(M1326&lt;=14,"이주일 이내","15일 이후"))))))))</f>
        <v/>
      </c>
      <c r="O1326" s="0" t="str">
        <f aca="false">IF(AND(COUNTA($A1326:$J1326)&gt;0,OR(클레임조회!$C$4="",AND(ISNUMBER($B1326),$B1326&gt;=클레임조회!$C$4)),OR(클레임조회!$C$5="",AND(ISNUMBER($B1326),$B1326&lt;=클레임조회!$C$5)),OR(클레임조회!$C$6="",$C1326=클레임조회!$C$6),OR(클레임조회!$C$7="",$D1326=클레임조회!$C$7),OR(클레임조회!$C$8="",$E1326=클레임조회!$C$8),OR(클레임조회!$C$9="",$F1326=클레임조회!$C$9),OR(클레임조회!$C$10="",ISNUMBER(SEARCH(클레임조회!$C$10,$C1326&amp;" "&amp;$F1326&amp;" "&amp;$G1326&amp;" "&amp;$H1326)))),COUNT(O$1:O1325)+1,"")</f>
        <v/>
      </c>
      <c r="P1326" s="0" t="str">
        <f aca="false">IF(AND(TRIM(C1326)&lt;&gt;"",COUNTIF(C$2:C1326,C1326)=1),MAX(P$1:P1325)+1,"")</f>
        <v/>
      </c>
      <c r="Q1326" s="0" t="str">
        <f aca="false">IF(AND(TRIM(F1326)&lt;&gt;"",COUNTIF(F$2:F1326,F1326)=1),MAX(Q$1:Q1325)+1,"")</f>
        <v/>
      </c>
    </row>
    <row r="1327" customFormat="false" ht="15" hidden="false" customHeight="false" outlineLevel="0" collapsed="false">
      <c r="A1327" s="9"/>
      <c r="B1327" s="10"/>
      <c r="C1327" s="11"/>
      <c r="D1327" s="11"/>
      <c r="E1327" s="11"/>
      <c r="F1327" s="11"/>
      <c r="G1327" s="12"/>
      <c r="H1327" s="12"/>
      <c r="I1327" s="10"/>
      <c r="J1327" s="12"/>
      <c r="K1327" s="13" t="str">
        <f aca="false">IF(ISNUMBER(B1327),YEAR(B1327),"")</f>
        <v/>
      </c>
      <c r="L1327" s="13" t="str">
        <f aca="false">IF(ISNUMBER(B1327),MONTH(B1327),"")</f>
        <v/>
      </c>
      <c r="M1327" s="13" t="str">
        <f aca="false">IF(AND(ISNUMBER(B1327),ISNUMBER(I1327)),B1327-I1327+1,"")</f>
        <v/>
      </c>
      <c r="N1327" s="14" t="str">
        <f aca="false">IF(B1327="","",IF(M1327="","시작일 미입력",IF(M1327&lt;1,"시작일 이전(확인)",IF(M1327=1,"1일째",IF(M1327=2,"2일째",IF(M1327=3,"3일째",IF(M1327&lt;=7,"일주일 이내",IF(M1327&lt;=14,"이주일 이내","15일 이후"))))))))</f>
        <v/>
      </c>
      <c r="O1327" s="0" t="str">
        <f aca="false">IF(AND(COUNTA($A1327:$J1327)&gt;0,OR(클레임조회!$C$4="",AND(ISNUMBER($B1327),$B1327&gt;=클레임조회!$C$4)),OR(클레임조회!$C$5="",AND(ISNUMBER($B1327),$B1327&lt;=클레임조회!$C$5)),OR(클레임조회!$C$6="",$C1327=클레임조회!$C$6),OR(클레임조회!$C$7="",$D1327=클레임조회!$C$7),OR(클레임조회!$C$8="",$E1327=클레임조회!$C$8),OR(클레임조회!$C$9="",$F1327=클레임조회!$C$9),OR(클레임조회!$C$10="",ISNUMBER(SEARCH(클레임조회!$C$10,$C1327&amp;" "&amp;$F1327&amp;" "&amp;$G1327&amp;" "&amp;$H1327)))),COUNT(O$1:O1326)+1,"")</f>
        <v/>
      </c>
      <c r="P1327" s="0" t="str">
        <f aca="false">IF(AND(TRIM(C1327)&lt;&gt;"",COUNTIF(C$2:C1327,C1327)=1),MAX(P$1:P1326)+1,"")</f>
        <v/>
      </c>
      <c r="Q1327" s="0" t="str">
        <f aca="false">IF(AND(TRIM(F1327)&lt;&gt;"",COUNTIF(F$2:F1327,F1327)=1),MAX(Q$1:Q1326)+1,"")</f>
        <v/>
      </c>
    </row>
    <row r="1328" customFormat="false" ht="15" hidden="false" customHeight="false" outlineLevel="0" collapsed="false">
      <c r="A1328" s="9"/>
      <c r="B1328" s="10"/>
      <c r="C1328" s="11"/>
      <c r="D1328" s="11"/>
      <c r="E1328" s="11"/>
      <c r="F1328" s="11"/>
      <c r="G1328" s="12"/>
      <c r="H1328" s="12"/>
      <c r="I1328" s="10"/>
      <c r="J1328" s="12"/>
      <c r="K1328" s="13" t="str">
        <f aca="false">IF(ISNUMBER(B1328),YEAR(B1328),"")</f>
        <v/>
      </c>
      <c r="L1328" s="13" t="str">
        <f aca="false">IF(ISNUMBER(B1328),MONTH(B1328),"")</f>
        <v/>
      </c>
      <c r="M1328" s="13" t="str">
        <f aca="false">IF(AND(ISNUMBER(B1328),ISNUMBER(I1328)),B1328-I1328+1,"")</f>
        <v/>
      </c>
      <c r="N1328" s="14" t="str">
        <f aca="false">IF(B1328="","",IF(M1328="","시작일 미입력",IF(M1328&lt;1,"시작일 이전(확인)",IF(M1328=1,"1일째",IF(M1328=2,"2일째",IF(M1328=3,"3일째",IF(M1328&lt;=7,"일주일 이내",IF(M1328&lt;=14,"이주일 이내","15일 이후"))))))))</f>
        <v/>
      </c>
      <c r="O1328" s="0" t="str">
        <f aca="false">IF(AND(COUNTA($A1328:$J1328)&gt;0,OR(클레임조회!$C$4="",AND(ISNUMBER($B1328),$B1328&gt;=클레임조회!$C$4)),OR(클레임조회!$C$5="",AND(ISNUMBER($B1328),$B1328&lt;=클레임조회!$C$5)),OR(클레임조회!$C$6="",$C1328=클레임조회!$C$6),OR(클레임조회!$C$7="",$D1328=클레임조회!$C$7),OR(클레임조회!$C$8="",$E1328=클레임조회!$C$8),OR(클레임조회!$C$9="",$F1328=클레임조회!$C$9),OR(클레임조회!$C$10="",ISNUMBER(SEARCH(클레임조회!$C$10,$C1328&amp;" "&amp;$F1328&amp;" "&amp;$G1328&amp;" "&amp;$H1328)))),COUNT(O$1:O1327)+1,"")</f>
        <v/>
      </c>
      <c r="P1328" s="0" t="str">
        <f aca="false">IF(AND(TRIM(C1328)&lt;&gt;"",COUNTIF(C$2:C1328,C1328)=1),MAX(P$1:P1327)+1,"")</f>
        <v/>
      </c>
      <c r="Q1328" s="0" t="str">
        <f aca="false">IF(AND(TRIM(F1328)&lt;&gt;"",COUNTIF(F$2:F1328,F1328)=1),MAX(Q$1:Q1327)+1,"")</f>
        <v/>
      </c>
    </row>
    <row r="1329" customFormat="false" ht="15" hidden="false" customHeight="false" outlineLevel="0" collapsed="false">
      <c r="A1329" s="9"/>
      <c r="B1329" s="10"/>
      <c r="C1329" s="11"/>
      <c r="D1329" s="11"/>
      <c r="E1329" s="11"/>
      <c r="F1329" s="11"/>
      <c r="G1329" s="12"/>
      <c r="H1329" s="12"/>
      <c r="I1329" s="10"/>
      <c r="J1329" s="12"/>
      <c r="K1329" s="13" t="str">
        <f aca="false">IF(ISNUMBER(B1329),YEAR(B1329),"")</f>
        <v/>
      </c>
      <c r="L1329" s="13" t="str">
        <f aca="false">IF(ISNUMBER(B1329),MONTH(B1329),"")</f>
        <v/>
      </c>
      <c r="M1329" s="13" t="str">
        <f aca="false">IF(AND(ISNUMBER(B1329),ISNUMBER(I1329)),B1329-I1329+1,"")</f>
        <v/>
      </c>
      <c r="N1329" s="14" t="str">
        <f aca="false">IF(B1329="","",IF(M1329="","시작일 미입력",IF(M1329&lt;1,"시작일 이전(확인)",IF(M1329=1,"1일째",IF(M1329=2,"2일째",IF(M1329=3,"3일째",IF(M1329&lt;=7,"일주일 이내",IF(M1329&lt;=14,"이주일 이내","15일 이후"))))))))</f>
        <v/>
      </c>
      <c r="O1329" s="0" t="str">
        <f aca="false">IF(AND(COUNTA($A1329:$J1329)&gt;0,OR(클레임조회!$C$4="",AND(ISNUMBER($B1329),$B1329&gt;=클레임조회!$C$4)),OR(클레임조회!$C$5="",AND(ISNUMBER($B1329),$B1329&lt;=클레임조회!$C$5)),OR(클레임조회!$C$6="",$C1329=클레임조회!$C$6),OR(클레임조회!$C$7="",$D1329=클레임조회!$C$7),OR(클레임조회!$C$8="",$E1329=클레임조회!$C$8),OR(클레임조회!$C$9="",$F1329=클레임조회!$C$9),OR(클레임조회!$C$10="",ISNUMBER(SEARCH(클레임조회!$C$10,$C1329&amp;" "&amp;$F1329&amp;" "&amp;$G1329&amp;" "&amp;$H1329)))),COUNT(O$1:O1328)+1,"")</f>
        <v/>
      </c>
      <c r="P1329" s="0" t="str">
        <f aca="false">IF(AND(TRIM(C1329)&lt;&gt;"",COUNTIF(C$2:C1329,C1329)=1),MAX(P$1:P1328)+1,"")</f>
        <v/>
      </c>
      <c r="Q1329" s="0" t="str">
        <f aca="false">IF(AND(TRIM(F1329)&lt;&gt;"",COUNTIF(F$2:F1329,F1329)=1),MAX(Q$1:Q1328)+1,"")</f>
        <v/>
      </c>
    </row>
    <row r="1330" customFormat="false" ht="15" hidden="false" customHeight="false" outlineLevel="0" collapsed="false">
      <c r="A1330" s="9"/>
      <c r="B1330" s="10"/>
      <c r="C1330" s="11"/>
      <c r="D1330" s="11"/>
      <c r="E1330" s="11"/>
      <c r="F1330" s="11"/>
      <c r="G1330" s="12"/>
      <c r="H1330" s="12"/>
      <c r="I1330" s="10"/>
      <c r="J1330" s="12"/>
      <c r="K1330" s="13" t="str">
        <f aca="false">IF(ISNUMBER(B1330),YEAR(B1330),"")</f>
        <v/>
      </c>
      <c r="L1330" s="13" t="str">
        <f aca="false">IF(ISNUMBER(B1330),MONTH(B1330),"")</f>
        <v/>
      </c>
      <c r="M1330" s="13" t="str">
        <f aca="false">IF(AND(ISNUMBER(B1330),ISNUMBER(I1330)),B1330-I1330+1,"")</f>
        <v/>
      </c>
      <c r="N1330" s="14" t="str">
        <f aca="false">IF(B1330="","",IF(M1330="","시작일 미입력",IF(M1330&lt;1,"시작일 이전(확인)",IF(M1330=1,"1일째",IF(M1330=2,"2일째",IF(M1330=3,"3일째",IF(M1330&lt;=7,"일주일 이내",IF(M1330&lt;=14,"이주일 이내","15일 이후"))))))))</f>
        <v/>
      </c>
      <c r="O1330" s="0" t="str">
        <f aca="false">IF(AND(COUNTA($A1330:$J1330)&gt;0,OR(클레임조회!$C$4="",AND(ISNUMBER($B1330),$B1330&gt;=클레임조회!$C$4)),OR(클레임조회!$C$5="",AND(ISNUMBER($B1330),$B1330&lt;=클레임조회!$C$5)),OR(클레임조회!$C$6="",$C1330=클레임조회!$C$6),OR(클레임조회!$C$7="",$D1330=클레임조회!$C$7),OR(클레임조회!$C$8="",$E1330=클레임조회!$C$8),OR(클레임조회!$C$9="",$F1330=클레임조회!$C$9),OR(클레임조회!$C$10="",ISNUMBER(SEARCH(클레임조회!$C$10,$C1330&amp;" "&amp;$F1330&amp;" "&amp;$G1330&amp;" "&amp;$H1330)))),COUNT(O$1:O1329)+1,"")</f>
        <v/>
      </c>
      <c r="P1330" s="0" t="str">
        <f aca="false">IF(AND(TRIM(C1330)&lt;&gt;"",COUNTIF(C$2:C1330,C1330)=1),MAX(P$1:P1329)+1,"")</f>
        <v/>
      </c>
      <c r="Q1330" s="0" t="str">
        <f aca="false">IF(AND(TRIM(F1330)&lt;&gt;"",COUNTIF(F$2:F1330,F1330)=1),MAX(Q$1:Q1329)+1,"")</f>
        <v/>
      </c>
    </row>
    <row r="1331" customFormat="false" ht="15" hidden="false" customHeight="false" outlineLevel="0" collapsed="false">
      <c r="A1331" s="9"/>
      <c r="B1331" s="10"/>
      <c r="C1331" s="11"/>
      <c r="D1331" s="11"/>
      <c r="E1331" s="11"/>
      <c r="F1331" s="11"/>
      <c r="G1331" s="12"/>
      <c r="H1331" s="12"/>
      <c r="I1331" s="10"/>
      <c r="J1331" s="12"/>
      <c r="K1331" s="13" t="str">
        <f aca="false">IF(ISNUMBER(B1331),YEAR(B1331),"")</f>
        <v/>
      </c>
      <c r="L1331" s="13" t="str">
        <f aca="false">IF(ISNUMBER(B1331),MONTH(B1331),"")</f>
        <v/>
      </c>
      <c r="M1331" s="13" t="str">
        <f aca="false">IF(AND(ISNUMBER(B1331),ISNUMBER(I1331)),B1331-I1331+1,"")</f>
        <v/>
      </c>
      <c r="N1331" s="14" t="str">
        <f aca="false">IF(B1331="","",IF(M1331="","시작일 미입력",IF(M1331&lt;1,"시작일 이전(확인)",IF(M1331=1,"1일째",IF(M1331=2,"2일째",IF(M1331=3,"3일째",IF(M1331&lt;=7,"일주일 이내",IF(M1331&lt;=14,"이주일 이내","15일 이후"))))))))</f>
        <v/>
      </c>
      <c r="O1331" s="0" t="str">
        <f aca="false">IF(AND(COUNTA($A1331:$J1331)&gt;0,OR(클레임조회!$C$4="",AND(ISNUMBER($B1331),$B1331&gt;=클레임조회!$C$4)),OR(클레임조회!$C$5="",AND(ISNUMBER($B1331),$B1331&lt;=클레임조회!$C$5)),OR(클레임조회!$C$6="",$C1331=클레임조회!$C$6),OR(클레임조회!$C$7="",$D1331=클레임조회!$C$7),OR(클레임조회!$C$8="",$E1331=클레임조회!$C$8),OR(클레임조회!$C$9="",$F1331=클레임조회!$C$9),OR(클레임조회!$C$10="",ISNUMBER(SEARCH(클레임조회!$C$10,$C1331&amp;" "&amp;$F1331&amp;" "&amp;$G1331&amp;" "&amp;$H1331)))),COUNT(O$1:O1330)+1,"")</f>
        <v/>
      </c>
      <c r="P1331" s="0" t="str">
        <f aca="false">IF(AND(TRIM(C1331)&lt;&gt;"",COUNTIF(C$2:C1331,C1331)=1),MAX(P$1:P1330)+1,"")</f>
        <v/>
      </c>
      <c r="Q1331" s="0" t="str">
        <f aca="false">IF(AND(TRIM(F1331)&lt;&gt;"",COUNTIF(F$2:F1331,F1331)=1),MAX(Q$1:Q1330)+1,"")</f>
        <v/>
      </c>
    </row>
    <row r="1332" customFormat="false" ht="15" hidden="false" customHeight="false" outlineLevel="0" collapsed="false">
      <c r="A1332" s="9"/>
      <c r="B1332" s="10"/>
      <c r="C1332" s="11"/>
      <c r="D1332" s="11"/>
      <c r="E1332" s="11"/>
      <c r="F1332" s="11"/>
      <c r="G1332" s="12"/>
      <c r="H1332" s="12"/>
      <c r="I1332" s="10"/>
      <c r="J1332" s="12"/>
      <c r="K1332" s="13" t="str">
        <f aca="false">IF(ISNUMBER(B1332),YEAR(B1332),"")</f>
        <v/>
      </c>
      <c r="L1332" s="13" t="str">
        <f aca="false">IF(ISNUMBER(B1332),MONTH(B1332),"")</f>
        <v/>
      </c>
      <c r="M1332" s="13" t="str">
        <f aca="false">IF(AND(ISNUMBER(B1332),ISNUMBER(I1332)),B1332-I1332+1,"")</f>
        <v/>
      </c>
      <c r="N1332" s="14" t="str">
        <f aca="false">IF(B1332="","",IF(M1332="","시작일 미입력",IF(M1332&lt;1,"시작일 이전(확인)",IF(M1332=1,"1일째",IF(M1332=2,"2일째",IF(M1332=3,"3일째",IF(M1332&lt;=7,"일주일 이내",IF(M1332&lt;=14,"이주일 이내","15일 이후"))))))))</f>
        <v/>
      </c>
      <c r="O1332" s="0" t="str">
        <f aca="false">IF(AND(COUNTA($A1332:$J1332)&gt;0,OR(클레임조회!$C$4="",AND(ISNUMBER($B1332),$B1332&gt;=클레임조회!$C$4)),OR(클레임조회!$C$5="",AND(ISNUMBER($B1332),$B1332&lt;=클레임조회!$C$5)),OR(클레임조회!$C$6="",$C1332=클레임조회!$C$6),OR(클레임조회!$C$7="",$D1332=클레임조회!$C$7),OR(클레임조회!$C$8="",$E1332=클레임조회!$C$8),OR(클레임조회!$C$9="",$F1332=클레임조회!$C$9),OR(클레임조회!$C$10="",ISNUMBER(SEARCH(클레임조회!$C$10,$C1332&amp;" "&amp;$F1332&amp;" "&amp;$G1332&amp;" "&amp;$H1332)))),COUNT(O$1:O1331)+1,"")</f>
        <v/>
      </c>
      <c r="P1332" s="0" t="str">
        <f aca="false">IF(AND(TRIM(C1332)&lt;&gt;"",COUNTIF(C$2:C1332,C1332)=1),MAX(P$1:P1331)+1,"")</f>
        <v/>
      </c>
      <c r="Q1332" s="0" t="str">
        <f aca="false">IF(AND(TRIM(F1332)&lt;&gt;"",COUNTIF(F$2:F1332,F1332)=1),MAX(Q$1:Q1331)+1,"")</f>
        <v/>
      </c>
    </row>
    <row r="1333" customFormat="false" ht="15" hidden="false" customHeight="false" outlineLevel="0" collapsed="false">
      <c r="A1333" s="9"/>
      <c r="B1333" s="10"/>
      <c r="C1333" s="11"/>
      <c r="D1333" s="11"/>
      <c r="E1333" s="11"/>
      <c r="F1333" s="11"/>
      <c r="G1333" s="12"/>
      <c r="H1333" s="12"/>
      <c r="I1333" s="10"/>
      <c r="J1333" s="12"/>
      <c r="K1333" s="13" t="str">
        <f aca="false">IF(ISNUMBER(B1333),YEAR(B1333),"")</f>
        <v/>
      </c>
      <c r="L1333" s="13" t="str">
        <f aca="false">IF(ISNUMBER(B1333),MONTH(B1333),"")</f>
        <v/>
      </c>
      <c r="M1333" s="13" t="str">
        <f aca="false">IF(AND(ISNUMBER(B1333),ISNUMBER(I1333)),B1333-I1333+1,"")</f>
        <v/>
      </c>
      <c r="N1333" s="14" t="str">
        <f aca="false">IF(B1333="","",IF(M1333="","시작일 미입력",IF(M1333&lt;1,"시작일 이전(확인)",IF(M1333=1,"1일째",IF(M1333=2,"2일째",IF(M1333=3,"3일째",IF(M1333&lt;=7,"일주일 이내",IF(M1333&lt;=14,"이주일 이내","15일 이후"))))))))</f>
        <v/>
      </c>
      <c r="O1333" s="0" t="str">
        <f aca="false">IF(AND(COUNTA($A1333:$J1333)&gt;0,OR(클레임조회!$C$4="",AND(ISNUMBER($B1333),$B1333&gt;=클레임조회!$C$4)),OR(클레임조회!$C$5="",AND(ISNUMBER($B1333),$B1333&lt;=클레임조회!$C$5)),OR(클레임조회!$C$6="",$C1333=클레임조회!$C$6),OR(클레임조회!$C$7="",$D1333=클레임조회!$C$7),OR(클레임조회!$C$8="",$E1333=클레임조회!$C$8),OR(클레임조회!$C$9="",$F1333=클레임조회!$C$9),OR(클레임조회!$C$10="",ISNUMBER(SEARCH(클레임조회!$C$10,$C1333&amp;" "&amp;$F1333&amp;" "&amp;$G1333&amp;" "&amp;$H1333)))),COUNT(O$1:O1332)+1,"")</f>
        <v/>
      </c>
      <c r="P1333" s="0" t="str">
        <f aca="false">IF(AND(TRIM(C1333)&lt;&gt;"",COUNTIF(C$2:C1333,C1333)=1),MAX(P$1:P1332)+1,"")</f>
        <v/>
      </c>
      <c r="Q1333" s="0" t="str">
        <f aca="false">IF(AND(TRIM(F1333)&lt;&gt;"",COUNTIF(F$2:F1333,F1333)=1),MAX(Q$1:Q1332)+1,"")</f>
        <v/>
      </c>
    </row>
    <row r="1334" customFormat="false" ht="15" hidden="false" customHeight="false" outlineLevel="0" collapsed="false">
      <c r="A1334" s="9"/>
      <c r="B1334" s="10"/>
      <c r="C1334" s="11"/>
      <c r="D1334" s="11"/>
      <c r="E1334" s="11"/>
      <c r="F1334" s="11"/>
      <c r="G1334" s="12"/>
      <c r="H1334" s="12"/>
      <c r="I1334" s="10"/>
      <c r="J1334" s="12"/>
      <c r="K1334" s="13" t="str">
        <f aca="false">IF(ISNUMBER(B1334),YEAR(B1334),"")</f>
        <v/>
      </c>
      <c r="L1334" s="13" t="str">
        <f aca="false">IF(ISNUMBER(B1334),MONTH(B1334),"")</f>
        <v/>
      </c>
      <c r="M1334" s="13" t="str">
        <f aca="false">IF(AND(ISNUMBER(B1334),ISNUMBER(I1334)),B1334-I1334+1,"")</f>
        <v/>
      </c>
      <c r="N1334" s="14" t="str">
        <f aca="false">IF(B1334="","",IF(M1334="","시작일 미입력",IF(M1334&lt;1,"시작일 이전(확인)",IF(M1334=1,"1일째",IF(M1334=2,"2일째",IF(M1334=3,"3일째",IF(M1334&lt;=7,"일주일 이내",IF(M1334&lt;=14,"이주일 이내","15일 이후"))))))))</f>
        <v/>
      </c>
      <c r="O1334" s="0" t="str">
        <f aca="false">IF(AND(COUNTA($A1334:$J1334)&gt;0,OR(클레임조회!$C$4="",AND(ISNUMBER($B1334),$B1334&gt;=클레임조회!$C$4)),OR(클레임조회!$C$5="",AND(ISNUMBER($B1334),$B1334&lt;=클레임조회!$C$5)),OR(클레임조회!$C$6="",$C1334=클레임조회!$C$6),OR(클레임조회!$C$7="",$D1334=클레임조회!$C$7),OR(클레임조회!$C$8="",$E1334=클레임조회!$C$8),OR(클레임조회!$C$9="",$F1334=클레임조회!$C$9),OR(클레임조회!$C$10="",ISNUMBER(SEARCH(클레임조회!$C$10,$C1334&amp;" "&amp;$F1334&amp;" "&amp;$G1334&amp;" "&amp;$H1334)))),COUNT(O$1:O1333)+1,"")</f>
        <v/>
      </c>
      <c r="P1334" s="0" t="str">
        <f aca="false">IF(AND(TRIM(C1334)&lt;&gt;"",COUNTIF(C$2:C1334,C1334)=1),MAX(P$1:P1333)+1,"")</f>
        <v/>
      </c>
      <c r="Q1334" s="0" t="str">
        <f aca="false">IF(AND(TRIM(F1334)&lt;&gt;"",COUNTIF(F$2:F1334,F1334)=1),MAX(Q$1:Q1333)+1,"")</f>
        <v/>
      </c>
    </row>
    <row r="1335" customFormat="false" ht="15" hidden="false" customHeight="false" outlineLevel="0" collapsed="false">
      <c r="A1335" s="9"/>
      <c r="B1335" s="10"/>
      <c r="C1335" s="11"/>
      <c r="D1335" s="11"/>
      <c r="E1335" s="11"/>
      <c r="F1335" s="11"/>
      <c r="G1335" s="12"/>
      <c r="H1335" s="12"/>
      <c r="I1335" s="10"/>
      <c r="J1335" s="12"/>
      <c r="K1335" s="13" t="str">
        <f aca="false">IF(ISNUMBER(B1335),YEAR(B1335),"")</f>
        <v/>
      </c>
      <c r="L1335" s="13" t="str">
        <f aca="false">IF(ISNUMBER(B1335),MONTH(B1335),"")</f>
        <v/>
      </c>
      <c r="M1335" s="13" t="str">
        <f aca="false">IF(AND(ISNUMBER(B1335),ISNUMBER(I1335)),B1335-I1335+1,"")</f>
        <v/>
      </c>
      <c r="N1335" s="14" t="str">
        <f aca="false">IF(B1335="","",IF(M1335="","시작일 미입력",IF(M1335&lt;1,"시작일 이전(확인)",IF(M1335=1,"1일째",IF(M1335=2,"2일째",IF(M1335=3,"3일째",IF(M1335&lt;=7,"일주일 이내",IF(M1335&lt;=14,"이주일 이내","15일 이후"))))))))</f>
        <v/>
      </c>
      <c r="O1335" s="0" t="str">
        <f aca="false">IF(AND(COUNTA($A1335:$J1335)&gt;0,OR(클레임조회!$C$4="",AND(ISNUMBER($B1335),$B1335&gt;=클레임조회!$C$4)),OR(클레임조회!$C$5="",AND(ISNUMBER($B1335),$B1335&lt;=클레임조회!$C$5)),OR(클레임조회!$C$6="",$C1335=클레임조회!$C$6),OR(클레임조회!$C$7="",$D1335=클레임조회!$C$7),OR(클레임조회!$C$8="",$E1335=클레임조회!$C$8),OR(클레임조회!$C$9="",$F1335=클레임조회!$C$9),OR(클레임조회!$C$10="",ISNUMBER(SEARCH(클레임조회!$C$10,$C1335&amp;" "&amp;$F1335&amp;" "&amp;$G1335&amp;" "&amp;$H1335)))),COUNT(O$1:O1334)+1,"")</f>
        <v/>
      </c>
      <c r="P1335" s="0" t="str">
        <f aca="false">IF(AND(TRIM(C1335)&lt;&gt;"",COUNTIF(C$2:C1335,C1335)=1),MAX(P$1:P1334)+1,"")</f>
        <v/>
      </c>
      <c r="Q1335" s="0" t="str">
        <f aca="false">IF(AND(TRIM(F1335)&lt;&gt;"",COUNTIF(F$2:F1335,F1335)=1),MAX(Q$1:Q1334)+1,"")</f>
        <v/>
      </c>
    </row>
    <row r="1336" customFormat="false" ht="15" hidden="false" customHeight="false" outlineLevel="0" collapsed="false">
      <c r="A1336" s="9"/>
      <c r="B1336" s="10"/>
      <c r="C1336" s="11"/>
      <c r="D1336" s="11"/>
      <c r="E1336" s="11"/>
      <c r="F1336" s="11"/>
      <c r="G1336" s="12"/>
      <c r="H1336" s="12"/>
      <c r="I1336" s="10"/>
      <c r="J1336" s="12"/>
      <c r="K1336" s="13" t="str">
        <f aca="false">IF(ISNUMBER(B1336),YEAR(B1336),"")</f>
        <v/>
      </c>
      <c r="L1336" s="13" t="str">
        <f aca="false">IF(ISNUMBER(B1336),MONTH(B1336),"")</f>
        <v/>
      </c>
      <c r="M1336" s="13" t="str">
        <f aca="false">IF(AND(ISNUMBER(B1336),ISNUMBER(I1336)),B1336-I1336+1,"")</f>
        <v/>
      </c>
      <c r="N1336" s="14" t="str">
        <f aca="false">IF(B1336="","",IF(M1336="","시작일 미입력",IF(M1336&lt;1,"시작일 이전(확인)",IF(M1336=1,"1일째",IF(M1336=2,"2일째",IF(M1336=3,"3일째",IF(M1336&lt;=7,"일주일 이내",IF(M1336&lt;=14,"이주일 이내","15일 이후"))))))))</f>
        <v/>
      </c>
      <c r="O1336" s="0" t="str">
        <f aca="false">IF(AND(COUNTA($A1336:$J1336)&gt;0,OR(클레임조회!$C$4="",AND(ISNUMBER($B1336),$B1336&gt;=클레임조회!$C$4)),OR(클레임조회!$C$5="",AND(ISNUMBER($B1336),$B1336&lt;=클레임조회!$C$5)),OR(클레임조회!$C$6="",$C1336=클레임조회!$C$6),OR(클레임조회!$C$7="",$D1336=클레임조회!$C$7),OR(클레임조회!$C$8="",$E1336=클레임조회!$C$8),OR(클레임조회!$C$9="",$F1336=클레임조회!$C$9),OR(클레임조회!$C$10="",ISNUMBER(SEARCH(클레임조회!$C$10,$C1336&amp;" "&amp;$F1336&amp;" "&amp;$G1336&amp;" "&amp;$H1336)))),COUNT(O$1:O1335)+1,"")</f>
        <v/>
      </c>
      <c r="P1336" s="0" t="str">
        <f aca="false">IF(AND(TRIM(C1336)&lt;&gt;"",COUNTIF(C$2:C1336,C1336)=1),MAX(P$1:P1335)+1,"")</f>
        <v/>
      </c>
      <c r="Q1336" s="0" t="str">
        <f aca="false">IF(AND(TRIM(F1336)&lt;&gt;"",COUNTIF(F$2:F1336,F1336)=1),MAX(Q$1:Q1335)+1,"")</f>
        <v/>
      </c>
    </row>
    <row r="1337" customFormat="false" ht="15" hidden="false" customHeight="false" outlineLevel="0" collapsed="false">
      <c r="A1337" s="9"/>
      <c r="B1337" s="10"/>
      <c r="C1337" s="11"/>
      <c r="D1337" s="11"/>
      <c r="E1337" s="11"/>
      <c r="F1337" s="11"/>
      <c r="G1337" s="12"/>
      <c r="H1337" s="12"/>
      <c r="I1337" s="10"/>
      <c r="J1337" s="12"/>
      <c r="K1337" s="13" t="str">
        <f aca="false">IF(ISNUMBER(B1337),YEAR(B1337),"")</f>
        <v/>
      </c>
      <c r="L1337" s="13" t="str">
        <f aca="false">IF(ISNUMBER(B1337),MONTH(B1337),"")</f>
        <v/>
      </c>
      <c r="M1337" s="13" t="str">
        <f aca="false">IF(AND(ISNUMBER(B1337),ISNUMBER(I1337)),B1337-I1337+1,"")</f>
        <v/>
      </c>
      <c r="N1337" s="14" t="str">
        <f aca="false">IF(B1337="","",IF(M1337="","시작일 미입력",IF(M1337&lt;1,"시작일 이전(확인)",IF(M1337=1,"1일째",IF(M1337=2,"2일째",IF(M1337=3,"3일째",IF(M1337&lt;=7,"일주일 이내",IF(M1337&lt;=14,"이주일 이내","15일 이후"))))))))</f>
        <v/>
      </c>
      <c r="O1337" s="0" t="str">
        <f aca="false">IF(AND(COUNTA($A1337:$J1337)&gt;0,OR(클레임조회!$C$4="",AND(ISNUMBER($B1337),$B1337&gt;=클레임조회!$C$4)),OR(클레임조회!$C$5="",AND(ISNUMBER($B1337),$B1337&lt;=클레임조회!$C$5)),OR(클레임조회!$C$6="",$C1337=클레임조회!$C$6),OR(클레임조회!$C$7="",$D1337=클레임조회!$C$7),OR(클레임조회!$C$8="",$E1337=클레임조회!$C$8),OR(클레임조회!$C$9="",$F1337=클레임조회!$C$9),OR(클레임조회!$C$10="",ISNUMBER(SEARCH(클레임조회!$C$10,$C1337&amp;" "&amp;$F1337&amp;" "&amp;$G1337&amp;" "&amp;$H1337)))),COUNT(O$1:O1336)+1,"")</f>
        <v/>
      </c>
      <c r="P1337" s="0" t="str">
        <f aca="false">IF(AND(TRIM(C1337)&lt;&gt;"",COUNTIF(C$2:C1337,C1337)=1),MAX(P$1:P1336)+1,"")</f>
        <v/>
      </c>
      <c r="Q1337" s="0" t="str">
        <f aca="false">IF(AND(TRIM(F1337)&lt;&gt;"",COUNTIF(F$2:F1337,F1337)=1),MAX(Q$1:Q1336)+1,"")</f>
        <v/>
      </c>
    </row>
    <row r="1338" customFormat="false" ht="15" hidden="false" customHeight="false" outlineLevel="0" collapsed="false">
      <c r="A1338" s="9"/>
      <c r="B1338" s="10"/>
      <c r="C1338" s="11"/>
      <c r="D1338" s="11"/>
      <c r="E1338" s="11"/>
      <c r="F1338" s="11"/>
      <c r="G1338" s="12"/>
      <c r="H1338" s="12"/>
      <c r="I1338" s="10"/>
      <c r="J1338" s="12"/>
      <c r="K1338" s="13" t="str">
        <f aca="false">IF(ISNUMBER(B1338),YEAR(B1338),"")</f>
        <v/>
      </c>
      <c r="L1338" s="13" t="str">
        <f aca="false">IF(ISNUMBER(B1338),MONTH(B1338),"")</f>
        <v/>
      </c>
      <c r="M1338" s="13" t="str">
        <f aca="false">IF(AND(ISNUMBER(B1338),ISNUMBER(I1338)),B1338-I1338+1,"")</f>
        <v/>
      </c>
      <c r="N1338" s="14" t="str">
        <f aca="false">IF(B1338="","",IF(M1338="","시작일 미입력",IF(M1338&lt;1,"시작일 이전(확인)",IF(M1338=1,"1일째",IF(M1338=2,"2일째",IF(M1338=3,"3일째",IF(M1338&lt;=7,"일주일 이내",IF(M1338&lt;=14,"이주일 이내","15일 이후"))))))))</f>
        <v/>
      </c>
      <c r="O1338" s="0" t="str">
        <f aca="false">IF(AND(COUNTA($A1338:$J1338)&gt;0,OR(클레임조회!$C$4="",AND(ISNUMBER($B1338),$B1338&gt;=클레임조회!$C$4)),OR(클레임조회!$C$5="",AND(ISNUMBER($B1338),$B1338&lt;=클레임조회!$C$5)),OR(클레임조회!$C$6="",$C1338=클레임조회!$C$6),OR(클레임조회!$C$7="",$D1338=클레임조회!$C$7),OR(클레임조회!$C$8="",$E1338=클레임조회!$C$8),OR(클레임조회!$C$9="",$F1338=클레임조회!$C$9),OR(클레임조회!$C$10="",ISNUMBER(SEARCH(클레임조회!$C$10,$C1338&amp;" "&amp;$F1338&amp;" "&amp;$G1338&amp;" "&amp;$H1338)))),COUNT(O$1:O1337)+1,"")</f>
        <v/>
      </c>
      <c r="P1338" s="0" t="str">
        <f aca="false">IF(AND(TRIM(C1338)&lt;&gt;"",COUNTIF(C$2:C1338,C1338)=1),MAX(P$1:P1337)+1,"")</f>
        <v/>
      </c>
      <c r="Q1338" s="0" t="str">
        <f aca="false">IF(AND(TRIM(F1338)&lt;&gt;"",COUNTIF(F$2:F1338,F1338)=1),MAX(Q$1:Q1337)+1,"")</f>
        <v/>
      </c>
    </row>
    <row r="1339" customFormat="false" ht="15" hidden="false" customHeight="false" outlineLevel="0" collapsed="false">
      <c r="A1339" s="9"/>
      <c r="B1339" s="10"/>
      <c r="C1339" s="11"/>
      <c r="D1339" s="11"/>
      <c r="E1339" s="11"/>
      <c r="F1339" s="11"/>
      <c r="G1339" s="12"/>
      <c r="H1339" s="12"/>
      <c r="I1339" s="10"/>
      <c r="J1339" s="12"/>
      <c r="K1339" s="13" t="str">
        <f aca="false">IF(ISNUMBER(B1339),YEAR(B1339),"")</f>
        <v/>
      </c>
      <c r="L1339" s="13" t="str">
        <f aca="false">IF(ISNUMBER(B1339),MONTH(B1339),"")</f>
        <v/>
      </c>
      <c r="M1339" s="13" t="str">
        <f aca="false">IF(AND(ISNUMBER(B1339),ISNUMBER(I1339)),B1339-I1339+1,"")</f>
        <v/>
      </c>
      <c r="N1339" s="14" t="str">
        <f aca="false">IF(B1339="","",IF(M1339="","시작일 미입력",IF(M1339&lt;1,"시작일 이전(확인)",IF(M1339=1,"1일째",IF(M1339=2,"2일째",IF(M1339=3,"3일째",IF(M1339&lt;=7,"일주일 이내",IF(M1339&lt;=14,"이주일 이내","15일 이후"))))))))</f>
        <v/>
      </c>
      <c r="O1339" s="0" t="str">
        <f aca="false">IF(AND(COUNTA($A1339:$J1339)&gt;0,OR(클레임조회!$C$4="",AND(ISNUMBER($B1339),$B1339&gt;=클레임조회!$C$4)),OR(클레임조회!$C$5="",AND(ISNUMBER($B1339),$B1339&lt;=클레임조회!$C$5)),OR(클레임조회!$C$6="",$C1339=클레임조회!$C$6),OR(클레임조회!$C$7="",$D1339=클레임조회!$C$7),OR(클레임조회!$C$8="",$E1339=클레임조회!$C$8),OR(클레임조회!$C$9="",$F1339=클레임조회!$C$9),OR(클레임조회!$C$10="",ISNUMBER(SEARCH(클레임조회!$C$10,$C1339&amp;" "&amp;$F1339&amp;" "&amp;$G1339&amp;" "&amp;$H1339)))),COUNT(O$1:O1338)+1,"")</f>
        <v/>
      </c>
      <c r="P1339" s="0" t="str">
        <f aca="false">IF(AND(TRIM(C1339)&lt;&gt;"",COUNTIF(C$2:C1339,C1339)=1),MAX(P$1:P1338)+1,"")</f>
        <v/>
      </c>
      <c r="Q1339" s="0" t="str">
        <f aca="false">IF(AND(TRIM(F1339)&lt;&gt;"",COUNTIF(F$2:F1339,F1339)=1),MAX(Q$1:Q1338)+1,"")</f>
        <v/>
      </c>
    </row>
    <row r="1340" customFormat="false" ht="15" hidden="false" customHeight="false" outlineLevel="0" collapsed="false">
      <c r="A1340" s="9"/>
      <c r="B1340" s="10"/>
      <c r="C1340" s="11"/>
      <c r="D1340" s="11"/>
      <c r="E1340" s="11"/>
      <c r="F1340" s="11"/>
      <c r="G1340" s="12"/>
      <c r="H1340" s="12"/>
      <c r="I1340" s="10"/>
      <c r="J1340" s="12"/>
      <c r="K1340" s="13" t="str">
        <f aca="false">IF(ISNUMBER(B1340),YEAR(B1340),"")</f>
        <v/>
      </c>
      <c r="L1340" s="13" t="str">
        <f aca="false">IF(ISNUMBER(B1340),MONTH(B1340),"")</f>
        <v/>
      </c>
      <c r="M1340" s="13" t="str">
        <f aca="false">IF(AND(ISNUMBER(B1340),ISNUMBER(I1340)),B1340-I1340+1,"")</f>
        <v/>
      </c>
      <c r="N1340" s="14" t="str">
        <f aca="false">IF(B1340="","",IF(M1340="","시작일 미입력",IF(M1340&lt;1,"시작일 이전(확인)",IF(M1340=1,"1일째",IF(M1340=2,"2일째",IF(M1340=3,"3일째",IF(M1340&lt;=7,"일주일 이내",IF(M1340&lt;=14,"이주일 이내","15일 이후"))))))))</f>
        <v/>
      </c>
      <c r="O1340" s="0" t="str">
        <f aca="false">IF(AND(COUNTA($A1340:$J1340)&gt;0,OR(클레임조회!$C$4="",AND(ISNUMBER($B1340),$B1340&gt;=클레임조회!$C$4)),OR(클레임조회!$C$5="",AND(ISNUMBER($B1340),$B1340&lt;=클레임조회!$C$5)),OR(클레임조회!$C$6="",$C1340=클레임조회!$C$6),OR(클레임조회!$C$7="",$D1340=클레임조회!$C$7),OR(클레임조회!$C$8="",$E1340=클레임조회!$C$8),OR(클레임조회!$C$9="",$F1340=클레임조회!$C$9),OR(클레임조회!$C$10="",ISNUMBER(SEARCH(클레임조회!$C$10,$C1340&amp;" "&amp;$F1340&amp;" "&amp;$G1340&amp;" "&amp;$H1340)))),COUNT(O$1:O1339)+1,"")</f>
        <v/>
      </c>
      <c r="P1340" s="0" t="str">
        <f aca="false">IF(AND(TRIM(C1340)&lt;&gt;"",COUNTIF(C$2:C1340,C1340)=1),MAX(P$1:P1339)+1,"")</f>
        <v/>
      </c>
      <c r="Q1340" s="0" t="str">
        <f aca="false">IF(AND(TRIM(F1340)&lt;&gt;"",COUNTIF(F$2:F1340,F1340)=1),MAX(Q$1:Q1339)+1,"")</f>
        <v/>
      </c>
    </row>
    <row r="1341" customFormat="false" ht="15" hidden="false" customHeight="false" outlineLevel="0" collapsed="false">
      <c r="A1341" s="9"/>
      <c r="B1341" s="10"/>
      <c r="C1341" s="11"/>
      <c r="D1341" s="11"/>
      <c r="E1341" s="11"/>
      <c r="F1341" s="11"/>
      <c r="G1341" s="12"/>
      <c r="H1341" s="12"/>
      <c r="I1341" s="10"/>
      <c r="J1341" s="12"/>
      <c r="K1341" s="13" t="str">
        <f aca="false">IF(ISNUMBER(B1341),YEAR(B1341),"")</f>
        <v/>
      </c>
      <c r="L1341" s="13" t="str">
        <f aca="false">IF(ISNUMBER(B1341),MONTH(B1341),"")</f>
        <v/>
      </c>
      <c r="M1341" s="13" t="str">
        <f aca="false">IF(AND(ISNUMBER(B1341),ISNUMBER(I1341)),B1341-I1341+1,"")</f>
        <v/>
      </c>
      <c r="N1341" s="14" t="str">
        <f aca="false">IF(B1341="","",IF(M1341="","시작일 미입력",IF(M1341&lt;1,"시작일 이전(확인)",IF(M1341=1,"1일째",IF(M1341=2,"2일째",IF(M1341=3,"3일째",IF(M1341&lt;=7,"일주일 이내",IF(M1341&lt;=14,"이주일 이내","15일 이후"))))))))</f>
        <v/>
      </c>
      <c r="O1341" s="0" t="str">
        <f aca="false">IF(AND(COUNTA($A1341:$J1341)&gt;0,OR(클레임조회!$C$4="",AND(ISNUMBER($B1341),$B1341&gt;=클레임조회!$C$4)),OR(클레임조회!$C$5="",AND(ISNUMBER($B1341),$B1341&lt;=클레임조회!$C$5)),OR(클레임조회!$C$6="",$C1341=클레임조회!$C$6),OR(클레임조회!$C$7="",$D1341=클레임조회!$C$7),OR(클레임조회!$C$8="",$E1341=클레임조회!$C$8),OR(클레임조회!$C$9="",$F1341=클레임조회!$C$9),OR(클레임조회!$C$10="",ISNUMBER(SEARCH(클레임조회!$C$10,$C1341&amp;" "&amp;$F1341&amp;" "&amp;$G1341&amp;" "&amp;$H1341)))),COUNT(O$1:O1340)+1,"")</f>
        <v/>
      </c>
      <c r="P1341" s="0" t="str">
        <f aca="false">IF(AND(TRIM(C1341)&lt;&gt;"",COUNTIF(C$2:C1341,C1341)=1),MAX(P$1:P1340)+1,"")</f>
        <v/>
      </c>
      <c r="Q1341" s="0" t="str">
        <f aca="false">IF(AND(TRIM(F1341)&lt;&gt;"",COUNTIF(F$2:F1341,F1341)=1),MAX(Q$1:Q1340)+1,"")</f>
        <v/>
      </c>
    </row>
    <row r="1342" customFormat="false" ht="15" hidden="false" customHeight="false" outlineLevel="0" collapsed="false">
      <c r="A1342" s="9"/>
      <c r="B1342" s="10"/>
      <c r="C1342" s="11"/>
      <c r="D1342" s="11"/>
      <c r="E1342" s="11"/>
      <c r="F1342" s="11"/>
      <c r="G1342" s="12"/>
      <c r="H1342" s="12"/>
      <c r="I1342" s="10"/>
      <c r="J1342" s="12"/>
      <c r="K1342" s="13" t="str">
        <f aca="false">IF(ISNUMBER(B1342),YEAR(B1342),"")</f>
        <v/>
      </c>
      <c r="L1342" s="13" t="str">
        <f aca="false">IF(ISNUMBER(B1342),MONTH(B1342),"")</f>
        <v/>
      </c>
      <c r="M1342" s="13" t="str">
        <f aca="false">IF(AND(ISNUMBER(B1342),ISNUMBER(I1342)),B1342-I1342+1,"")</f>
        <v/>
      </c>
      <c r="N1342" s="14" t="str">
        <f aca="false">IF(B1342="","",IF(M1342="","시작일 미입력",IF(M1342&lt;1,"시작일 이전(확인)",IF(M1342=1,"1일째",IF(M1342=2,"2일째",IF(M1342=3,"3일째",IF(M1342&lt;=7,"일주일 이내",IF(M1342&lt;=14,"이주일 이내","15일 이후"))))))))</f>
        <v/>
      </c>
      <c r="O1342" s="0" t="str">
        <f aca="false">IF(AND(COUNTA($A1342:$J1342)&gt;0,OR(클레임조회!$C$4="",AND(ISNUMBER($B1342),$B1342&gt;=클레임조회!$C$4)),OR(클레임조회!$C$5="",AND(ISNUMBER($B1342),$B1342&lt;=클레임조회!$C$5)),OR(클레임조회!$C$6="",$C1342=클레임조회!$C$6),OR(클레임조회!$C$7="",$D1342=클레임조회!$C$7),OR(클레임조회!$C$8="",$E1342=클레임조회!$C$8),OR(클레임조회!$C$9="",$F1342=클레임조회!$C$9),OR(클레임조회!$C$10="",ISNUMBER(SEARCH(클레임조회!$C$10,$C1342&amp;" "&amp;$F1342&amp;" "&amp;$G1342&amp;" "&amp;$H1342)))),COUNT(O$1:O1341)+1,"")</f>
        <v/>
      </c>
      <c r="P1342" s="0" t="str">
        <f aca="false">IF(AND(TRIM(C1342)&lt;&gt;"",COUNTIF(C$2:C1342,C1342)=1),MAX(P$1:P1341)+1,"")</f>
        <v/>
      </c>
      <c r="Q1342" s="0" t="str">
        <f aca="false">IF(AND(TRIM(F1342)&lt;&gt;"",COUNTIF(F$2:F1342,F1342)=1),MAX(Q$1:Q1341)+1,"")</f>
        <v/>
      </c>
    </row>
    <row r="1343" customFormat="false" ht="15" hidden="false" customHeight="false" outlineLevel="0" collapsed="false">
      <c r="A1343" s="9"/>
      <c r="B1343" s="10"/>
      <c r="C1343" s="11"/>
      <c r="D1343" s="11"/>
      <c r="E1343" s="11"/>
      <c r="F1343" s="11"/>
      <c r="G1343" s="12"/>
      <c r="H1343" s="12"/>
      <c r="I1343" s="10"/>
      <c r="J1343" s="12"/>
      <c r="K1343" s="13" t="str">
        <f aca="false">IF(ISNUMBER(B1343),YEAR(B1343),"")</f>
        <v/>
      </c>
      <c r="L1343" s="13" t="str">
        <f aca="false">IF(ISNUMBER(B1343),MONTH(B1343),"")</f>
        <v/>
      </c>
      <c r="M1343" s="13" t="str">
        <f aca="false">IF(AND(ISNUMBER(B1343),ISNUMBER(I1343)),B1343-I1343+1,"")</f>
        <v/>
      </c>
      <c r="N1343" s="14" t="str">
        <f aca="false">IF(B1343="","",IF(M1343="","시작일 미입력",IF(M1343&lt;1,"시작일 이전(확인)",IF(M1343=1,"1일째",IF(M1343=2,"2일째",IF(M1343=3,"3일째",IF(M1343&lt;=7,"일주일 이내",IF(M1343&lt;=14,"이주일 이내","15일 이후"))))))))</f>
        <v/>
      </c>
      <c r="O1343" s="0" t="str">
        <f aca="false">IF(AND(COUNTA($A1343:$J1343)&gt;0,OR(클레임조회!$C$4="",AND(ISNUMBER($B1343),$B1343&gt;=클레임조회!$C$4)),OR(클레임조회!$C$5="",AND(ISNUMBER($B1343),$B1343&lt;=클레임조회!$C$5)),OR(클레임조회!$C$6="",$C1343=클레임조회!$C$6),OR(클레임조회!$C$7="",$D1343=클레임조회!$C$7),OR(클레임조회!$C$8="",$E1343=클레임조회!$C$8),OR(클레임조회!$C$9="",$F1343=클레임조회!$C$9),OR(클레임조회!$C$10="",ISNUMBER(SEARCH(클레임조회!$C$10,$C1343&amp;" "&amp;$F1343&amp;" "&amp;$G1343&amp;" "&amp;$H1343)))),COUNT(O$1:O1342)+1,"")</f>
        <v/>
      </c>
      <c r="P1343" s="0" t="str">
        <f aca="false">IF(AND(TRIM(C1343)&lt;&gt;"",COUNTIF(C$2:C1343,C1343)=1),MAX(P$1:P1342)+1,"")</f>
        <v/>
      </c>
      <c r="Q1343" s="0" t="str">
        <f aca="false">IF(AND(TRIM(F1343)&lt;&gt;"",COUNTIF(F$2:F1343,F1343)=1),MAX(Q$1:Q1342)+1,"")</f>
        <v/>
      </c>
    </row>
    <row r="1344" customFormat="false" ht="15" hidden="false" customHeight="false" outlineLevel="0" collapsed="false">
      <c r="A1344" s="9"/>
      <c r="B1344" s="10"/>
      <c r="C1344" s="11"/>
      <c r="D1344" s="11"/>
      <c r="E1344" s="11"/>
      <c r="F1344" s="11"/>
      <c r="G1344" s="12"/>
      <c r="H1344" s="12"/>
      <c r="I1344" s="10"/>
      <c r="J1344" s="12"/>
      <c r="K1344" s="13" t="str">
        <f aca="false">IF(ISNUMBER(B1344),YEAR(B1344),"")</f>
        <v/>
      </c>
      <c r="L1344" s="13" t="str">
        <f aca="false">IF(ISNUMBER(B1344),MONTH(B1344),"")</f>
        <v/>
      </c>
      <c r="M1344" s="13" t="str">
        <f aca="false">IF(AND(ISNUMBER(B1344),ISNUMBER(I1344)),B1344-I1344+1,"")</f>
        <v/>
      </c>
      <c r="N1344" s="14" t="str">
        <f aca="false">IF(B1344="","",IF(M1344="","시작일 미입력",IF(M1344&lt;1,"시작일 이전(확인)",IF(M1344=1,"1일째",IF(M1344=2,"2일째",IF(M1344=3,"3일째",IF(M1344&lt;=7,"일주일 이내",IF(M1344&lt;=14,"이주일 이내","15일 이후"))))))))</f>
        <v/>
      </c>
      <c r="O1344" s="0" t="str">
        <f aca="false">IF(AND(COUNTA($A1344:$J1344)&gt;0,OR(클레임조회!$C$4="",AND(ISNUMBER($B1344),$B1344&gt;=클레임조회!$C$4)),OR(클레임조회!$C$5="",AND(ISNUMBER($B1344),$B1344&lt;=클레임조회!$C$5)),OR(클레임조회!$C$6="",$C1344=클레임조회!$C$6),OR(클레임조회!$C$7="",$D1344=클레임조회!$C$7),OR(클레임조회!$C$8="",$E1344=클레임조회!$C$8),OR(클레임조회!$C$9="",$F1344=클레임조회!$C$9),OR(클레임조회!$C$10="",ISNUMBER(SEARCH(클레임조회!$C$10,$C1344&amp;" "&amp;$F1344&amp;" "&amp;$G1344&amp;" "&amp;$H1344)))),COUNT(O$1:O1343)+1,"")</f>
        <v/>
      </c>
      <c r="P1344" s="0" t="str">
        <f aca="false">IF(AND(TRIM(C1344)&lt;&gt;"",COUNTIF(C$2:C1344,C1344)=1),MAX(P$1:P1343)+1,"")</f>
        <v/>
      </c>
      <c r="Q1344" s="0" t="str">
        <f aca="false">IF(AND(TRIM(F1344)&lt;&gt;"",COUNTIF(F$2:F1344,F1344)=1),MAX(Q$1:Q1343)+1,"")</f>
        <v/>
      </c>
    </row>
    <row r="1345" customFormat="false" ht="15" hidden="false" customHeight="false" outlineLevel="0" collapsed="false">
      <c r="A1345" s="9"/>
      <c r="B1345" s="10"/>
      <c r="C1345" s="11"/>
      <c r="D1345" s="11"/>
      <c r="E1345" s="11"/>
      <c r="F1345" s="11"/>
      <c r="G1345" s="12"/>
      <c r="H1345" s="12"/>
      <c r="I1345" s="10"/>
      <c r="J1345" s="12"/>
      <c r="K1345" s="13" t="str">
        <f aca="false">IF(ISNUMBER(B1345),YEAR(B1345),"")</f>
        <v/>
      </c>
      <c r="L1345" s="13" t="str">
        <f aca="false">IF(ISNUMBER(B1345),MONTH(B1345),"")</f>
        <v/>
      </c>
      <c r="M1345" s="13" t="str">
        <f aca="false">IF(AND(ISNUMBER(B1345),ISNUMBER(I1345)),B1345-I1345+1,"")</f>
        <v/>
      </c>
      <c r="N1345" s="14" t="str">
        <f aca="false">IF(B1345="","",IF(M1345="","시작일 미입력",IF(M1345&lt;1,"시작일 이전(확인)",IF(M1345=1,"1일째",IF(M1345=2,"2일째",IF(M1345=3,"3일째",IF(M1345&lt;=7,"일주일 이내",IF(M1345&lt;=14,"이주일 이내","15일 이후"))))))))</f>
        <v/>
      </c>
      <c r="O1345" s="0" t="str">
        <f aca="false">IF(AND(COUNTA($A1345:$J1345)&gt;0,OR(클레임조회!$C$4="",AND(ISNUMBER($B1345),$B1345&gt;=클레임조회!$C$4)),OR(클레임조회!$C$5="",AND(ISNUMBER($B1345),$B1345&lt;=클레임조회!$C$5)),OR(클레임조회!$C$6="",$C1345=클레임조회!$C$6),OR(클레임조회!$C$7="",$D1345=클레임조회!$C$7),OR(클레임조회!$C$8="",$E1345=클레임조회!$C$8),OR(클레임조회!$C$9="",$F1345=클레임조회!$C$9),OR(클레임조회!$C$10="",ISNUMBER(SEARCH(클레임조회!$C$10,$C1345&amp;" "&amp;$F1345&amp;" "&amp;$G1345&amp;" "&amp;$H1345)))),COUNT(O$1:O1344)+1,"")</f>
        <v/>
      </c>
      <c r="P1345" s="0" t="str">
        <f aca="false">IF(AND(TRIM(C1345)&lt;&gt;"",COUNTIF(C$2:C1345,C1345)=1),MAX(P$1:P1344)+1,"")</f>
        <v/>
      </c>
      <c r="Q1345" s="0" t="str">
        <f aca="false">IF(AND(TRIM(F1345)&lt;&gt;"",COUNTIF(F$2:F1345,F1345)=1),MAX(Q$1:Q1344)+1,"")</f>
        <v/>
      </c>
    </row>
    <row r="1346" customFormat="false" ht="15" hidden="false" customHeight="false" outlineLevel="0" collapsed="false">
      <c r="A1346" s="9"/>
      <c r="B1346" s="10"/>
      <c r="C1346" s="11"/>
      <c r="D1346" s="11"/>
      <c r="E1346" s="11"/>
      <c r="F1346" s="11"/>
      <c r="G1346" s="12"/>
      <c r="H1346" s="12"/>
      <c r="I1346" s="10"/>
      <c r="J1346" s="12"/>
      <c r="K1346" s="13" t="str">
        <f aca="false">IF(ISNUMBER(B1346),YEAR(B1346),"")</f>
        <v/>
      </c>
      <c r="L1346" s="13" t="str">
        <f aca="false">IF(ISNUMBER(B1346),MONTH(B1346),"")</f>
        <v/>
      </c>
      <c r="M1346" s="13" t="str">
        <f aca="false">IF(AND(ISNUMBER(B1346),ISNUMBER(I1346)),B1346-I1346+1,"")</f>
        <v/>
      </c>
      <c r="N1346" s="14" t="str">
        <f aca="false">IF(B1346="","",IF(M1346="","시작일 미입력",IF(M1346&lt;1,"시작일 이전(확인)",IF(M1346=1,"1일째",IF(M1346=2,"2일째",IF(M1346=3,"3일째",IF(M1346&lt;=7,"일주일 이내",IF(M1346&lt;=14,"이주일 이내","15일 이후"))))))))</f>
        <v/>
      </c>
      <c r="O1346" s="0" t="str">
        <f aca="false">IF(AND(COUNTA($A1346:$J1346)&gt;0,OR(클레임조회!$C$4="",AND(ISNUMBER($B1346),$B1346&gt;=클레임조회!$C$4)),OR(클레임조회!$C$5="",AND(ISNUMBER($B1346),$B1346&lt;=클레임조회!$C$5)),OR(클레임조회!$C$6="",$C1346=클레임조회!$C$6),OR(클레임조회!$C$7="",$D1346=클레임조회!$C$7),OR(클레임조회!$C$8="",$E1346=클레임조회!$C$8),OR(클레임조회!$C$9="",$F1346=클레임조회!$C$9),OR(클레임조회!$C$10="",ISNUMBER(SEARCH(클레임조회!$C$10,$C1346&amp;" "&amp;$F1346&amp;" "&amp;$G1346&amp;" "&amp;$H1346)))),COUNT(O$1:O1345)+1,"")</f>
        <v/>
      </c>
      <c r="P1346" s="0" t="str">
        <f aca="false">IF(AND(TRIM(C1346)&lt;&gt;"",COUNTIF(C$2:C1346,C1346)=1),MAX(P$1:P1345)+1,"")</f>
        <v/>
      </c>
      <c r="Q1346" s="0" t="str">
        <f aca="false">IF(AND(TRIM(F1346)&lt;&gt;"",COUNTIF(F$2:F1346,F1346)=1),MAX(Q$1:Q1345)+1,"")</f>
        <v/>
      </c>
    </row>
    <row r="1347" customFormat="false" ht="15" hidden="false" customHeight="false" outlineLevel="0" collapsed="false">
      <c r="A1347" s="9"/>
      <c r="B1347" s="10"/>
      <c r="C1347" s="11"/>
      <c r="D1347" s="11"/>
      <c r="E1347" s="11"/>
      <c r="F1347" s="11"/>
      <c r="G1347" s="12"/>
      <c r="H1347" s="12"/>
      <c r="I1347" s="10"/>
      <c r="J1347" s="12"/>
      <c r="K1347" s="13" t="str">
        <f aca="false">IF(ISNUMBER(B1347),YEAR(B1347),"")</f>
        <v/>
      </c>
      <c r="L1347" s="13" t="str">
        <f aca="false">IF(ISNUMBER(B1347),MONTH(B1347),"")</f>
        <v/>
      </c>
      <c r="M1347" s="13" t="str">
        <f aca="false">IF(AND(ISNUMBER(B1347),ISNUMBER(I1347)),B1347-I1347+1,"")</f>
        <v/>
      </c>
      <c r="N1347" s="14" t="str">
        <f aca="false">IF(B1347="","",IF(M1347="","시작일 미입력",IF(M1347&lt;1,"시작일 이전(확인)",IF(M1347=1,"1일째",IF(M1347=2,"2일째",IF(M1347=3,"3일째",IF(M1347&lt;=7,"일주일 이내",IF(M1347&lt;=14,"이주일 이내","15일 이후"))))))))</f>
        <v/>
      </c>
      <c r="O1347" s="0" t="str">
        <f aca="false">IF(AND(COUNTA($A1347:$J1347)&gt;0,OR(클레임조회!$C$4="",AND(ISNUMBER($B1347),$B1347&gt;=클레임조회!$C$4)),OR(클레임조회!$C$5="",AND(ISNUMBER($B1347),$B1347&lt;=클레임조회!$C$5)),OR(클레임조회!$C$6="",$C1347=클레임조회!$C$6),OR(클레임조회!$C$7="",$D1347=클레임조회!$C$7),OR(클레임조회!$C$8="",$E1347=클레임조회!$C$8),OR(클레임조회!$C$9="",$F1347=클레임조회!$C$9),OR(클레임조회!$C$10="",ISNUMBER(SEARCH(클레임조회!$C$10,$C1347&amp;" "&amp;$F1347&amp;" "&amp;$G1347&amp;" "&amp;$H1347)))),COUNT(O$1:O1346)+1,"")</f>
        <v/>
      </c>
      <c r="P1347" s="0" t="str">
        <f aca="false">IF(AND(TRIM(C1347)&lt;&gt;"",COUNTIF(C$2:C1347,C1347)=1),MAX(P$1:P1346)+1,"")</f>
        <v/>
      </c>
      <c r="Q1347" s="0" t="str">
        <f aca="false">IF(AND(TRIM(F1347)&lt;&gt;"",COUNTIF(F$2:F1347,F1347)=1),MAX(Q$1:Q1346)+1,"")</f>
        <v/>
      </c>
    </row>
    <row r="1348" customFormat="false" ht="15" hidden="false" customHeight="false" outlineLevel="0" collapsed="false">
      <c r="A1348" s="9"/>
      <c r="B1348" s="10"/>
      <c r="C1348" s="11"/>
      <c r="D1348" s="11"/>
      <c r="E1348" s="11"/>
      <c r="F1348" s="11"/>
      <c r="G1348" s="12"/>
      <c r="H1348" s="12"/>
      <c r="I1348" s="10"/>
      <c r="J1348" s="12"/>
      <c r="K1348" s="13" t="str">
        <f aca="false">IF(ISNUMBER(B1348),YEAR(B1348),"")</f>
        <v/>
      </c>
      <c r="L1348" s="13" t="str">
        <f aca="false">IF(ISNUMBER(B1348),MONTH(B1348),"")</f>
        <v/>
      </c>
      <c r="M1348" s="13" t="str">
        <f aca="false">IF(AND(ISNUMBER(B1348),ISNUMBER(I1348)),B1348-I1348+1,"")</f>
        <v/>
      </c>
      <c r="N1348" s="14" t="str">
        <f aca="false">IF(B1348="","",IF(M1348="","시작일 미입력",IF(M1348&lt;1,"시작일 이전(확인)",IF(M1348=1,"1일째",IF(M1348=2,"2일째",IF(M1348=3,"3일째",IF(M1348&lt;=7,"일주일 이내",IF(M1348&lt;=14,"이주일 이내","15일 이후"))))))))</f>
        <v/>
      </c>
      <c r="O1348" s="0" t="str">
        <f aca="false">IF(AND(COUNTA($A1348:$J1348)&gt;0,OR(클레임조회!$C$4="",AND(ISNUMBER($B1348),$B1348&gt;=클레임조회!$C$4)),OR(클레임조회!$C$5="",AND(ISNUMBER($B1348),$B1348&lt;=클레임조회!$C$5)),OR(클레임조회!$C$6="",$C1348=클레임조회!$C$6),OR(클레임조회!$C$7="",$D1348=클레임조회!$C$7),OR(클레임조회!$C$8="",$E1348=클레임조회!$C$8),OR(클레임조회!$C$9="",$F1348=클레임조회!$C$9),OR(클레임조회!$C$10="",ISNUMBER(SEARCH(클레임조회!$C$10,$C1348&amp;" "&amp;$F1348&amp;" "&amp;$G1348&amp;" "&amp;$H1348)))),COUNT(O$1:O1347)+1,"")</f>
        <v/>
      </c>
      <c r="P1348" s="0" t="str">
        <f aca="false">IF(AND(TRIM(C1348)&lt;&gt;"",COUNTIF(C$2:C1348,C1348)=1),MAX(P$1:P1347)+1,"")</f>
        <v/>
      </c>
      <c r="Q1348" s="0" t="str">
        <f aca="false">IF(AND(TRIM(F1348)&lt;&gt;"",COUNTIF(F$2:F1348,F1348)=1),MAX(Q$1:Q1347)+1,"")</f>
        <v/>
      </c>
    </row>
    <row r="1349" customFormat="false" ht="15" hidden="false" customHeight="false" outlineLevel="0" collapsed="false">
      <c r="A1349" s="9"/>
      <c r="B1349" s="10"/>
      <c r="C1349" s="11"/>
      <c r="D1349" s="11"/>
      <c r="E1349" s="11"/>
      <c r="F1349" s="11"/>
      <c r="G1349" s="12"/>
      <c r="H1349" s="12"/>
      <c r="I1349" s="10"/>
      <c r="J1349" s="12"/>
      <c r="K1349" s="13" t="str">
        <f aca="false">IF(ISNUMBER(B1349),YEAR(B1349),"")</f>
        <v/>
      </c>
      <c r="L1349" s="13" t="str">
        <f aca="false">IF(ISNUMBER(B1349),MONTH(B1349),"")</f>
        <v/>
      </c>
      <c r="M1349" s="13" t="str">
        <f aca="false">IF(AND(ISNUMBER(B1349),ISNUMBER(I1349)),B1349-I1349+1,"")</f>
        <v/>
      </c>
      <c r="N1349" s="14" t="str">
        <f aca="false">IF(B1349="","",IF(M1349="","시작일 미입력",IF(M1349&lt;1,"시작일 이전(확인)",IF(M1349=1,"1일째",IF(M1349=2,"2일째",IF(M1349=3,"3일째",IF(M1349&lt;=7,"일주일 이내",IF(M1349&lt;=14,"이주일 이내","15일 이후"))))))))</f>
        <v/>
      </c>
      <c r="O1349" s="0" t="str">
        <f aca="false">IF(AND(COUNTA($A1349:$J1349)&gt;0,OR(클레임조회!$C$4="",AND(ISNUMBER($B1349),$B1349&gt;=클레임조회!$C$4)),OR(클레임조회!$C$5="",AND(ISNUMBER($B1349),$B1349&lt;=클레임조회!$C$5)),OR(클레임조회!$C$6="",$C1349=클레임조회!$C$6),OR(클레임조회!$C$7="",$D1349=클레임조회!$C$7),OR(클레임조회!$C$8="",$E1349=클레임조회!$C$8),OR(클레임조회!$C$9="",$F1349=클레임조회!$C$9),OR(클레임조회!$C$10="",ISNUMBER(SEARCH(클레임조회!$C$10,$C1349&amp;" "&amp;$F1349&amp;" "&amp;$G1349&amp;" "&amp;$H1349)))),COUNT(O$1:O1348)+1,"")</f>
        <v/>
      </c>
      <c r="P1349" s="0" t="str">
        <f aca="false">IF(AND(TRIM(C1349)&lt;&gt;"",COUNTIF(C$2:C1349,C1349)=1),MAX(P$1:P1348)+1,"")</f>
        <v/>
      </c>
      <c r="Q1349" s="0" t="str">
        <f aca="false">IF(AND(TRIM(F1349)&lt;&gt;"",COUNTIF(F$2:F1349,F1349)=1),MAX(Q$1:Q1348)+1,"")</f>
        <v/>
      </c>
    </row>
    <row r="1350" customFormat="false" ht="15" hidden="false" customHeight="false" outlineLevel="0" collapsed="false">
      <c r="A1350" s="9"/>
      <c r="B1350" s="10"/>
      <c r="C1350" s="11"/>
      <c r="D1350" s="11"/>
      <c r="E1350" s="11"/>
      <c r="F1350" s="11"/>
      <c r="G1350" s="12"/>
      <c r="H1350" s="12"/>
      <c r="I1350" s="10"/>
      <c r="J1350" s="12"/>
      <c r="K1350" s="13" t="str">
        <f aca="false">IF(ISNUMBER(B1350),YEAR(B1350),"")</f>
        <v/>
      </c>
      <c r="L1350" s="13" t="str">
        <f aca="false">IF(ISNUMBER(B1350),MONTH(B1350),"")</f>
        <v/>
      </c>
      <c r="M1350" s="13" t="str">
        <f aca="false">IF(AND(ISNUMBER(B1350),ISNUMBER(I1350)),B1350-I1350+1,"")</f>
        <v/>
      </c>
      <c r="N1350" s="14" t="str">
        <f aca="false">IF(B1350="","",IF(M1350="","시작일 미입력",IF(M1350&lt;1,"시작일 이전(확인)",IF(M1350=1,"1일째",IF(M1350=2,"2일째",IF(M1350=3,"3일째",IF(M1350&lt;=7,"일주일 이내",IF(M1350&lt;=14,"이주일 이내","15일 이후"))))))))</f>
        <v/>
      </c>
      <c r="O1350" s="0" t="str">
        <f aca="false">IF(AND(COUNTA($A1350:$J1350)&gt;0,OR(클레임조회!$C$4="",AND(ISNUMBER($B1350),$B1350&gt;=클레임조회!$C$4)),OR(클레임조회!$C$5="",AND(ISNUMBER($B1350),$B1350&lt;=클레임조회!$C$5)),OR(클레임조회!$C$6="",$C1350=클레임조회!$C$6),OR(클레임조회!$C$7="",$D1350=클레임조회!$C$7),OR(클레임조회!$C$8="",$E1350=클레임조회!$C$8),OR(클레임조회!$C$9="",$F1350=클레임조회!$C$9),OR(클레임조회!$C$10="",ISNUMBER(SEARCH(클레임조회!$C$10,$C1350&amp;" "&amp;$F1350&amp;" "&amp;$G1350&amp;" "&amp;$H1350)))),COUNT(O$1:O1349)+1,"")</f>
        <v/>
      </c>
      <c r="P1350" s="0" t="str">
        <f aca="false">IF(AND(TRIM(C1350)&lt;&gt;"",COUNTIF(C$2:C1350,C1350)=1),MAX(P$1:P1349)+1,"")</f>
        <v/>
      </c>
      <c r="Q1350" s="0" t="str">
        <f aca="false">IF(AND(TRIM(F1350)&lt;&gt;"",COUNTIF(F$2:F1350,F1350)=1),MAX(Q$1:Q1349)+1,"")</f>
        <v/>
      </c>
    </row>
    <row r="1351" customFormat="false" ht="15" hidden="false" customHeight="false" outlineLevel="0" collapsed="false">
      <c r="A1351" s="9"/>
      <c r="B1351" s="10"/>
      <c r="C1351" s="11"/>
      <c r="D1351" s="11"/>
      <c r="E1351" s="11"/>
      <c r="F1351" s="11"/>
      <c r="G1351" s="12"/>
      <c r="H1351" s="12"/>
      <c r="I1351" s="10"/>
      <c r="J1351" s="12"/>
      <c r="K1351" s="13" t="str">
        <f aca="false">IF(ISNUMBER(B1351),YEAR(B1351),"")</f>
        <v/>
      </c>
      <c r="L1351" s="13" t="str">
        <f aca="false">IF(ISNUMBER(B1351),MONTH(B1351),"")</f>
        <v/>
      </c>
      <c r="M1351" s="13" t="str">
        <f aca="false">IF(AND(ISNUMBER(B1351),ISNUMBER(I1351)),B1351-I1351+1,"")</f>
        <v/>
      </c>
      <c r="N1351" s="14" t="str">
        <f aca="false">IF(B1351="","",IF(M1351="","시작일 미입력",IF(M1351&lt;1,"시작일 이전(확인)",IF(M1351=1,"1일째",IF(M1351=2,"2일째",IF(M1351=3,"3일째",IF(M1351&lt;=7,"일주일 이내",IF(M1351&lt;=14,"이주일 이내","15일 이후"))))))))</f>
        <v/>
      </c>
      <c r="O1351" s="0" t="str">
        <f aca="false">IF(AND(COUNTA($A1351:$J1351)&gt;0,OR(클레임조회!$C$4="",AND(ISNUMBER($B1351),$B1351&gt;=클레임조회!$C$4)),OR(클레임조회!$C$5="",AND(ISNUMBER($B1351),$B1351&lt;=클레임조회!$C$5)),OR(클레임조회!$C$6="",$C1351=클레임조회!$C$6),OR(클레임조회!$C$7="",$D1351=클레임조회!$C$7),OR(클레임조회!$C$8="",$E1351=클레임조회!$C$8),OR(클레임조회!$C$9="",$F1351=클레임조회!$C$9),OR(클레임조회!$C$10="",ISNUMBER(SEARCH(클레임조회!$C$10,$C1351&amp;" "&amp;$F1351&amp;" "&amp;$G1351&amp;" "&amp;$H1351)))),COUNT(O$1:O1350)+1,"")</f>
        <v/>
      </c>
      <c r="P1351" s="0" t="str">
        <f aca="false">IF(AND(TRIM(C1351)&lt;&gt;"",COUNTIF(C$2:C1351,C1351)=1),MAX(P$1:P1350)+1,"")</f>
        <v/>
      </c>
      <c r="Q1351" s="0" t="str">
        <f aca="false">IF(AND(TRIM(F1351)&lt;&gt;"",COUNTIF(F$2:F1351,F1351)=1),MAX(Q$1:Q1350)+1,"")</f>
        <v/>
      </c>
    </row>
    <row r="1352" customFormat="false" ht="15" hidden="false" customHeight="false" outlineLevel="0" collapsed="false">
      <c r="A1352" s="9"/>
      <c r="B1352" s="10"/>
      <c r="C1352" s="11"/>
      <c r="D1352" s="11"/>
      <c r="E1352" s="11"/>
      <c r="F1352" s="11"/>
      <c r="G1352" s="12"/>
      <c r="H1352" s="12"/>
      <c r="I1352" s="10"/>
      <c r="J1352" s="12"/>
      <c r="K1352" s="13" t="str">
        <f aca="false">IF(ISNUMBER(B1352),YEAR(B1352),"")</f>
        <v/>
      </c>
      <c r="L1352" s="13" t="str">
        <f aca="false">IF(ISNUMBER(B1352),MONTH(B1352),"")</f>
        <v/>
      </c>
      <c r="M1352" s="13" t="str">
        <f aca="false">IF(AND(ISNUMBER(B1352),ISNUMBER(I1352)),B1352-I1352+1,"")</f>
        <v/>
      </c>
      <c r="N1352" s="14" t="str">
        <f aca="false">IF(B1352="","",IF(M1352="","시작일 미입력",IF(M1352&lt;1,"시작일 이전(확인)",IF(M1352=1,"1일째",IF(M1352=2,"2일째",IF(M1352=3,"3일째",IF(M1352&lt;=7,"일주일 이내",IF(M1352&lt;=14,"이주일 이내","15일 이후"))))))))</f>
        <v/>
      </c>
      <c r="O1352" s="0" t="str">
        <f aca="false">IF(AND(COUNTA($A1352:$J1352)&gt;0,OR(클레임조회!$C$4="",AND(ISNUMBER($B1352),$B1352&gt;=클레임조회!$C$4)),OR(클레임조회!$C$5="",AND(ISNUMBER($B1352),$B1352&lt;=클레임조회!$C$5)),OR(클레임조회!$C$6="",$C1352=클레임조회!$C$6),OR(클레임조회!$C$7="",$D1352=클레임조회!$C$7),OR(클레임조회!$C$8="",$E1352=클레임조회!$C$8),OR(클레임조회!$C$9="",$F1352=클레임조회!$C$9),OR(클레임조회!$C$10="",ISNUMBER(SEARCH(클레임조회!$C$10,$C1352&amp;" "&amp;$F1352&amp;" "&amp;$G1352&amp;" "&amp;$H1352)))),COUNT(O$1:O1351)+1,"")</f>
        <v/>
      </c>
      <c r="P1352" s="0" t="str">
        <f aca="false">IF(AND(TRIM(C1352)&lt;&gt;"",COUNTIF(C$2:C1352,C1352)=1),MAX(P$1:P1351)+1,"")</f>
        <v/>
      </c>
      <c r="Q1352" s="0" t="str">
        <f aca="false">IF(AND(TRIM(F1352)&lt;&gt;"",COUNTIF(F$2:F1352,F1352)=1),MAX(Q$1:Q1351)+1,"")</f>
        <v/>
      </c>
    </row>
    <row r="1353" customFormat="false" ht="15" hidden="false" customHeight="false" outlineLevel="0" collapsed="false">
      <c r="A1353" s="9"/>
      <c r="B1353" s="10"/>
      <c r="C1353" s="11"/>
      <c r="D1353" s="11"/>
      <c r="E1353" s="11"/>
      <c r="F1353" s="11"/>
      <c r="G1353" s="12"/>
      <c r="H1353" s="12"/>
      <c r="I1353" s="10"/>
      <c r="J1353" s="12"/>
      <c r="K1353" s="13" t="str">
        <f aca="false">IF(ISNUMBER(B1353),YEAR(B1353),"")</f>
        <v/>
      </c>
      <c r="L1353" s="13" t="str">
        <f aca="false">IF(ISNUMBER(B1353),MONTH(B1353),"")</f>
        <v/>
      </c>
      <c r="M1353" s="13" t="str">
        <f aca="false">IF(AND(ISNUMBER(B1353),ISNUMBER(I1353)),B1353-I1353+1,"")</f>
        <v/>
      </c>
      <c r="N1353" s="14" t="str">
        <f aca="false">IF(B1353="","",IF(M1353="","시작일 미입력",IF(M1353&lt;1,"시작일 이전(확인)",IF(M1353=1,"1일째",IF(M1353=2,"2일째",IF(M1353=3,"3일째",IF(M1353&lt;=7,"일주일 이내",IF(M1353&lt;=14,"이주일 이내","15일 이후"))))))))</f>
        <v/>
      </c>
      <c r="O1353" s="0" t="str">
        <f aca="false">IF(AND(COUNTA($A1353:$J1353)&gt;0,OR(클레임조회!$C$4="",AND(ISNUMBER($B1353),$B1353&gt;=클레임조회!$C$4)),OR(클레임조회!$C$5="",AND(ISNUMBER($B1353),$B1353&lt;=클레임조회!$C$5)),OR(클레임조회!$C$6="",$C1353=클레임조회!$C$6),OR(클레임조회!$C$7="",$D1353=클레임조회!$C$7),OR(클레임조회!$C$8="",$E1353=클레임조회!$C$8),OR(클레임조회!$C$9="",$F1353=클레임조회!$C$9),OR(클레임조회!$C$10="",ISNUMBER(SEARCH(클레임조회!$C$10,$C1353&amp;" "&amp;$F1353&amp;" "&amp;$G1353&amp;" "&amp;$H1353)))),COUNT(O$1:O1352)+1,"")</f>
        <v/>
      </c>
      <c r="P1353" s="0" t="str">
        <f aca="false">IF(AND(TRIM(C1353)&lt;&gt;"",COUNTIF(C$2:C1353,C1353)=1),MAX(P$1:P1352)+1,"")</f>
        <v/>
      </c>
      <c r="Q1353" s="0" t="str">
        <f aca="false">IF(AND(TRIM(F1353)&lt;&gt;"",COUNTIF(F$2:F1353,F1353)=1),MAX(Q$1:Q1352)+1,"")</f>
        <v/>
      </c>
    </row>
    <row r="1354" customFormat="false" ht="15" hidden="false" customHeight="false" outlineLevel="0" collapsed="false">
      <c r="A1354" s="9"/>
      <c r="B1354" s="10"/>
      <c r="C1354" s="11"/>
      <c r="D1354" s="11"/>
      <c r="E1354" s="11"/>
      <c r="F1354" s="11"/>
      <c r="G1354" s="12"/>
      <c r="H1354" s="12"/>
      <c r="I1354" s="10"/>
      <c r="J1354" s="12"/>
      <c r="K1354" s="13" t="str">
        <f aca="false">IF(ISNUMBER(B1354),YEAR(B1354),"")</f>
        <v/>
      </c>
      <c r="L1354" s="13" t="str">
        <f aca="false">IF(ISNUMBER(B1354),MONTH(B1354),"")</f>
        <v/>
      </c>
      <c r="M1354" s="13" t="str">
        <f aca="false">IF(AND(ISNUMBER(B1354),ISNUMBER(I1354)),B1354-I1354+1,"")</f>
        <v/>
      </c>
      <c r="N1354" s="14" t="str">
        <f aca="false">IF(B1354="","",IF(M1354="","시작일 미입력",IF(M1354&lt;1,"시작일 이전(확인)",IF(M1354=1,"1일째",IF(M1354=2,"2일째",IF(M1354=3,"3일째",IF(M1354&lt;=7,"일주일 이내",IF(M1354&lt;=14,"이주일 이내","15일 이후"))))))))</f>
        <v/>
      </c>
      <c r="O1354" s="0" t="str">
        <f aca="false">IF(AND(COUNTA($A1354:$J1354)&gt;0,OR(클레임조회!$C$4="",AND(ISNUMBER($B1354),$B1354&gt;=클레임조회!$C$4)),OR(클레임조회!$C$5="",AND(ISNUMBER($B1354),$B1354&lt;=클레임조회!$C$5)),OR(클레임조회!$C$6="",$C1354=클레임조회!$C$6),OR(클레임조회!$C$7="",$D1354=클레임조회!$C$7),OR(클레임조회!$C$8="",$E1354=클레임조회!$C$8),OR(클레임조회!$C$9="",$F1354=클레임조회!$C$9),OR(클레임조회!$C$10="",ISNUMBER(SEARCH(클레임조회!$C$10,$C1354&amp;" "&amp;$F1354&amp;" "&amp;$G1354&amp;" "&amp;$H1354)))),COUNT(O$1:O1353)+1,"")</f>
        <v/>
      </c>
      <c r="P1354" s="0" t="str">
        <f aca="false">IF(AND(TRIM(C1354)&lt;&gt;"",COUNTIF(C$2:C1354,C1354)=1),MAX(P$1:P1353)+1,"")</f>
        <v/>
      </c>
      <c r="Q1354" s="0" t="str">
        <f aca="false">IF(AND(TRIM(F1354)&lt;&gt;"",COUNTIF(F$2:F1354,F1354)=1),MAX(Q$1:Q1353)+1,"")</f>
        <v/>
      </c>
    </row>
    <row r="1355" customFormat="false" ht="15" hidden="false" customHeight="false" outlineLevel="0" collapsed="false">
      <c r="A1355" s="9"/>
      <c r="B1355" s="10"/>
      <c r="C1355" s="11"/>
      <c r="D1355" s="11"/>
      <c r="E1355" s="11"/>
      <c r="F1355" s="11"/>
      <c r="G1355" s="12"/>
      <c r="H1355" s="12"/>
      <c r="I1355" s="10"/>
      <c r="J1355" s="12"/>
      <c r="K1355" s="13" t="str">
        <f aca="false">IF(ISNUMBER(B1355),YEAR(B1355),"")</f>
        <v/>
      </c>
      <c r="L1355" s="13" t="str">
        <f aca="false">IF(ISNUMBER(B1355),MONTH(B1355),"")</f>
        <v/>
      </c>
      <c r="M1355" s="13" t="str">
        <f aca="false">IF(AND(ISNUMBER(B1355),ISNUMBER(I1355)),B1355-I1355+1,"")</f>
        <v/>
      </c>
      <c r="N1355" s="14" t="str">
        <f aca="false">IF(B1355="","",IF(M1355="","시작일 미입력",IF(M1355&lt;1,"시작일 이전(확인)",IF(M1355=1,"1일째",IF(M1355=2,"2일째",IF(M1355=3,"3일째",IF(M1355&lt;=7,"일주일 이내",IF(M1355&lt;=14,"이주일 이내","15일 이후"))))))))</f>
        <v/>
      </c>
      <c r="O1355" s="0" t="str">
        <f aca="false">IF(AND(COUNTA($A1355:$J1355)&gt;0,OR(클레임조회!$C$4="",AND(ISNUMBER($B1355),$B1355&gt;=클레임조회!$C$4)),OR(클레임조회!$C$5="",AND(ISNUMBER($B1355),$B1355&lt;=클레임조회!$C$5)),OR(클레임조회!$C$6="",$C1355=클레임조회!$C$6),OR(클레임조회!$C$7="",$D1355=클레임조회!$C$7),OR(클레임조회!$C$8="",$E1355=클레임조회!$C$8),OR(클레임조회!$C$9="",$F1355=클레임조회!$C$9),OR(클레임조회!$C$10="",ISNUMBER(SEARCH(클레임조회!$C$10,$C1355&amp;" "&amp;$F1355&amp;" "&amp;$G1355&amp;" "&amp;$H1355)))),COUNT(O$1:O1354)+1,"")</f>
        <v/>
      </c>
      <c r="P1355" s="0" t="str">
        <f aca="false">IF(AND(TRIM(C1355)&lt;&gt;"",COUNTIF(C$2:C1355,C1355)=1),MAX(P$1:P1354)+1,"")</f>
        <v/>
      </c>
      <c r="Q1355" s="0" t="str">
        <f aca="false">IF(AND(TRIM(F1355)&lt;&gt;"",COUNTIF(F$2:F1355,F1355)=1),MAX(Q$1:Q1354)+1,"")</f>
        <v/>
      </c>
    </row>
    <row r="1356" customFormat="false" ht="15" hidden="false" customHeight="false" outlineLevel="0" collapsed="false">
      <c r="A1356" s="9"/>
      <c r="B1356" s="10"/>
      <c r="C1356" s="11"/>
      <c r="D1356" s="11"/>
      <c r="E1356" s="11"/>
      <c r="F1356" s="11"/>
      <c r="G1356" s="12"/>
      <c r="H1356" s="12"/>
      <c r="I1356" s="10"/>
      <c r="J1356" s="12"/>
      <c r="K1356" s="13" t="str">
        <f aca="false">IF(ISNUMBER(B1356),YEAR(B1356),"")</f>
        <v/>
      </c>
      <c r="L1356" s="13" t="str">
        <f aca="false">IF(ISNUMBER(B1356),MONTH(B1356),"")</f>
        <v/>
      </c>
      <c r="M1356" s="13" t="str">
        <f aca="false">IF(AND(ISNUMBER(B1356),ISNUMBER(I1356)),B1356-I1356+1,"")</f>
        <v/>
      </c>
      <c r="N1356" s="14" t="str">
        <f aca="false">IF(B1356="","",IF(M1356="","시작일 미입력",IF(M1356&lt;1,"시작일 이전(확인)",IF(M1356=1,"1일째",IF(M1356=2,"2일째",IF(M1356=3,"3일째",IF(M1356&lt;=7,"일주일 이내",IF(M1356&lt;=14,"이주일 이내","15일 이후"))))))))</f>
        <v/>
      </c>
      <c r="O1356" s="0" t="str">
        <f aca="false">IF(AND(COUNTA($A1356:$J1356)&gt;0,OR(클레임조회!$C$4="",AND(ISNUMBER($B1356),$B1356&gt;=클레임조회!$C$4)),OR(클레임조회!$C$5="",AND(ISNUMBER($B1356),$B1356&lt;=클레임조회!$C$5)),OR(클레임조회!$C$6="",$C1356=클레임조회!$C$6),OR(클레임조회!$C$7="",$D1356=클레임조회!$C$7),OR(클레임조회!$C$8="",$E1356=클레임조회!$C$8),OR(클레임조회!$C$9="",$F1356=클레임조회!$C$9),OR(클레임조회!$C$10="",ISNUMBER(SEARCH(클레임조회!$C$10,$C1356&amp;" "&amp;$F1356&amp;" "&amp;$G1356&amp;" "&amp;$H1356)))),COUNT(O$1:O1355)+1,"")</f>
        <v/>
      </c>
      <c r="P1356" s="0" t="str">
        <f aca="false">IF(AND(TRIM(C1356)&lt;&gt;"",COUNTIF(C$2:C1356,C1356)=1),MAX(P$1:P1355)+1,"")</f>
        <v/>
      </c>
      <c r="Q1356" s="0" t="str">
        <f aca="false">IF(AND(TRIM(F1356)&lt;&gt;"",COUNTIF(F$2:F1356,F1356)=1),MAX(Q$1:Q1355)+1,"")</f>
        <v/>
      </c>
    </row>
    <row r="1357" customFormat="false" ht="15" hidden="false" customHeight="false" outlineLevel="0" collapsed="false">
      <c r="A1357" s="9"/>
      <c r="B1357" s="10"/>
      <c r="C1357" s="11"/>
      <c r="D1357" s="11"/>
      <c r="E1357" s="11"/>
      <c r="F1357" s="11"/>
      <c r="G1357" s="12"/>
      <c r="H1357" s="12"/>
      <c r="I1357" s="10"/>
      <c r="J1357" s="12"/>
      <c r="K1357" s="13" t="str">
        <f aca="false">IF(ISNUMBER(B1357),YEAR(B1357),"")</f>
        <v/>
      </c>
      <c r="L1357" s="13" t="str">
        <f aca="false">IF(ISNUMBER(B1357),MONTH(B1357),"")</f>
        <v/>
      </c>
      <c r="M1357" s="13" t="str">
        <f aca="false">IF(AND(ISNUMBER(B1357),ISNUMBER(I1357)),B1357-I1357+1,"")</f>
        <v/>
      </c>
      <c r="N1357" s="14" t="str">
        <f aca="false">IF(B1357="","",IF(M1357="","시작일 미입력",IF(M1357&lt;1,"시작일 이전(확인)",IF(M1357=1,"1일째",IF(M1357=2,"2일째",IF(M1357=3,"3일째",IF(M1357&lt;=7,"일주일 이내",IF(M1357&lt;=14,"이주일 이내","15일 이후"))))))))</f>
        <v/>
      </c>
      <c r="O1357" s="0" t="str">
        <f aca="false">IF(AND(COUNTA($A1357:$J1357)&gt;0,OR(클레임조회!$C$4="",AND(ISNUMBER($B1357),$B1357&gt;=클레임조회!$C$4)),OR(클레임조회!$C$5="",AND(ISNUMBER($B1357),$B1357&lt;=클레임조회!$C$5)),OR(클레임조회!$C$6="",$C1357=클레임조회!$C$6),OR(클레임조회!$C$7="",$D1357=클레임조회!$C$7),OR(클레임조회!$C$8="",$E1357=클레임조회!$C$8),OR(클레임조회!$C$9="",$F1357=클레임조회!$C$9),OR(클레임조회!$C$10="",ISNUMBER(SEARCH(클레임조회!$C$10,$C1357&amp;" "&amp;$F1357&amp;" "&amp;$G1357&amp;" "&amp;$H1357)))),COUNT(O$1:O1356)+1,"")</f>
        <v/>
      </c>
      <c r="P1357" s="0" t="str">
        <f aca="false">IF(AND(TRIM(C1357)&lt;&gt;"",COUNTIF(C$2:C1357,C1357)=1),MAX(P$1:P1356)+1,"")</f>
        <v/>
      </c>
      <c r="Q1357" s="0" t="str">
        <f aca="false">IF(AND(TRIM(F1357)&lt;&gt;"",COUNTIF(F$2:F1357,F1357)=1),MAX(Q$1:Q1356)+1,"")</f>
        <v/>
      </c>
    </row>
    <row r="1358" customFormat="false" ht="15" hidden="false" customHeight="false" outlineLevel="0" collapsed="false">
      <c r="A1358" s="9"/>
      <c r="B1358" s="10"/>
      <c r="C1358" s="11"/>
      <c r="D1358" s="11"/>
      <c r="E1358" s="11"/>
      <c r="F1358" s="11"/>
      <c r="G1358" s="12"/>
      <c r="H1358" s="12"/>
      <c r="I1358" s="10"/>
      <c r="J1358" s="12"/>
      <c r="K1358" s="13" t="str">
        <f aca="false">IF(ISNUMBER(B1358),YEAR(B1358),"")</f>
        <v/>
      </c>
      <c r="L1358" s="13" t="str">
        <f aca="false">IF(ISNUMBER(B1358),MONTH(B1358),"")</f>
        <v/>
      </c>
      <c r="M1358" s="13" t="str">
        <f aca="false">IF(AND(ISNUMBER(B1358),ISNUMBER(I1358)),B1358-I1358+1,"")</f>
        <v/>
      </c>
      <c r="N1358" s="14" t="str">
        <f aca="false">IF(B1358="","",IF(M1358="","시작일 미입력",IF(M1358&lt;1,"시작일 이전(확인)",IF(M1358=1,"1일째",IF(M1358=2,"2일째",IF(M1358=3,"3일째",IF(M1358&lt;=7,"일주일 이내",IF(M1358&lt;=14,"이주일 이내","15일 이후"))))))))</f>
        <v/>
      </c>
      <c r="O1358" s="0" t="str">
        <f aca="false">IF(AND(COUNTA($A1358:$J1358)&gt;0,OR(클레임조회!$C$4="",AND(ISNUMBER($B1358),$B1358&gt;=클레임조회!$C$4)),OR(클레임조회!$C$5="",AND(ISNUMBER($B1358),$B1358&lt;=클레임조회!$C$5)),OR(클레임조회!$C$6="",$C1358=클레임조회!$C$6),OR(클레임조회!$C$7="",$D1358=클레임조회!$C$7),OR(클레임조회!$C$8="",$E1358=클레임조회!$C$8),OR(클레임조회!$C$9="",$F1358=클레임조회!$C$9),OR(클레임조회!$C$10="",ISNUMBER(SEARCH(클레임조회!$C$10,$C1358&amp;" "&amp;$F1358&amp;" "&amp;$G1358&amp;" "&amp;$H1358)))),COUNT(O$1:O1357)+1,"")</f>
        <v/>
      </c>
      <c r="P1358" s="0" t="str">
        <f aca="false">IF(AND(TRIM(C1358)&lt;&gt;"",COUNTIF(C$2:C1358,C1358)=1),MAX(P$1:P1357)+1,"")</f>
        <v/>
      </c>
      <c r="Q1358" s="0" t="str">
        <f aca="false">IF(AND(TRIM(F1358)&lt;&gt;"",COUNTIF(F$2:F1358,F1358)=1),MAX(Q$1:Q1357)+1,"")</f>
        <v/>
      </c>
    </row>
    <row r="1359" customFormat="false" ht="15" hidden="false" customHeight="false" outlineLevel="0" collapsed="false">
      <c r="A1359" s="9"/>
      <c r="B1359" s="10"/>
      <c r="C1359" s="11"/>
      <c r="D1359" s="11"/>
      <c r="E1359" s="11"/>
      <c r="F1359" s="11"/>
      <c r="G1359" s="12"/>
      <c r="H1359" s="12"/>
      <c r="I1359" s="10"/>
      <c r="J1359" s="12"/>
      <c r="K1359" s="13" t="str">
        <f aca="false">IF(ISNUMBER(B1359),YEAR(B1359),"")</f>
        <v/>
      </c>
      <c r="L1359" s="13" t="str">
        <f aca="false">IF(ISNUMBER(B1359),MONTH(B1359),"")</f>
        <v/>
      </c>
      <c r="M1359" s="13" t="str">
        <f aca="false">IF(AND(ISNUMBER(B1359),ISNUMBER(I1359)),B1359-I1359+1,"")</f>
        <v/>
      </c>
      <c r="N1359" s="14" t="str">
        <f aca="false">IF(B1359="","",IF(M1359="","시작일 미입력",IF(M1359&lt;1,"시작일 이전(확인)",IF(M1359=1,"1일째",IF(M1359=2,"2일째",IF(M1359=3,"3일째",IF(M1359&lt;=7,"일주일 이내",IF(M1359&lt;=14,"이주일 이내","15일 이후"))))))))</f>
        <v/>
      </c>
      <c r="O1359" s="0" t="str">
        <f aca="false">IF(AND(COUNTA($A1359:$J1359)&gt;0,OR(클레임조회!$C$4="",AND(ISNUMBER($B1359),$B1359&gt;=클레임조회!$C$4)),OR(클레임조회!$C$5="",AND(ISNUMBER($B1359),$B1359&lt;=클레임조회!$C$5)),OR(클레임조회!$C$6="",$C1359=클레임조회!$C$6),OR(클레임조회!$C$7="",$D1359=클레임조회!$C$7),OR(클레임조회!$C$8="",$E1359=클레임조회!$C$8),OR(클레임조회!$C$9="",$F1359=클레임조회!$C$9),OR(클레임조회!$C$10="",ISNUMBER(SEARCH(클레임조회!$C$10,$C1359&amp;" "&amp;$F1359&amp;" "&amp;$G1359&amp;" "&amp;$H1359)))),COUNT(O$1:O1358)+1,"")</f>
        <v/>
      </c>
      <c r="P1359" s="0" t="str">
        <f aca="false">IF(AND(TRIM(C1359)&lt;&gt;"",COUNTIF(C$2:C1359,C1359)=1),MAX(P$1:P1358)+1,"")</f>
        <v/>
      </c>
      <c r="Q1359" s="0" t="str">
        <f aca="false">IF(AND(TRIM(F1359)&lt;&gt;"",COUNTIF(F$2:F1359,F1359)=1),MAX(Q$1:Q1358)+1,"")</f>
        <v/>
      </c>
    </row>
    <row r="1360" customFormat="false" ht="15" hidden="false" customHeight="false" outlineLevel="0" collapsed="false">
      <c r="A1360" s="9"/>
      <c r="B1360" s="10"/>
      <c r="C1360" s="11"/>
      <c r="D1360" s="11"/>
      <c r="E1360" s="11"/>
      <c r="F1360" s="11"/>
      <c r="G1360" s="12"/>
      <c r="H1360" s="12"/>
      <c r="I1360" s="10"/>
      <c r="J1360" s="12"/>
      <c r="K1360" s="13" t="str">
        <f aca="false">IF(ISNUMBER(B1360),YEAR(B1360),"")</f>
        <v/>
      </c>
      <c r="L1360" s="13" t="str">
        <f aca="false">IF(ISNUMBER(B1360),MONTH(B1360),"")</f>
        <v/>
      </c>
      <c r="M1360" s="13" t="str">
        <f aca="false">IF(AND(ISNUMBER(B1360),ISNUMBER(I1360)),B1360-I1360+1,"")</f>
        <v/>
      </c>
      <c r="N1360" s="14" t="str">
        <f aca="false">IF(B1360="","",IF(M1360="","시작일 미입력",IF(M1360&lt;1,"시작일 이전(확인)",IF(M1360=1,"1일째",IF(M1360=2,"2일째",IF(M1360=3,"3일째",IF(M1360&lt;=7,"일주일 이내",IF(M1360&lt;=14,"이주일 이내","15일 이후"))))))))</f>
        <v/>
      </c>
      <c r="O1360" s="0" t="str">
        <f aca="false">IF(AND(COUNTA($A1360:$J1360)&gt;0,OR(클레임조회!$C$4="",AND(ISNUMBER($B1360),$B1360&gt;=클레임조회!$C$4)),OR(클레임조회!$C$5="",AND(ISNUMBER($B1360),$B1360&lt;=클레임조회!$C$5)),OR(클레임조회!$C$6="",$C1360=클레임조회!$C$6),OR(클레임조회!$C$7="",$D1360=클레임조회!$C$7),OR(클레임조회!$C$8="",$E1360=클레임조회!$C$8),OR(클레임조회!$C$9="",$F1360=클레임조회!$C$9),OR(클레임조회!$C$10="",ISNUMBER(SEARCH(클레임조회!$C$10,$C1360&amp;" "&amp;$F1360&amp;" "&amp;$G1360&amp;" "&amp;$H1360)))),COUNT(O$1:O1359)+1,"")</f>
        <v/>
      </c>
      <c r="P1360" s="0" t="str">
        <f aca="false">IF(AND(TRIM(C1360)&lt;&gt;"",COUNTIF(C$2:C1360,C1360)=1),MAX(P$1:P1359)+1,"")</f>
        <v/>
      </c>
      <c r="Q1360" s="0" t="str">
        <f aca="false">IF(AND(TRIM(F1360)&lt;&gt;"",COUNTIF(F$2:F1360,F1360)=1),MAX(Q$1:Q1359)+1,"")</f>
        <v/>
      </c>
    </row>
    <row r="1361" customFormat="false" ht="15" hidden="false" customHeight="false" outlineLevel="0" collapsed="false">
      <c r="A1361" s="9"/>
      <c r="B1361" s="10"/>
      <c r="C1361" s="11"/>
      <c r="D1361" s="11"/>
      <c r="E1361" s="11"/>
      <c r="F1361" s="11"/>
      <c r="G1361" s="12"/>
      <c r="H1361" s="12"/>
      <c r="I1361" s="10"/>
      <c r="J1361" s="12"/>
      <c r="K1361" s="13" t="str">
        <f aca="false">IF(ISNUMBER(B1361),YEAR(B1361),"")</f>
        <v/>
      </c>
      <c r="L1361" s="13" t="str">
        <f aca="false">IF(ISNUMBER(B1361),MONTH(B1361),"")</f>
        <v/>
      </c>
      <c r="M1361" s="13" t="str">
        <f aca="false">IF(AND(ISNUMBER(B1361),ISNUMBER(I1361)),B1361-I1361+1,"")</f>
        <v/>
      </c>
      <c r="N1361" s="14" t="str">
        <f aca="false">IF(B1361="","",IF(M1361="","시작일 미입력",IF(M1361&lt;1,"시작일 이전(확인)",IF(M1361=1,"1일째",IF(M1361=2,"2일째",IF(M1361=3,"3일째",IF(M1361&lt;=7,"일주일 이내",IF(M1361&lt;=14,"이주일 이내","15일 이후"))))))))</f>
        <v/>
      </c>
      <c r="O1361" s="0" t="str">
        <f aca="false">IF(AND(COUNTA($A1361:$J1361)&gt;0,OR(클레임조회!$C$4="",AND(ISNUMBER($B1361),$B1361&gt;=클레임조회!$C$4)),OR(클레임조회!$C$5="",AND(ISNUMBER($B1361),$B1361&lt;=클레임조회!$C$5)),OR(클레임조회!$C$6="",$C1361=클레임조회!$C$6),OR(클레임조회!$C$7="",$D1361=클레임조회!$C$7),OR(클레임조회!$C$8="",$E1361=클레임조회!$C$8),OR(클레임조회!$C$9="",$F1361=클레임조회!$C$9),OR(클레임조회!$C$10="",ISNUMBER(SEARCH(클레임조회!$C$10,$C1361&amp;" "&amp;$F1361&amp;" "&amp;$G1361&amp;" "&amp;$H1361)))),COUNT(O$1:O1360)+1,"")</f>
        <v/>
      </c>
      <c r="P1361" s="0" t="str">
        <f aca="false">IF(AND(TRIM(C1361)&lt;&gt;"",COUNTIF(C$2:C1361,C1361)=1),MAX(P$1:P1360)+1,"")</f>
        <v/>
      </c>
      <c r="Q1361" s="0" t="str">
        <f aca="false">IF(AND(TRIM(F1361)&lt;&gt;"",COUNTIF(F$2:F1361,F1361)=1),MAX(Q$1:Q1360)+1,"")</f>
        <v/>
      </c>
    </row>
    <row r="1362" customFormat="false" ht="15" hidden="false" customHeight="false" outlineLevel="0" collapsed="false">
      <c r="A1362" s="9"/>
      <c r="B1362" s="10"/>
      <c r="C1362" s="11"/>
      <c r="D1362" s="11"/>
      <c r="E1362" s="11"/>
      <c r="F1362" s="11"/>
      <c r="G1362" s="12"/>
      <c r="H1362" s="12"/>
      <c r="I1362" s="10"/>
      <c r="J1362" s="12"/>
      <c r="K1362" s="13" t="str">
        <f aca="false">IF(ISNUMBER(B1362),YEAR(B1362),"")</f>
        <v/>
      </c>
      <c r="L1362" s="13" t="str">
        <f aca="false">IF(ISNUMBER(B1362),MONTH(B1362),"")</f>
        <v/>
      </c>
      <c r="M1362" s="13" t="str">
        <f aca="false">IF(AND(ISNUMBER(B1362),ISNUMBER(I1362)),B1362-I1362+1,"")</f>
        <v/>
      </c>
      <c r="N1362" s="14" t="str">
        <f aca="false">IF(B1362="","",IF(M1362="","시작일 미입력",IF(M1362&lt;1,"시작일 이전(확인)",IF(M1362=1,"1일째",IF(M1362=2,"2일째",IF(M1362=3,"3일째",IF(M1362&lt;=7,"일주일 이내",IF(M1362&lt;=14,"이주일 이내","15일 이후"))))))))</f>
        <v/>
      </c>
      <c r="O1362" s="0" t="str">
        <f aca="false">IF(AND(COUNTA($A1362:$J1362)&gt;0,OR(클레임조회!$C$4="",AND(ISNUMBER($B1362),$B1362&gt;=클레임조회!$C$4)),OR(클레임조회!$C$5="",AND(ISNUMBER($B1362),$B1362&lt;=클레임조회!$C$5)),OR(클레임조회!$C$6="",$C1362=클레임조회!$C$6),OR(클레임조회!$C$7="",$D1362=클레임조회!$C$7),OR(클레임조회!$C$8="",$E1362=클레임조회!$C$8),OR(클레임조회!$C$9="",$F1362=클레임조회!$C$9),OR(클레임조회!$C$10="",ISNUMBER(SEARCH(클레임조회!$C$10,$C1362&amp;" "&amp;$F1362&amp;" "&amp;$G1362&amp;" "&amp;$H1362)))),COUNT(O$1:O1361)+1,"")</f>
        <v/>
      </c>
      <c r="P1362" s="0" t="str">
        <f aca="false">IF(AND(TRIM(C1362)&lt;&gt;"",COUNTIF(C$2:C1362,C1362)=1),MAX(P$1:P1361)+1,"")</f>
        <v/>
      </c>
      <c r="Q1362" s="0" t="str">
        <f aca="false">IF(AND(TRIM(F1362)&lt;&gt;"",COUNTIF(F$2:F1362,F1362)=1),MAX(Q$1:Q1361)+1,"")</f>
        <v/>
      </c>
    </row>
    <row r="1363" customFormat="false" ht="15" hidden="false" customHeight="false" outlineLevel="0" collapsed="false">
      <c r="A1363" s="9"/>
      <c r="B1363" s="10"/>
      <c r="C1363" s="11"/>
      <c r="D1363" s="11"/>
      <c r="E1363" s="11"/>
      <c r="F1363" s="11"/>
      <c r="G1363" s="12"/>
      <c r="H1363" s="12"/>
      <c r="I1363" s="10"/>
      <c r="J1363" s="12"/>
      <c r="K1363" s="13" t="str">
        <f aca="false">IF(ISNUMBER(B1363),YEAR(B1363),"")</f>
        <v/>
      </c>
      <c r="L1363" s="13" t="str">
        <f aca="false">IF(ISNUMBER(B1363),MONTH(B1363),"")</f>
        <v/>
      </c>
      <c r="M1363" s="13" t="str">
        <f aca="false">IF(AND(ISNUMBER(B1363),ISNUMBER(I1363)),B1363-I1363+1,"")</f>
        <v/>
      </c>
      <c r="N1363" s="14" t="str">
        <f aca="false">IF(B1363="","",IF(M1363="","시작일 미입력",IF(M1363&lt;1,"시작일 이전(확인)",IF(M1363=1,"1일째",IF(M1363=2,"2일째",IF(M1363=3,"3일째",IF(M1363&lt;=7,"일주일 이내",IF(M1363&lt;=14,"이주일 이내","15일 이후"))))))))</f>
        <v/>
      </c>
      <c r="O1363" s="0" t="str">
        <f aca="false">IF(AND(COUNTA($A1363:$J1363)&gt;0,OR(클레임조회!$C$4="",AND(ISNUMBER($B1363),$B1363&gt;=클레임조회!$C$4)),OR(클레임조회!$C$5="",AND(ISNUMBER($B1363),$B1363&lt;=클레임조회!$C$5)),OR(클레임조회!$C$6="",$C1363=클레임조회!$C$6),OR(클레임조회!$C$7="",$D1363=클레임조회!$C$7),OR(클레임조회!$C$8="",$E1363=클레임조회!$C$8),OR(클레임조회!$C$9="",$F1363=클레임조회!$C$9),OR(클레임조회!$C$10="",ISNUMBER(SEARCH(클레임조회!$C$10,$C1363&amp;" "&amp;$F1363&amp;" "&amp;$G1363&amp;" "&amp;$H1363)))),COUNT(O$1:O1362)+1,"")</f>
        <v/>
      </c>
      <c r="P1363" s="0" t="str">
        <f aca="false">IF(AND(TRIM(C1363)&lt;&gt;"",COUNTIF(C$2:C1363,C1363)=1),MAX(P$1:P1362)+1,"")</f>
        <v/>
      </c>
      <c r="Q1363" s="0" t="str">
        <f aca="false">IF(AND(TRIM(F1363)&lt;&gt;"",COUNTIF(F$2:F1363,F1363)=1),MAX(Q$1:Q1362)+1,"")</f>
        <v/>
      </c>
    </row>
    <row r="1364" customFormat="false" ht="15" hidden="false" customHeight="false" outlineLevel="0" collapsed="false">
      <c r="A1364" s="9"/>
      <c r="B1364" s="10"/>
      <c r="C1364" s="11"/>
      <c r="D1364" s="11"/>
      <c r="E1364" s="11"/>
      <c r="F1364" s="11"/>
      <c r="G1364" s="12"/>
      <c r="H1364" s="12"/>
      <c r="I1364" s="10"/>
      <c r="J1364" s="12"/>
      <c r="K1364" s="13" t="str">
        <f aca="false">IF(ISNUMBER(B1364),YEAR(B1364),"")</f>
        <v/>
      </c>
      <c r="L1364" s="13" t="str">
        <f aca="false">IF(ISNUMBER(B1364),MONTH(B1364),"")</f>
        <v/>
      </c>
      <c r="M1364" s="13" t="str">
        <f aca="false">IF(AND(ISNUMBER(B1364),ISNUMBER(I1364)),B1364-I1364+1,"")</f>
        <v/>
      </c>
      <c r="N1364" s="14" t="str">
        <f aca="false">IF(B1364="","",IF(M1364="","시작일 미입력",IF(M1364&lt;1,"시작일 이전(확인)",IF(M1364=1,"1일째",IF(M1364=2,"2일째",IF(M1364=3,"3일째",IF(M1364&lt;=7,"일주일 이내",IF(M1364&lt;=14,"이주일 이내","15일 이후"))))))))</f>
        <v/>
      </c>
      <c r="O1364" s="0" t="str">
        <f aca="false">IF(AND(COUNTA($A1364:$J1364)&gt;0,OR(클레임조회!$C$4="",AND(ISNUMBER($B1364),$B1364&gt;=클레임조회!$C$4)),OR(클레임조회!$C$5="",AND(ISNUMBER($B1364),$B1364&lt;=클레임조회!$C$5)),OR(클레임조회!$C$6="",$C1364=클레임조회!$C$6),OR(클레임조회!$C$7="",$D1364=클레임조회!$C$7),OR(클레임조회!$C$8="",$E1364=클레임조회!$C$8),OR(클레임조회!$C$9="",$F1364=클레임조회!$C$9),OR(클레임조회!$C$10="",ISNUMBER(SEARCH(클레임조회!$C$10,$C1364&amp;" "&amp;$F1364&amp;" "&amp;$G1364&amp;" "&amp;$H1364)))),COUNT(O$1:O1363)+1,"")</f>
        <v/>
      </c>
      <c r="P1364" s="0" t="str">
        <f aca="false">IF(AND(TRIM(C1364)&lt;&gt;"",COUNTIF(C$2:C1364,C1364)=1),MAX(P$1:P1363)+1,"")</f>
        <v/>
      </c>
      <c r="Q1364" s="0" t="str">
        <f aca="false">IF(AND(TRIM(F1364)&lt;&gt;"",COUNTIF(F$2:F1364,F1364)=1),MAX(Q$1:Q1363)+1,"")</f>
        <v/>
      </c>
    </row>
    <row r="1365" customFormat="false" ht="15" hidden="false" customHeight="false" outlineLevel="0" collapsed="false">
      <c r="A1365" s="9"/>
      <c r="B1365" s="10"/>
      <c r="C1365" s="11"/>
      <c r="D1365" s="11"/>
      <c r="E1365" s="11"/>
      <c r="F1365" s="11"/>
      <c r="G1365" s="12"/>
      <c r="H1365" s="12"/>
      <c r="I1365" s="10"/>
      <c r="J1365" s="12"/>
      <c r="K1365" s="13" t="str">
        <f aca="false">IF(ISNUMBER(B1365),YEAR(B1365),"")</f>
        <v/>
      </c>
      <c r="L1365" s="13" t="str">
        <f aca="false">IF(ISNUMBER(B1365),MONTH(B1365),"")</f>
        <v/>
      </c>
      <c r="M1365" s="13" t="str">
        <f aca="false">IF(AND(ISNUMBER(B1365),ISNUMBER(I1365)),B1365-I1365+1,"")</f>
        <v/>
      </c>
      <c r="N1365" s="14" t="str">
        <f aca="false">IF(B1365="","",IF(M1365="","시작일 미입력",IF(M1365&lt;1,"시작일 이전(확인)",IF(M1365=1,"1일째",IF(M1365=2,"2일째",IF(M1365=3,"3일째",IF(M1365&lt;=7,"일주일 이내",IF(M1365&lt;=14,"이주일 이내","15일 이후"))))))))</f>
        <v/>
      </c>
      <c r="O1365" s="0" t="str">
        <f aca="false">IF(AND(COUNTA($A1365:$J1365)&gt;0,OR(클레임조회!$C$4="",AND(ISNUMBER($B1365),$B1365&gt;=클레임조회!$C$4)),OR(클레임조회!$C$5="",AND(ISNUMBER($B1365),$B1365&lt;=클레임조회!$C$5)),OR(클레임조회!$C$6="",$C1365=클레임조회!$C$6),OR(클레임조회!$C$7="",$D1365=클레임조회!$C$7),OR(클레임조회!$C$8="",$E1365=클레임조회!$C$8),OR(클레임조회!$C$9="",$F1365=클레임조회!$C$9),OR(클레임조회!$C$10="",ISNUMBER(SEARCH(클레임조회!$C$10,$C1365&amp;" "&amp;$F1365&amp;" "&amp;$G1365&amp;" "&amp;$H1365)))),COUNT(O$1:O1364)+1,"")</f>
        <v/>
      </c>
      <c r="P1365" s="0" t="str">
        <f aca="false">IF(AND(TRIM(C1365)&lt;&gt;"",COUNTIF(C$2:C1365,C1365)=1),MAX(P$1:P1364)+1,"")</f>
        <v/>
      </c>
      <c r="Q1365" s="0" t="str">
        <f aca="false">IF(AND(TRIM(F1365)&lt;&gt;"",COUNTIF(F$2:F1365,F1365)=1),MAX(Q$1:Q1364)+1,"")</f>
        <v/>
      </c>
    </row>
    <row r="1366" customFormat="false" ht="15" hidden="false" customHeight="false" outlineLevel="0" collapsed="false">
      <c r="A1366" s="9"/>
      <c r="B1366" s="10"/>
      <c r="C1366" s="11"/>
      <c r="D1366" s="11"/>
      <c r="E1366" s="11"/>
      <c r="F1366" s="11"/>
      <c r="G1366" s="12"/>
      <c r="H1366" s="12"/>
      <c r="I1366" s="10"/>
      <c r="J1366" s="12"/>
      <c r="K1366" s="13" t="str">
        <f aca="false">IF(ISNUMBER(B1366),YEAR(B1366),"")</f>
        <v/>
      </c>
      <c r="L1366" s="13" t="str">
        <f aca="false">IF(ISNUMBER(B1366),MONTH(B1366),"")</f>
        <v/>
      </c>
      <c r="M1366" s="13" t="str">
        <f aca="false">IF(AND(ISNUMBER(B1366),ISNUMBER(I1366)),B1366-I1366+1,"")</f>
        <v/>
      </c>
      <c r="N1366" s="14" t="str">
        <f aca="false">IF(B1366="","",IF(M1366="","시작일 미입력",IF(M1366&lt;1,"시작일 이전(확인)",IF(M1366=1,"1일째",IF(M1366=2,"2일째",IF(M1366=3,"3일째",IF(M1366&lt;=7,"일주일 이내",IF(M1366&lt;=14,"이주일 이내","15일 이후"))))))))</f>
        <v/>
      </c>
      <c r="O1366" s="0" t="str">
        <f aca="false">IF(AND(COUNTA($A1366:$J1366)&gt;0,OR(클레임조회!$C$4="",AND(ISNUMBER($B1366),$B1366&gt;=클레임조회!$C$4)),OR(클레임조회!$C$5="",AND(ISNUMBER($B1366),$B1366&lt;=클레임조회!$C$5)),OR(클레임조회!$C$6="",$C1366=클레임조회!$C$6),OR(클레임조회!$C$7="",$D1366=클레임조회!$C$7),OR(클레임조회!$C$8="",$E1366=클레임조회!$C$8),OR(클레임조회!$C$9="",$F1366=클레임조회!$C$9),OR(클레임조회!$C$10="",ISNUMBER(SEARCH(클레임조회!$C$10,$C1366&amp;" "&amp;$F1366&amp;" "&amp;$G1366&amp;" "&amp;$H1366)))),COUNT(O$1:O1365)+1,"")</f>
        <v/>
      </c>
      <c r="P1366" s="0" t="str">
        <f aca="false">IF(AND(TRIM(C1366)&lt;&gt;"",COUNTIF(C$2:C1366,C1366)=1),MAX(P$1:P1365)+1,"")</f>
        <v/>
      </c>
      <c r="Q1366" s="0" t="str">
        <f aca="false">IF(AND(TRIM(F1366)&lt;&gt;"",COUNTIF(F$2:F1366,F1366)=1),MAX(Q$1:Q1365)+1,"")</f>
        <v/>
      </c>
    </row>
    <row r="1367" customFormat="false" ht="15" hidden="false" customHeight="false" outlineLevel="0" collapsed="false">
      <c r="A1367" s="9"/>
      <c r="B1367" s="10"/>
      <c r="C1367" s="11"/>
      <c r="D1367" s="11"/>
      <c r="E1367" s="11"/>
      <c r="F1367" s="11"/>
      <c r="G1367" s="12"/>
      <c r="H1367" s="12"/>
      <c r="I1367" s="10"/>
      <c r="J1367" s="12"/>
      <c r="K1367" s="13" t="str">
        <f aca="false">IF(ISNUMBER(B1367),YEAR(B1367),"")</f>
        <v/>
      </c>
      <c r="L1367" s="13" t="str">
        <f aca="false">IF(ISNUMBER(B1367),MONTH(B1367),"")</f>
        <v/>
      </c>
      <c r="M1367" s="13" t="str">
        <f aca="false">IF(AND(ISNUMBER(B1367),ISNUMBER(I1367)),B1367-I1367+1,"")</f>
        <v/>
      </c>
      <c r="N1367" s="14" t="str">
        <f aca="false">IF(B1367="","",IF(M1367="","시작일 미입력",IF(M1367&lt;1,"시작일 이전(확인)",IF(M1367=1,"1일째",IF(M1367=2,"2일째",IF(M1367=3,"3일째",IF(M1367&lt;=7,"일주일 이내",IF(M1367&lt;=14,"이주일 이내","15일 이후"))))))))</f>
        <v/>
      </c>
      <c r="O1367" s="0" t="str">
        <f aca="false">IF(AND(COUNTA($A1367:$J1367)&gt;0,OR(클레임조회!$C$4="",AND(ISNUMBER($B1367),$B1367&gt;=클레임조회!$C$4)),OR(클레임조회!$C$5="",AND(ISNUMBER($B1367),$B1367&lt;=클레임조회!$C$5)),OR(클레임조회!$C$6="",$C1367=클레임조회!$C$6),OR(클레임조회!$C$7="",$D1367=클레임조회!$C$7),OR(클레임조회!$C$8="",$E1367=클레임조회!$C$8),OR(클레임조회!$C$9="",$F1367=클레임조회!$C$9),OR(클레임조회!$C$10="",ISNUMBER(SEARCH(클레임조회!$C$10,$C1367&amp;" "&amp;$F1367&amp;" "&amp;$G1367&amp;" "&amp;$H1367)))),COUNT(O$1:O1366)+1,"")</f>
        <v/>
      </c>
      <c r="P1367" s="0" t="str">
        <f aca="false">IF(AND(TRIM(C1367)&lt;&gt;"",COUNTIF(C$2:C1367,C1367)=1),MAX(P$1:P1366)+1,"")</f>
        <v/>
      </c>
      <c r="Q1367" s="0" t="str">
        <f aca="false">IF(AND(TRIM(F1367)&lt;&gt;"",COUNTIF(F$2:F1367,F1367)=1),MAX(Q$1:Q1366)+1,"")</f>
        <v/>
      </c>
    </row>
    <row r="1368" customFormat="false" ht="15" hidden="false" customHeight="false" outlineLevel="0" collapsed="false">
      <c r="A1368" s="9"/>
      <c r="B1368" s="10"/>
      <c r="C1368" s="11"/>
      <c r="D1368" s="11"/>
      <c r="E1368" s="11"/>
      <c r="F1368" s="11"/>
      <c r="G1368" s="12"/>
      <c r="H1368" s="12"/>
      <c r="I1368" s="10"/>
      <c r="J1368" s="12"/>
      <c r="K1368" s="13" t="str">
        <f aca="false">IF(ISNUMBER(B1368),YEAR(B1368),"")</f>
        <v/>
      </c>
      <c r="L1368" s="13" t="str">
        <f aca="false">IF(ISNUMBER(B1368),MONTH(B1368),"")</f>
        <v/>
      </c>
      <c r="M1368" s="13" t="str">
        <f aca="false">IF(AND(ISNUMBER(B1368),ISNUMBER(I1368)),B1368-I1368+1,"")</f>
        <v/>
      </c>
      <c r="N1368" s="14" t="str">
        <f aca="false">IF(B1368="","",IF(M1368="","시작일 미입력",IF(M1368&lt;1,"시작일 이전(확인)",IF(M1368=1,"1일째",IF(M1368=2,"2일째",IF(M1368=3,"3일째",IF(M1368&lt;=7,"일주일 이내",IF(M1368&lt;=14,"이주일 이내","15일 이후"))))))))</f>
        <v/>
      </c>
      <c r="O1368" s="0" t="str">
        <f aca="false">IF(AND(COUNTA($A1368:$J1368)&gt;0,OR(클레임조회!$C$4="",AND(ISNUMBER($B1368),$B1368&gt;=클레임조회!$C$4)),OR(클레임조회!$C$5="",AND(ISNUMBER($B1368),$B1368&lt;=클레임조회!$C$5)),OR(클레임조회!$C$6="",$C1368=클레임조회!$C$6),OR(클레임조회!$C$7="",$D1368=클레임조회!$C$7),OR(클레임조회!$C$8="",$E1368=클레임조회!$C$8),OR(클레임조회!$C$9="",$F1368=클레임조회!$C$9),OR(클레임조회!$C$10="",ISNUMBER(SEARCH(클레임조회!$C$10,$C1368&amp;" "&amp;$F1368&amp;" "&amp;$G1368&amp;" "&amp;$H1368)))),COUNT(O$1:O1367)+1,"")</f>
        <v/>
      </c>
      <c r="P1368" s="0" t="str">
        <f aca="false">IF(AND(TRIM(C1368)&lt;&gt;"",COUNTIF(C$2:C1368,C1368)=1),MAX(P$1:P1367)+1,"")</f>
        <v/>
      </c>
      <c r="Q1368" s="0" t="str">
        <f aca="false">IF(AND(TRIM(F1368)&lt;&gt;"",COUNTIF(F$2:F1368,F1368)=1),MAX(Q$1:Q1367)+1,"")</f>
        <v/>
      </c>
    </row>
    <row r="1369" customFormat="false" ht="15" hidden="false" customHeight="false" outlineLevel="0" collapsed="false">
      <c r="A1369" s="9"/>
      <c r="B1369" s="10"/>
      <c r="C1369" s="11"/>
      <c r="D1369" s="11"/>
      <c r="E1369" s="11"/>
      <c r="F1369" s="11"/>
      <c r="G1369" s="12"/>
      <c r="H1369" s="12"/>
      <c r="I1369" s="10"/>
      <c r="J1369" s="12"/>
      <c r="K1369" s="13" t="str">
        <f aca="false">IF(ISNUMBER(B1369),YEAR(B1369),"")</f>
        <v/>
      </c>
      <c r="L1369" s="13" t="str">
        <f aca="false">IF(ISNUMBER(B1369),MONTH(B1369),"")</f>
        <v/>
      </c>
      <c r="M1369" s="13" t="str">
        <f aca="false">IF(AND(ISNUMBER(B1369),ISNUMBER(I1369)),B1369-I1369+1,"")</f>
        <v/>
      </c>
      <c r="N1369" s="14" t="str">
        <f aca="false">IF(B1369="","",IF(M1369="","시작일 미입력",IF(M1369&lt;1,"시작일 이전(확인)",IF(M1369=1,"1일째",IF(M1369=2,"2일째",IF(M1369=3,"3일째",IF(M1369&lt;=7,"일주일 이내",IF(M1369&lt;=14,"이주일 이내","15일 이후"))))))))</f>
        <v/>
      </c>
      <c r="O1369" s="0" t="str">
        <f aca="false">IF(AND(COUNTA($A1369:$J1369)&gt;0,OR(클레임조회!$C$4="",AND(ISNUMBER($B1369),$B1369&gt;=클레임조회!$C$4)),OR(클레임조회!$C$5="",AND(ISNUMBER($B1369),$B1369&lt;=클레임조회!$C$5)),OR(클레임조회!$C$6="",$C1369=클레임조회!$C$6),OR(클레임조회!$C$7="",$D1369=클레임조회!$C$7),OR(클레임조회!$C$8="",$E1369=클레임조회!$C$8),OR(클레임조회!$C$9="",$F1369=클레임조회!$C$9),OR(클레임조회!$C$10="",ISNUMBER(SEARCH(클레임조회!$C$10,$C1369&amp;" "&amp;$F1369&amp;" "&amp;$G1369&amp;" "&amp;$H1369)))),COUNT(O$1:O1368)+1,"")</f>
        <v/>
      </c>
      <c r="P1369" s="0" t="str">
        <f aca="false">IF(AND(TRIM(C1369)&lt;&gt;"",COUNTIF(C$2:C1369,C1369)=1),MAX(P$1:P1368)+1,"")</f>
        <v/>
      </c>
      <c r="Q1369" s="0" t="str">
        <f aca="false">IF(AND(TRIM(F1369)&lt;&gt;"",COUNTIF(F$2:F1369,F1369)=1),MAX(Q$1:Q1368)+1,"")</f>
        <v/>
      </c>
    </row>
    <row r="1370" customFormat="false" ht="15" hidden="false" customHeight="false" outlineLevel="0" collapsed="false">
      <c r="A1370" s="9"/>
      <c r="B1370" s="10"/>
      <c r="C1370" s="11"/>
      <c r="D1370" s="11"/>
      <c r="E1370" s="11"/>
      <c r="F1370" s="11"/>
      <c r="G1370" s="12"/>
      <c r="H1370" s="12"/>
      <c r="I1370" s="10"/>
      <c r="J1370" s="12"/>
      <c r="K1370" s="13" t="str">
        <f aca="false">IF(ISNUMBER(B1370),YEAR(B1370),"")</f>
        <v/>
      </c>
      <c r="L1370" s="13" t="str">
        <f aca="false">IF(ISNUMBER(B1370),MONTH(B1370),"")</f>
        <v/>
      </c>
      <c r="M1370" s="13" t="str">
        <f aca="false">IF(AND(ISNUMBER(B1370),ISNUMBER(I1370)),B1370-I1370+1,"")</f>
        <v/>
      </c>
      <c r="N1370" s="14" t="str">
        <f aca="false">IF(B1370="","",IF(M1370="","시작일 미입력",IF(M1370&lt;1,"시작일 이전(확인)",IF(M1370=1,"1일째",IF(M1370=2,"2일째",IF(M1370=3,"3일째",IF(M1370&lt;=7,"일주일 이내",IF(M1370&lt;=14,"이주일 이내","15일 이후"))))))))</f>
        <v/>
      </c>
      <c r="O1370" s="0" t="str">
        <f aca="false">IF(AND(COUNTA($A1370:$J1370)&gt;0,OR(클레임조회!$C$4="",AND(ISNUMBER($B1370),$B1370&gt;=클레임조회!$C$4)),OR(클레임조회!$C$5="",AND(ISNUMBER($B1370),$B1370&lt;=클레임조회!$C$5)),OR(클레임조회!$C$6="",$C1370=클레임조회!$C$6),OR(클레임조회!$C$7="",$D1370=클레임조회!$C$7),OR(클레임조회!$C$8="",$E1370=클레임조회!$C$8),OR(클레임조회!$C$9="",$F1370=클레임조회!$C$9),OR(클레임조회!$C$10="",ISNUMBER(SEARCH(클레임조회!$C$10,$C1370&amp;" "&amp;$F1370&amp;" "&amp;$G1370&amp;" "&amp;$H1370)))),COUNT(O$1:O1369)+1,"")</f>
        <v/>
      </c>
      <c r="P1370" s="0" t="str">
        <f aca="false">IF(AND(TRIM(C1370)&lt;&gt;"",COUNTIF(C$2:C1370,C1370)=1),MAX(P$1:P1369)+1,"")</f>
        <v/>
      </c>
      <c r="Q1370" s="0" t="str">
        <f aca="false">IF(AND(TRIM(F1370)&lt;&gt;"",COUNTIF(F$2:F1370,F1370)=1),MAX(Q$1:Q1369)+1,"")</f>
        <v/>
      </c>
    </row>
    <row r="1371" customFormat="false" ht="15" hidden="false" customHeight="false" outlineLevel="0" collapsed="false">
      <c r="A1371" s="9"/>
      <c r="B1371" s="10"/>
      <c r="C1371" s="11"/>
      <c r="D1371" s="11"/>
      <c r="E1371" s="11"/>
      <c r="F1371" s="11"/>
      <c r="G1371" s="12"/>
      <c r="H1371" s="12"/>
      <c r="I1371" s="10"/>
      <c r="J1371" s="12"/>
      <c r="K1371" s="13" t="str">
        <f aca="false">IF(ISNUMBER(B1371),YEAR(B1371),"")</f>
        <v/>
      </c>
      <c r="L1371" s="13" t="str">
        <f aca="false">IF(ISNUMBER(B1371),MONTH(B1371),"")</f>
        <v/>
      </c>
      <c r="M1371" s="13" t="str">
        <f aca="false">IF(AND(ISNUMBER(B1371),ISNUMBER(I1371)),B1371-I1371+1,"")</f>
        <v/>
      </c>
      <c r="N1371" s="14" t="str">
        <f aca="false">IF(B1371="","",IF(M1371="","시작일 미입력",IF(M1371&lt;1,"시작일 이전(확인)",IF(M1371=1,"1일째",IF(M1371=2,"2일째",IF(M1371=3,"3일째",IF(M1371&lt;=7,"일주일 이내",IF(M1371&lt;=14,"이주일 이내","15일 이후"))))))))</f>
        <v/>
      </c>
      <c r="O1371" s="0" t="str">
        <f aca="false">IF(AND(COUNTA($A1371:$J1371)&gt;0,OR(클레임조회!$C$4="",AND(ISNUMBER($B1371),$B1371&gt;=클레임조회!$C$4)),OR(클레임조회!$C$5="",AND(ISNUMBER($B1371),$B1371&lt;=클레임조회!$C$5)),OR(클레임조회!$C$6="",$C1371=클레임조회!$C$6),OR(클레임조회!$C$7="",$D1371=클레임조회!$C$7),OR(클레임조회!$C$8="",$E1371=클레임조회!$C$8),OR(클레임조회!$C$9="",$F1371=클레임조회!$C$9),OR(클레임조회!$C$10="",ISNUMBER(SEARCH(클레임조회!$C$10,$C1371&amp;" "&amp;$F1371&amp;" "&amp;$G1371&amp;" "&amp;$H1371)))),COUNT(O$1:O1370)+1,"")</f>
        <v/>
      </c>
      <c r="P1371" s="0" t="str">
        <f aca="false">IF(AND(TRIM(C1371)&lt;&gt;"",COUNTIF(C$2:C1371,C1371)=1),MAX(P$1:P1370)+1,"")</f>
        <v/>
      </c>
      <c r="Q1371" s="0" t="str">
        <f aca="false">IF(AND(TRIM(F1371)&lt;&gt;"",COUNTIF(F$2:F1371,F1371)=1),MAX(Q$1:Q1370)+1,"")</f>
        <v/>
      </c>
    </row>
    <row r="1372" customFormat="false" ht="15" hidden="false" customHeight="false" outlineLevel="0" collapsed="false">
      <c r="A1372" s="9"/>
      <c r="B1372" s="10"/>
      <c r="C1372" s="11"/>
      <c r="D1372" s="11"/>
      <c r="E1372" s="11"/>
      <c r="F1372" s="11"/>
      <c r="G1372" s="12"/>
      <c r="H1372" s="12"/>
      <c r="I1372" s="10"/>
      <c r="J1372" s="12"/>
      <c r="K1372" s="13" t="str">
        <f aca="false">IF(ISNUMBER(B1372),YEAR(B1372),"")</f>
        <v/>
      </c>
      <c r="L1372" s="13" t="str">
        <f aca="false">IF(ISNUMBER(B1372),MONTH(B1372),"")</f>
        <v/>
      </c>
      <c r="M1372" s="13" t="str">
        <f aca="false">IF(AND(ISNUMBER(B1372),ISNUMBER(I1372)),B1372-I1372+1,"")</f>
        <v/>
      </c>
      <c r="N1372" s="14" t="str">
        <f aca="false">IF(B1372="","",IF(M1372="","시작일 미입력",IF(M1372&lt;1,"시작일 이전(확인)",IF(M1372=1,"1일째",IF(M1372=2,"2일째",IF(M1372=3,"3일째",IF(M1372&lt;=7,"일주일 이내",IF(M1372&lt;=14,"이주일 이내","15일 이후"))))))))</f>
        <v/>
      </c>
      <c r="O1372" s="0" t="str">
        <f aca="false">IF(AND(COUNTA($A1372:$J1372)&gt;0,OR(클레임조회!$C$4="",AND(ISNUMBER($B1372),$B1372&gt;=클레임조회!$C$4)),OR(클레임조회!$C$5="",AND(ISNUMBER($B1372),$B1372&lt;=클레임조회!$C$5)),OR(클레임조회!$C$6="",$C1372=클레임조회!$C$6),OR(클레임조회!$C$7="",$D1372=클레임조회!$C$7),OR(클레임조회!$C$8="",$E1372=클레임조회!$C$8),OR(클레임조회!$C$9="",$F1372=클레임조회!$C$9),OR(클레임조회!$C$10="",ISNUMBER(SEARCH(클레임조회!$C$10,$C1372&amp;" "&amp;$F1372&amp;" "&amp;$G1372&amp;" "&amp;$H1372)))),COUNT(O$1:O1371)+1,"")</f>
        <v/>
      </c>
      <c r="P1372" s="0" t="str">
        <f aca="false">IF(AND(TRIM(C1372)&lt;&gt;"",COUNTIF(C$2:C1372,C1372)=1),MAX(P$1:P1371)+1,"")</f>
        <v/>
      </c>
      <c r="Q1372" s="0" t="str">
        <f aca="false">IF(AND(TRIM(F1372)&lt;&gt;"",COUNTIF(F$2:F1372,F1372)=1),MAX(Q$1:Q1371)+1,"")</f>
        <v/>
      </c>
    </row>
    <row r="1373" customFormat="false" ht="15" hidden="false" customHeight="false" outlineLevel="0" collapsed="false">
      <c r="A1373" s="9"/>
      <c r="B1373" s="10"/>
      <c r="C1373" s="11"/>
      <c r="D1373" s="11"/>
      <c r="E1373" s="11"/>
      <c r="F1373" s="11"/>
      <c r="G1373" s="12"/>
      <c r="H1373" s="12"/>
      <c r="I1373" s="10"/>
      <c r="J1373" s="12"/>
      <c r="K1373" s="13" t="str">
        <f aca="false">IF(ISNUMBER(B1373),YEAR(B1373),"")</f>
        <v/>
      </c>
      <c r="L1373" s="13" t="str">
        <f aca="false">IF(ISNUMBER(B1373),MONTH(B1373),"")</f>
        <v/>
      </c>
      <c r="M1373" s="13" t="str">
        <f aca="false">IF(AND(ISNUMBER(B1373),ISNUMBER(I1373)),B1373-I1373+1,"")</f>
        <v/>
      </c>
      <c r="N1373" s="14" t="str">
        <f aca="false">IF(B1373="","",IF(M1373="","시작일 미입력",IF(M1373&lt;1,"시작일 이전(확인)",IF(M1373=1,"1일째",IF(M1373=2,"2일째",IF(M1373=3,"3일째",IF(M1373&lt;=7,"일주일 이내",IF(M1373&lt;=14,"이주일 이내","15일 이후"))))))))</f>
        <v/>
      </c>
      <c r="O1373" s="0" t="str">
        <f aca="false">IF(AND(COUNTA($A1373:$J1373)&gt;0,OR(클레임조회!$C$4="",AND(ISNUMBER($B1373),$B1373&gt;=클레임조회!$C$4)),OR(클레임조회!$C$5="",AND(ISNUMBER($B1373),$B1373&lt;=클레임조회!$C$5)),OR(클레임조회!$C$6="",$C1373=클레임조회!$C$6),OR(클레임조회!$C$7="",$D1373=클레임조회!$C$7),OR(클레임조회!$C$8="",$E1373=클레임조회!$C$8),OR(클레임조회!$C$9="",$F1373=클레임조회!$C$9),OR(클레임조회!$C$10="",ISNUMBER(SEARCH(클레임조회!$C$10,$C1373&amp;" "&amp;$F1373&amp;" "&amp;$G1373&amp;" "&amp;$H1373)))),COUNT(O$1:O1372)+1,"")</f>
        <v/>
      </c>
      <c r="P1373" s="0" t="str">
        <f aca="false">IF(AND(TRIM(C1373)&lt;&gt;"",COUNTIF(C$2:C1373,C1373)=1),MAX(P$1:P1372)+1,"")</f>
        <v/>
      </c>
      <c r="Q1373" s="0" t="str">
        <f aca="false">IF(AND(TRIM(F1373)&lt;&gt;"",COUNTIF(F$2:F1373,F1373)=1),MAX(Q$1:Q1372)+1,"")</f>
        <v/>
      </c>
    </row>
    <row r="1374" customFormat="false" ht="15" hidden="false" customHeight="false" outlineLevel="0" collapsed="false">
      <c r="A1374" s="9"/>
      <c r="B1374" s="10"/>
      <c r="C1374" s="11"/>
      <c r="D1374" s="11"/>
      <c r="E1374" s="11"/>
      <c r="F1374" s="11"/>
      <c r="G1374" s="12"/>
      <c r="H1374" s="12"/>
      <c r="I1374" s="10"/>
      <c r="J1374" s="12"/>
      <c r="K1374" s="13" t="str">
        <f aca="false">IF(ISNUMBER(B1374),YEAR(B1374),"")</f>
        <v/>
      </c>
      <c r="L1374" s="13" t="str">
        <f aca="false">IF(ISNUMBER(B1374),MONTH(B1374),"")</f>
        <v/>
      </c>
      <c r="M1374" s="13" t="str">
        <f aca="false">IF(AND(ISNUMBER(B1374),ISNUMBER(I1374)),B1374-I1374+1,"")</f>
        <v/>
      </c>
      <c r="N1374" s="14" t="str">
        <f aca="false">IF(B1374="","",IF(M1374="","시작일 미입력",IF(M1374&lt;1,"시작일 이전(확인)",IF(M1374=1,"1일째",IF(M1374=2,"2일째",IF(M1374=3,"3일째",IF(M1374&lt;=7,"일주일 이내",IF(M1374&lt;=14,"이주일 이내","15일 이후"))))))))</f>
        <v/>
      </c>
      <c r="O1374" s="0" t="str">
        <f aca="false">IF(AND(COUNTA($A1374:$J1374)&gt;0,OR(클레임조회!$C$4="",AND(ISNUMBER($B1374),$B1374&gt;=클레임조회!$C$4)),OR(클레임조회!$C$5="",AND(ISNUMBER($B1374),$B1374&lt;=클레임조회!$C$5)),OR(클레임조회!$C$6="",$C1374=클레임조회!$C$6),OR(클레임조회!$C$7="",$D1374=클레임조회!$C$7),OR(클레임조회!$C$8="",$E1374=클레임조회!$C$8),OR(클레임조회!$C$9="",$F1374=클레임조회!$C$9),OR(클레임조회!$C$10="",ISNUMBER(SEARCH(클레임조회!$C$10,$C1374&amp;" "&amp;$F1374&amp;" "&amp;$G1374&amp;" "&amp;$H1374)))),COUNT(O$1:O1373)+1,"")</f>
        <v/>
      </c>
      <c r="P1374" s="0" t="str">
        <f aca="false">IF(AND(TRIM(C1374)&lt;&gt;"",COUNTIF(C$2:C1374,C1374)=1),MAX(P$1:P1373)+1,"")</f>
        <v/>
      </c>
      <c r="Q1374" s="0" t="str">
        <f aca="false">IF(AND(TRIM(F1374)&lt;&gt;"",COUNTIF(F$2:F1374,F1374)=1),MAX(Q$1:Q1373)+1,"")</f>
        <v/>
      </c>
    </row>
    <row r="1375" customFormat="false" ht="15" hidden="false" customHeight="false" outlineLevel="0" collapsed="false">
      <c r="A1375" s="9"/>
      <c r="B1375" s="10"/>
      <c r="C1375" s="11"/>
      <c r="D1375" s="11"/>
      <c r="E1375" s="11"/>
      <c r="F1375" s="11"/>
      <c r="G1375" s="12"/>
      <c r="H1375" s="12"/>
      <c r="I1375" s="10"/>
      <c r="J1375" s="12"/>
      <c r="K1375" s="13" t="str">
        <f aca="false">IF(ISNUMBER(B1375),YEAR(B1375),"")</f>
        <v/>
      </c>
      <c r="L1375" s="13" t="str">
        <f aca="false">IF(ISNUMBER(B1375),MONTH(B1375),"")</f>
        <v/>
      </c>
      <c r="M1375" s="13" t="str">
        <f aca="false">IF(AND(ISNUMBER(B1375),ISNUMBER(I1375)),B1375-I1375+1,"")</f>
        <v/>
      </c>
      <c r="N1375" s="14" t="str">
        <f aca="false">IF(B1375="","",IF(M1375="","시작일 미입력",IF(M1375&lt;1,"시작일 이전(확인)",IF(M1375=1,"1일째",IF(M1375=2,"2일째",IF(M1375=3,"3일째",IF(M1375&lt;=7,"일주일 이내",IF(M1375&lt;=14,"이주일 이내","15일 이후"))))))))</f>
        <v/>
      </c>
      <c r="O1375" s="0" t="str">
        <f aca="false">IF(AND(COUNTA($A1375:$J1375)&gt;0,OR(클레임조회!$C$4="",AND(ISNUMBER($B1375),$B1375&gt;=클레임조회!$C$4)),OR(클레임조회!$C$5="",AND(ISNUMBER($B1375),$B1375&lt;=클레임조회!$C$5)),OR(클레임조회!$C$6="",$C1375=클레임조회!$C$6),OR(클레임조회!$C$7="",$D1375=클레임조회!$C$7),OR(클레임조회!$C$8="",$E1375=클레임조회!$C$8),OR(클레임조회!$C$9="",$F1375=클레임조회!$C$9),OR(클레임조회!$C$10="",ISNUMBER(SEARCH(클레임조회!$C$10,$C1375&amp;" "&amp;$F1375&amp;" "&amp;$G1375&amp;" "&amp;$H1375)))),COUNT(O$1:O1374)+1,"")</f>
        <v/>
      </c>
      <c r="P1375" s="0" t="str">
        <f aca="false">IF(AND(TRIM(C1375)&lt;&gt;"",COUNTIF(C$2:C1375,C1375)=1),MAX(P$1:P1374)+1,"")</f>
        <v/>
      </c>
      <c r="Q1375" s="0" t="str">
        <f aca="false">IF(AND(TRIM(F1375)&lt;&gt;"",COUNTIF(F$2:F1375,F1375)=1),MAX(Q$1:Q1374)+1,"")</f>
        <v/>
      </c>
    </row>
    <row r="1376" customFormat="false" ht="15" hidden="false" customHeight="false" outlineLevel="0" collapsed="false">
      <c r="A1376" s="9"/>
      <c r="B1376" s="10"/>
      <c r="C1376" s="11"/>
      <c r="D1376" s="11"/>
      <c r="E1376" s="11"/>
      <c r="F1376" s="11"/>
      <c r="G1376" s="12"/>
      <c r="H1376" s="12"/>
      <c r="I1376" s="10"/>
      <c r="J1376" s="12"/>
      <c r="K1376" s="13" t="str">
        <f aca="false">IF(ISNUMBER(B1376),YEAR(B1376),"")</f>
        <v/>
      </c>
      <c r="L1376" s="13" t="str">
        <f aca="false">IF(ISNUMBER(B1376),MONTH(B1376),"")</f>
        <v/>
      </c>
      <c r="M1376" s="13" t="str">
        <f aca="false">IF(AND(ISNUMBER(B1376),ISNUMBER(I1376)),B1376-I1376+1,"")</f>
        <v/>
      </c>
      <c r="N1376" s="14" t="str">
        <f aca="false">IF(B1376="","",IF(M1376="","시작일 미입력",IF(M1376&lt;1,"시작일 이전(확인)",IF(M1376=1,"1일째",IF(M1376=2,"2일째",IF(M1376=3,"3일째",IF(M1376&lt;=7,"일주일 이내",IF(M1376&lt;=14,"이주일 이내","15일 이후"))))))))</f>
        <v/>
      </c>
      <c r="O1376" s="0" t="str">
        <f aca="false">IF(AND(COUNTA($A1376:$J1376)&gt;0,OR(클레임조회!$C$4="",AND(ISNUMBER($B1376),$B1376&gt;=클레임조회!$C$4)),OR(클레임조회!$C$5="",AND(ISNUMBER($B1376),$B1376&lt;=클레임조회!$C$5)),OR(클레임조회!$C$6="",$C1376=클레임조회!$C$6),OR(클레임조회!$C$7="",$D1376=클레임조회!$C$7),OR(클레임조회!$C$8="",$E1376=클레임조회!$C$8),OR(클레임조회!$C$9="",$F1376=클레임조회!$C$9),OR(클레임조회!$C$10="",ISNUMBER(SEARCH(클레임조회!$C$10,$C1376&amp;" "&amp;$F1376&amp;" "&amp;$G1376&amp;" "&amp;$H1376)))),COUNT(O$1:O1375)+1,"")</f>
        <v/>
      </c>
      <c r="P1376" s="0" t="str">
        <f aca="false">IF(AND(TRIM(C1376)&lt;&gt;"",COUNTIF(C$2:C1376,C1376)=1),MAX(P$1:P1375)+1,"")</f>
        <v/>
      </c>
      <c r="Q1376" s="0" t="str">
        <f aca="false">IF(AND(TRIM(F1376)&lt;&gt;"",COUNTIF(F$2:F1376,F1376)=1),MAX(Q$1:Q1375)+1,"")</f>
        <v/>
      </c>
    </row>
    <row r="1377" customFormat="false" ht="15" hidden="false" customHeight="false" outlineLevel="0" collapsed="false">
      <c r="A1377" s="9"/>
      <c r="B1377" s="10"/>
      <c r="C1377" s="11"/>
      <c r="D1377" s="11"/>
      <c r="E1377" s="11"/>
      <c r="F1377" s="11"/>
      <c r="G1377" s="12"/>
      <c r="H1377" s="12"/>
      <c r="I1377" s="10"/>
      <c r="J1377" s="12"/>
      <c r="K1377" s="13" t="str">
        <f aca="false">IF(ISNUMBER(B1377),YEAR(B1377),"")</f>
        <v/>
      </c>
      <c r="L1377" s="13" t="str">
        <f aca="false">IF(ISNUMBER(B1377),MONTH(B1377),"")</f>
        <v/>
      </c>
      <c r="M1377" s="13" t="str">
        <f aca="false">IF(AND(ISNUMBER(B1377),ISNUMBER(I1377)),B1377-I1377+1,"")</f>
        <v/>
      </c>
      <c r="N1377" s="14" t="str">
        <f aca="false">IF(B1377="","",IF(M1377="","시작일 미입력",IF(M1377&lt;1,"시작일 이전(확인)",IF(M1377=1,"1일째",IF(M1377=2,"2일째",IF(M1377=3,"3일째",IF(M1377&lt;=7,"일주일 이내",IF(M1377&lt;=14,"이주일 이내","15일 이후"))))))))</f>
        <v/>
      </c>
      <c r="O1377" s="0" t="str">
        <f aca="false">IF(AND(COUNTA($A1377:$J1377)&gt;0,OR(클레임조회!$C$4="",AND(ISNUMBER($B1377),$B1377&gt;=클레임조회!$C$4)),OR(클레임조회!$C$5="",AND(ISNUMBER($B1377),$B1377&lt;=클레임조회!$C$5)),OR(클레임조회!$C$6="",$C1377=클레임조회!$C$6),OR(클레임조회!$C$7="",$D1377=클레임조회!$C$7),OR(클레임조회!$C$8="",$E1377=클레임조회!$C$8),OR(클레임조회!$C$9="",$F1377=클레임조회!$C$9),OR(클레임조회!$C$10="",ISNUMBER(SEARCH(클레임조회!$C$10,$C1377&amp;" "&amp;$F1377&amp;" "&amp;$G1377&amp;" "&amp;$H1377)))),COUNT(O$1:O1376)+1,"")</f>
        <v/>
      </c>
      <c r="P1377" s="0" t="str">
        <f aca="false">IF(AND(TRIM(C1377)&lt;&gt;"",COUNTIF(C$2:C1377,C1377)=1),MAX(P$1:P1376)+1,"")</f>
        <v/>
      </c>
      <c r="Q1377" s="0" t="str">
        <f aca="false">IF(AND(TRIM(F1377)&lt;&gt;"",COUNTIF(F$2:F1377,F1377)=1),MAX(Q$1:Q1376)+1,"")</f>
        <v/>
      </c>
    </row>
    <row r="1378" customFormat="false" ht="15" hidden="false" customHeight="false" outlineLevel="0" collapsed="false">
      <c r="A1378" s="9"/>
      <c r="B1378" s="10"/>
      <c r="C1378" s="11"/>
      <c r="D1378" s="11"/>
      <c r="E1378" s="11"/>
      <c r="F1378" s="11"/>
      <c r="G1378" s="12"/>
      <c r="H1378" s="12"/>
      <c r="I1378" s="10"/>
      <c r="J1378" s="12"/>
      <c r="K1378" s="13" t="str">
        <f aca="false">IF(ISNUMBER(B1378),YEAR(B1378),"")</f>
        <v/>
      </c>
      <c r="L1378" s="13" t="str">
        <f aca="false">IF(ISNUMBER(B1378),MONTH(B1378),"")</f>
        <v/>
      </c>
      <c r="M1378" s="13" t="str">
        <f aca="false">IF(AND(ISNUMBER(B1378),ISNUMBER(I1378)),B1378-I1378+1,"")</f>
        <v/>
      </c>
      <c r="N1378" s="14" t="str">
        <f aca="false">IF(B1378="","",IF(M1378="","시작일 미입력",IF(M1378&lt;1,"시작일 이전(확인)",IF(M1378=1,"1일째",IF(M1378=2,"2일째",IF(M1378=3,"3일째",IF(M1378&lt;=7,"일주일 이내",IF(M1378&lt;=14,"이주일 이내","15일 이후"))))))))</f>
        <v/>
      </c>
      <c r="O1378" s="0" t="str">
        <f aca="false">IF(AND(COUNTA($A1378:$J1378)&gt;0,OR(클레임조회!$C$4="",AND(ISNUMBER($B1378),$B1378&gt;=클레임조회!$C$4)),OR(클레임조회!$C$5="",AND(ISNUMBER($B1378),$B1378&lt;=클레임조회!$C$5)),OR(클레임조회!$C$6="",$C1378=클레임조회!$C$6),OR(클레임조회!$C$7="",$D1378=클레임조회!$C$7),OR(클레임조회!$C$8="",$E1378=클레임조회!$C$8),OR(클레임조회!$C$9="",$F1378=클레임조회!$C$9),OR(클레임조회!$C$10="",ISNUMBER(SEARCH(클레임조회!$C$10,$C1378&amp;" "&amp;$F1378&amp;" "&amp;$G1378&amp;" "&amp;$H1378)))),COUNT(O$1:O1377)+1,"")</f>
        <v/>
      </c>
      <c r="P1378" s="0" t="str">
        <f aca="false">IF(AND(TRIM(C1378)&lt;&gt;"",COUNTIF(C$2:C1378,C1378)=1),MAX(P$1:P1377)+1,"")</f>
        <v/>
      </c>
      <c r="Q1378" s="0" t="str">
        <f aca="false">IF(AND(TRIM(F1378)&lt;&gt;"",COUNTIF(F$2:F1378,F1378)=1),MAX(Q$1:Q1377)+1,"")</f>
        <v/>
      </c>
    </row>
    <row r="1379" customFormat="false" ht="15" hidden="false" customHeight="false" outlineLevel="0" collapsed="false">
      <c r="A1379" s="9"/>
      <c r="B1379" s="10"/>
      <c r="C1379" s="11"/>
      <c r="D1379" s="11"/>
      <c r="E1379" s="11"/>
      <c r="F1379" s="11"/>
      <c r="G1379" s="12"/>
      <c r="H1379" s="12"/>
      <c r="I1379" s="10"/>
      <c r="J1379" s="12"/>
      <c r="K1379" s="13" t="str">
        <f aca="false">IF(ISNUMBER(B1379),YEAR(B1379),"")</f>
        <v/>
      </c>
      <c r="L1379" s="13" t="str">
        <f aca="false">IF(ISNUMBER(B1379),MONTH(B1379),"")</f>
        <v/>
      </c>
      <c r="M1379" s="13" t="str">
        <f aca="false">IF(AND(ISNUMBER(B1379),ISNUMBER(I1379)),B1379-I1379+1,"")</f>
        <v/>
      </c>
      <c r="N1379" s="14" t="str">
        <f aca="false">IF(B1379="","",IF(M1379="","시작일 미입력",IF(M1379&lt;1,"시작일 이전(확인)",IF(M1379=1,"1일째",IF(M1379=2,"2일째",IF(M1379=3,"3일째",IF(M1379&lt;=7,"일주일 이내",IF(M1379&lt;=14,"이주일 이내","15일 이후"))))))))</f>
        <v/>
      </c>
      <c r="O1379" s="0" t="str">
        <f aca="false">IF(AND(COUNTA($A1379:$J1379)&gt;0,OR(클레임조회!$C$4="",AND(ISNUMBER($B1379),$B1379&gt;=클레임조회!$C$4)),OR(클레임조회!$C$5="",AND(ISNUMBER($B1379),$B1379&lt;=클레임조회!$C$5)),OR(클레임조회!$C$6="",$C1379=클레임조회!$C$6),OR(클레임조회!$C$7="",$D1379=클레임조회!$C$7),OR(클레임조회!$C$8="",$E1379=클레임조회!$C$8),OR(클레임조회!$C$9="",$F1379=클레임조회!$C$9),OR(클레임조회!$C$10="",ISNUMBER(SEARCH(클레임조회!$C$10,$C1379&amp;" "&amp;$F1379&amp;" "&amp;$G1379&amp;" "&amp;$H1379)))),COUNT(O$1:O1378)+1,"")</f>
        <v/>
      </c>
      <c r="P1379" s="0" t="str">
        <f aca="false">IF(AND(TRIM(C1379)&lt;&gt;"",COUNTIF(C$2:C1379,C1379)=1),MAX(P$1:P1378)+1,"")</f>
        <v/>
      </c>
      <c r="Q1379" s="0" t="str">
        <f aca="false">IF(AND(TRIM(F1379)&lt;&gt;"",COUNTIF(F$2:F1379,F1379)=1),MAX(Q$1:Q1378)+1,"")</f>
        <v/>
      </c>
    </row>
    <row r="1380" customFormat="false" ht="15" hidden="false" customHeight="false" outlineLevel="0" collapsed="false">
      <c r="A1380" s="9"/>
      <c r="B1380" s="10"/>
      <c r="C1380" s="11"/>
      <c r="D1380" s="11"/>
      <c r="E1380" s="11"/>
      <c r="F1380" s="11"/>
      <c r="G1380" s="12"/>
      <c r="H1380" s="12"/>
      <c r="I1380" s="10"/>
      <c r="J1380" s="12"/>
      <c r="K1380" s="13" t="str">
        <f aca="false">IF(ISNUMBER(B1380),YEAR(B1380),"")</f>
        <v/>
      </c>
      <c r="L1380" s="13" t="str">
        <f aca="false">IF(ISNUMBER(B1380),MONTH(B1380),"")</f>
        <v/>
      </c>
      <c r="M1380" s="13" t="str">
        <f aca="false">IF(AND(ISNUMBER(B1380),ISNUMBER(I1380)),B1380-I1380+1,"")</f>
        <v/>
      </c>
      <c r="N1380" s="14" t="str">
        <f aca="false">IF(B1380="","",IF(M1380="","시작일 미입력",IF(M1380&lt;1,"시작일 이전(확인)",IF(M1380=1,"1일째",IF(M1380=2,"2일째",IF(M1380=3,"3일째",IF(M1380&lt;=7,"일주일 이내",IF(M1380&lt;=14,"이주일 이내","15일 이후"))))))))</f>
        <v/>
      </c>
      <c r="O1380" s="0" t="str">
        <f aca="false">IF(AND(COUNTA($A1380:$J1380)&gt;0,OR(클레임조회!$C$4="",AND(ISNUMBER($B1380),$B1380&gt;=클레임조회!$C$4)),OR(클레임조회!$C$5="",AND(ISNUMBER($B1380),$B1380&lt;=클레임조회!$C$5)),OR(클레임조회!$C$6="",$C1380=클레임조회!$C$6),OR(클레임조회!$C$7="",$D1380=클레임조회!$C$7),OR(클레임조회!$C$8="",$E1380=클레임조회!$C$8),OR(클레임조회!$C$9="",$F1380=클레임조회!$C$9),OR(클레임조회!$C$10="",ISNUMBER(SEARCH(클레임조회!$C$10,$C1380&amp;" "&amp;$F1380&amp;" "&amp;$G1380&amp;" "&amp;$H1380)))),COUNT(O$1:O1379)+1,"")</f>
        <v/>
      </c>
      <c r="P1380" s="0" t="str">
        <f aca="false">IF(AND(TRIM(C1380)&lt;&gt;"",COUNTIF(C$2:C1380,C1380)=1),MAX(P$1:P1379)+1,"")</f>
        <v/>
      </c>
      <c r="Q1380" s="0" t="str">
        <f aca="false">IF(AND(TRIM(F1380)&lt;&gt;"",COUNTIF(F$2:F1380,F1380)=1),MAX(Q$1:Q1379)+1,"")</f>
        <v/>
      </c>
    </row>
    <row r="1381" customFormat="false" ht="15" hidden="false" customHeight="false" outlineLevel="0" collapsed="false">
      <c r="A1381" s="9"/>
      <c r="B1381" s="10"/>
      <c r="C1381" s="11"/>
      <c r="D1381" s="11"/>
      <c r="E1381" s="11"/>
      <c r="F1381" s="11"/>
      <c r="G1381" s="12"/>
      <c r="H1381" s="12"/>
      <c r="I1381" s="10"/>
      <c r="J1381" s="12"/>
      <c r="K1381" s="13" t="str">
        <f aca="false">IF(ISNUMBER(B1381),YEAR(B1381),"")</f>
        <v/>
      </c>
      <c r="L1381" s="13" t="str">
        <f aca="false">IF(ISNUMBER(B1381),MONTH(B1381),"")</f>
        <v/>
      </c>
      <c r="M1381" s="13" t="str">
        <f aca="false">IF(AND(ISNUMBER(B1381),ISNUMBER(I1381)),B1381-I1381+1,"")</f>
        <v/>
      </c>
      <c r="N1381" s="14" t="str">
        <f aca="false">IF(B1381="","",IF(M1381="","시작일 미입력",IF(M1381&lt;1,"시작일 이전(확인)",IF(M1381=1,"1일째",IF(M1381=2,"2일째",IF(M1381=3,"3일째",IF(M1381&lt;=7,"일주일 이내",IF(M1381&lt;=14,"이주일 이내","15일 이후"))))))))</f>
        <v/>
      </c>
      <c r="O1381" s="0" t="str">
        <f aca="false">IF(AND(COUNTA($A1381:$J1381)&gt;0,OR(클레임조회!$C$4="",AND(ISNUMBER($B1381),$B1381&gt;=클레임조회!$C$4)),OR(클레임조회!$C$5="",AND(ISNUMBER($B1381),$B1381&lt;=클레임조회!$C$5)),OR(클레임조회!$C$6="",$C1381=클레임조회!$C$6),OR(클레임조회!$C$7="",$D1381=클레임조회!$C$7),OR(클레임조회!$C$8="",$E1381=클레임조회!$C$8),OR(클레임조회!$C$9="",$F1381=클레임조회!$C$9),OR(클레임조회!$C$10="",ISNUMBER(SEARCH(클레임조회!$C$10,$C1381&amp;" "&amp;$F1381&amp;" "&amp;$G1381&amp;" "&amp;$H1381)))),COUNT(O$1:O1380)+1,"")</f>
        <v/>
      </c>
      <c r="P1381" s="0" t="str">
        <f aca="false">IF(AND(TRIM(C1381)&lt;&gt;"",COUNTIF(C$2:C1381,C1381)=1),MAX(P$1:P1380)+1,"")</f>
        <v/>
      </c>
      <c r="Q1381" s="0" t="str">
        <f aca="false">IF(AND(TRIM(F1381)&lt;&gt;"",COUNTIF(F$2:F1381,F1381)=1),MAX(Q$1:Q1380)+1,"")</f>
        <v/>
      </c>
    </row>
    <row r="1382" customFormat="false" ht="15" hidden="false" customHeight="false" outlineLevel="0" collapsed="false">
      <c r="A1382" s="9"/>
      <c r="B1382" s="10"/>
      <c r="C1382" s="11"/>
      <c r="D1382" s="11"/>
      <c r="E1382" s="11"/>
      <c r="F1382" s="11"/>
      <c r="G1382" s="12"/>
      <c r="H1382" s="12"/>
      <c r="I1382" s="10"/>
      <c r="J1382" s="12"/>
      <c r="K1382" s="13" t="str">
        <f aca="false">IF(ISNUMBER(B1382),YEAR(B1382),"")</f>
        <v/>
      </c>
      <c r="L1382" s="13" t="str">
        <f aca="false">IF(ISNUMBER(B1382),MONTH(B1382),"")</f>
        <v/>
      </c>
      <c r="M1382" s="13" t="str">
        <f aca="false">IF(AND(ISNUMBER(B1382),ISNUMBER(I1382)),B1382-I1382+1,"")</f>
        <v/>
      </c>
      <c r="N1382" s="14" t="str">
        <f aca="false">IF(B1382="","",IF(M1382="","시작일 미입력",IF(M1382&lt;1,"시작일 이전(확인)",IF(M1382=1,"1일째",IF(M1382=2,"2일째",IF(M1382=3,"3일째",IF(M1382&lt;=7,"일주일 이내",IF(M1382&lt;=14,"이주일 이내","15일 이후"))))))))</f>
        <v/>
      </c>
      <c r="O1382" s="0" t="str">
        <f aca="false">IF(AND(COUNTA($A1382:$J1382)&gt;0,OR(클레임조회!$C$4="",AND(ISNUMBER($B1382),$B1382&gt;=클레임조회!$C$4)),OR(클레임조회!$C$5="",AND(ISNUMBER($B1382),$B1382&lt;=클레임조회!$C$5)),OR(클레임조회!$C$6="",$C1382=클레임조회!$C$6),OR(클레임조회!$C$7="",$D1382=클레임조회!$C$7),OR(클레임조회!$C$8="",$E1382=클레임조회!$C$8),OR(클레임조회!$C$9="",$F1382=클레임조회!$C$9),OR(클레임조회!$C$10="",ISNUMBER(SEARCH(클레임조회!$C$10,$C1382&amp;" "&amp;$F1382&amp;" "&amp;$G1382&amp;" "&amp;$H1382)))),COUNT(O$1:O1381)+1,"")</f>
        <v/>
      </c>
      <c r="P1382" s="0" t="str">
        <f aca="false">IF(AND(TRIM(C1382)&lt;&gt;"",COUNTIF(C$2:C1382,C1382)=1),MAX(P$1:P1381)+1,"")</f>
        <v/>
      </c>
      <c r="Q1382" s="0" t="str">
        <f aca="false">IF(AND(TRIM(F1382)&lt;&gt;"",COUNTIF(F$2:F1382,F1382)=1),MAX(Q$1:Q1381)+1,"")</f>
        <v/>
      </c>
    </row>
    <row r="1383" customFormat="false" ht="15" hidden="false" customHeight="false" outlineLevel="0" collapsed="false">
      <c r="A1383" s="9"/>
      <c r="B1383" s="10"/>
      <c r="C1383" s="11"/>
      <c r="D1383" s="11"/>
      <c r="E1383" s="11"/>
      <c r="F1383" s="11"/>
      <c r="G1383" s="12"/>
      <c r="H1383" s="12"/>
      <c r="I1383" s="10"/>
      <c r="J1383" s="12"/>
      <c r="K1383" s="13" t="str">
        <f aca="false">IF(ISNUMBER(B1383),YEAR(B1383),"")</f>
        <v/>
      </c>
      <c r="L1383" s="13" t="str">
        <f aca="false">IF(ISNUMBER(B1383),MONTH(B1383),"")</f>
        <v/>
      </c>
      <c r="M1383" s="13" t="str">
        <f aca="false">IF(AND(ISNUMBER(B1383),ISNUMBER(I1383)),B1383-I1383+1,"")</f>
        <v/>
      </c>
      <c r="N1383" s="14" t="str">
        <f aca="false">IF(B1383="","",IF(M1383="","시작일 미입력",IF(M1383&lt;1,"시작일 이전(확인)",IF(M1383=1,"1일째",IF(M1383=2,"2일째",IF(M1383=3,"3일째",IF(M1383&lt;=7,"일주일 이내",IF(M1383&lt;=14,"이주일 이내","15일 이후"))))))))</f>
        <v/>
      </c>
      <c r="O1383" s="0" t="str">
        <f aca="false">IF(AND(COUNTA($A1383:$J1383)&gt;0,OR(클레임조회!$C$4="",AND(ISNUMBER($B1383),$B1383&gt;=클레임조회!$C$4)),OR(클레임조회!$C$5="",AND(ISNUMBER($B1383),$B1383&lt;=클레임조회!$C$5)),OR(클레임조회!$C$6="",$C1383=클레임조회!$C$6),OR(클레임조회!$C$7="",$D1383=클레임조회!$C$7),OR(클레임조회!$C$8="",$E1383=클레임조회!$C$8),OR(클레임조회!$C$9="",$F1383=클레임조회!$C$9),OR(클레임조회!$C$10="",ISNUMBER(SEARCH(클레임조회!$C$10,$C1383&amp;" "&amp;$F1383&amp;" "&amp;$G1383&amp;" "&amp;$H1383)))),COUNT(O$1:O1382)+1,"")</f>
        <v/>
      </c>
      <c r="P1383" s="0" t="str">
        <f aca="false">IF(AND(TRIM(C1383)&lt;&gt;"",COUNTIF(C$2:C1383,C1383)=1),MAX(P$1:P1382)+1,"")</f>
        <v/>
      </c>
      <c r="Q1383" s="0" t="str">
        <f aca="false">IF(AND(TRIM(F1383)&lt;&gt;"",COUNTIF(F$2:F1383,F1383)=1),MAX(Q$1:Q1382)+1,"")</f>
        <v/>
      </c>
    </row>
    <row r="1384" customFormat="false" ht="15" hidden="false" customHeight="false" outlineLevel="0" collapsed="false">
      <c r="A1384" s="9"/>
      <c r="B1384" s="10"/>
      <c r="C1384" s="11"/>
      <c r="D1384" s="11"/>
      <c r="E1384" s="11"/>
      <c r="F1384" s="11"/>
      <c r="G1384" s="12"/>
      <c r="H1384" s="12"/>
      <c r="I1384" s="10"/>
      <c r="J1384" s="12"/>
      <c r="K1384" s="13" t="str">
        <f aca="false">IF(ISNUMBER(B1384),YEAR(B1384),"")</f>
        <v/>
      </c>
      <c r="L1384" s="13" t="str">
        <f aca="false">IF(ISNUMBER(B1384),MONTH(B1384),"")</f>
        <v/>
      </c>
      <c r="M1384" s="13" t="str">
        <f aca="false">IF(AND(ISNUMBER(B1384),ISNUMBER(I1384)),B1384-I1384+1,"")</f>
        <v/>
      </c>
      <c r="N1384" s="14" t="str">
        <f aca="false">IF(B1384="","",IF(M1384="","시작일 미입력",IF(M1384&lt;1,"시작일 이전(확인)",IF(M1384=1,"1일째",IF(M1384=2,"2일째",IF(M1384=3,"3일째",IF(M1384&lt;=7,"일주일 이내",IF(M1384&lt;=14,"이주일 이내","15일 이후"))))))))</f>
        <v/>
      </c>
      <c r="O1384" s="0" t="str">
        <f aca="false">IF(AND(COUNTA($A1384:$J1384)&gt;0,OR(클레임조회!$C$4="",AND(ISNUMBER($B1384),$B1384&gt;=클레임조회!$C$4)),OR(클레임조회!$C$5="",AND(ISNUMBER($B1384),$B1384&lt;=클레임조회!$C$5)),OR(클레임조회!$C$6="",$C1384=클레임조회!$C$6),OR(클레임조회!$C$7="",$D1384=클레임조회!$C$7),OR(클레임조회!$C$8="",$E1384=클레임조회!$C$8),OR(클레임조회!$C$9="",$F1384=클레임조회!$C$9),OR(클레임조회!$C$10="",ISNUMBER(SEARCH(클레임조회!$C$10,$C1384&amp;" "&amp;$F1384&amp;" "&amp;$G1384&amp;" "&amp;$H1384)))),COUNT(O$1:O1383)+1,"")</f>
        <v/>
      </c>
      <c r="P1384" s="0" t="str">
        <f aca="false">IF(AND(TRIM(C1384)&lt;&gt;"",COUNTIF(C$2:C1384,C1384)=1),MAX(P$1:P1383)+1,"")</f>
        <v/>
      </c>
      <c r="Q1384" s="0" t="str">
        <f aca="false">IF(AND(TRIM(F1384)&lt;&gt;"",COUNTIF(F$2:F1384,F1384)=1),MAX(Q$1:Q1383)+1,"")</f>
        <v/>
      </c>
    </row>
    <row r="1385" customFormat="false" ht="15" hidden="false" customHeight="false" outlineLevel="0" collapsed="false">
      <c r="A1385" s="9"/>
      <c r="B1385" s="10"/>
      <c r="C1385" s="11"/>
      <c r="D1385" s="11"/>
      <c r="E1385" s="11"/>
      <c r="F1385" s="11"/>
      <c r="G1385" s="12"/>
      <c r="H1385" s="12"/>
      <c r="I1385" s="10"/>
      <c r="J1385" s="12"/>
      <c r="K1385" s="13" t="str">
        <f aca="false">IF(ISNUMBER(B1385),YEAR(B1385),"")</f>
        <v/>
      </c>
      <c r="L1385" s="13" t="str">
        <f aca="false">IF(ISNUMBER(B1385),MONTH(B1385),"")</f>
        <v/>
      </c>
      <c r="M1385" s="13" t="str">
        <f aca="false">IF(AND(ISNUMBER(B1385),ISNUMBER(I1385)),B1385-I1385+1,"")</f>
        <v/>
      </c>
      <c r="N1385" s="14" t="str">
        <f aca="false">IF(B1385="","",IF(M1385="","시작일 미입력",IF(M1385&lt;1,"시작일 이전(확인)",IF(M1385=1,"1일째",IF(M1385=2,"2일째",IF(M1385=3,"3일째",IF(M1385&lt;=7,"일주일 이내",IF(M1385&lt;=14,"이주일 이내","15일 이후"))))))))</f>
        <v/>
      </c>
      <c r="O1385" s="0" t="str">
        <f aca="false">IF(AND(COUNTA($A1385:$J1385)&gt;0,OR(클레임조회!$C$4="",AND(ISNUMBER($B1385),$B1385&gt;=클레임조회!$C$4)),OR(클레임조회!$C$5="",AND(ISNUMBER($B1385),$B1385&lt;=클레임조회!$C$5)),OR(클레임조회!$C$6="",$C1385=클레임조회!$C$6),OR(클레임조회!$C$7="",$D1385=클레임조회!$C$7),OR(클레임조회!$C$8="",$E1385=클레임조회!$C$8),OR(클레임조회!$C$9="",$F1385=클레임조회!$C$9),OR(클레임조회!$C$10="",ISNUMBER(SEARCH(클레임조회!$C$10,$C1385&amp;" "&amp;$F1385&amp;" "&amp;$G1385&amp;" "&amp;$H1385)))),COUNT(O$1:O1384)+1,"")</f>
        <v/>
      </c>
      <c r="P1385" s="0" t="str">
        <f aca="false">IF(AND(TRIM(C1385)&lt;&gt;"",COUNTIF(C$2:C1385,C1385)=1),MAX(P$1:P1384)+1,"")</f>
        <v/>
      </c>
      <c r="Q1385" s="0" t="str">
        <f aca="false">IF(AND(TRIM(F1385)&lt;&gt;"",COUNTIF(F$2:F1385,F1385)=1),MAX(Q$1:Q1384)+1,"")</f>
        <v/>
      </c>
    </row>
    <row r="1386" customFormat="false" ht="15" hidden="false" customHeight="false" outlineLevel="0" collapsed="false">
      <c r="A1386" s="9"/>
      <c r="B1386" s="10"/>
      <c r="C1386" s="11"/>
      <c r="D1386" s="11"/>
      <c r="E1386" s="11"/>
      <c r="F1386" s="11"/>
      <c r="G1386" s="12"/>
      <c r="H1386" s="12"/>
      <c r="I1386" s="10"/>
      <c r="J1386" s="12"/>
      <c r="K1386" s="13" t="str">
        <f aca="false">IF(ISNUMBER(B1386),YEAR(B1386),"")</f>
        <v/>
      </c>
      <c r="L1386" s="13" t="str">
        <f aca="false">IF(ISNUMBER(B1386),MONTH(B1386),"")</f>
        <v/>
      </c>
      <c r="M1386" s="13" t="str">
        <f aca="false">IF(AND(ISNUMBER(B1386),ISNUMBER(I1386)),B1386-I1386+1,"")</f>
        <v/>
      </c>
      <c r="N1386" s="14" t="str">
        <f aca="false">IF(B1386="","",IF(M1386="","시작일 미입력",IF(M1386&lt;1,"시작일 이전(확인)",IF(M1386=1,"1일째",IF(M1386=2,"2일째",IF(M1386=3,"3일째",IF(M1386&lt;=7,"일주일 이내",IF(M1386&lt;=14,"이주일 이내","15일 이후"))))))))</f>
        <v/>
      </c>
      <c r="O1386" s="0" t="str">
        <f aca="false">IF(AND(COUNTA($A1386:$J1386)&gt;0,OR(클레임조회!$C$4="",AND(ISNUMBER($B1386),$B1386&gt;=클레임조회!$C$4)),OR(클레임조회!$C$5="",AND(ISNUMBER($B1386),$B1386&lt;=클레임조회!$C$5)),OR(클레임조회!$C$6="",$C1386=클레임조회!$C$6),OR(클레임조회!$C$7="",$D1386=클레임조회!$C$7),OR(클레임조회!$C$8="",$E1386=클레임조회!$C$8),OR(클레임조회!$C$9="",$F1386=클레임조회!$C$9),OR(클레임조회!$C$10="",ISNUMBER(SEARCH(클레임조회!$C$10,$C1386&amp;" "&amp;$F1386&amp;" "&amp;$G1386&amp;" "&amp;$H1386)))),COUNT(O$1:O1385)+1,"")</f>
        <v/>
      </c>
      <c r="P1386" s="0" t="str">
        <f aca="false">IF(AND(TRIM(C1386)&lt;&gt;"",COUNTIF(C$2:C1386,C1386)=1),MAX(P$1:P1385)+1,"")</f>
        <v/>
      </c>
      <c r="Q1386" s="0" t="str">
        <f aca="false">IF(AND(TRIM(F1386)&lt;&gt;"",COUNTIF(F$2:F1386,F1386)=1),MAX(Q$1:Q1385)+1,"")</f>
        <v/>
      </c>
    </row>
    <row r="1387" customFormat="false" ht="15" hidden="false" customHeight="false" outlineLevel="0" collapsed="false">
      <c r="A1387" s="9"/>
      <c r="B1387" s="10"/>
      <c r="C1387" s="11"/>
      <c r="D1387" s="11"/>
      <c r="E1387" s="11"/>
      <c r="F1387" s="11"/>
      <c r="G1387" s="12"/>
      <c r="H1387" s="12"/>
      <c r="I1387" s="10"/>
      <c r="J1387" s="12"/>
      <c r="K1387" s="13" t="str">
        <f aca="false">IF(ISNUMBER(B1387),YEAR(B1387),"")</f>
        <v/>
      </c>
      <c r="L1387" s="13" t="str">
        <f aca="false">IF(ISNUMBER(B1387),MONTH(B1387),"")</f>
        <v/>
      </c>
      <c r="M1387" s="13" t="str">
        <f aca="false">IF(AND(ISNUMBER(B1387),ISNUMBER(I1387)),B1387-I1387+1,"")</f>
        <v/>
      </c>
      <c r="N1387" s="14" t="str">
        <f aca="false">IF(B1387="","",IF(M1387="","시작일 미입력",IF(M1387&lt;1,"시작일 이전(확인)",IF(M1387=1,"1일째",IF(M1387=2,"2일째",IF(M1387=3,"3일째",IF(M1387&lt;=7,"일주일 이내",IF(M1387&lt;=14,"이주일 이내","15일 이후"))))))))</f>
        <v/>
      </c>
      <c r="O1387" s="0" t="str">
        <f aca="false">IF(AND(COUNTA($A1387:$J1387)&gt;0,OR(클레임조회!$C$4="",AND(ISNUMBER($B1387),$B1387&gt;=클레임조회!$C$4)),OR(클레임조회!$C$5="",AND(ISNUMBER($B1387),$B1387&lt;=클레임조회!$C$5)),OR(클레임조회!$C$6="",$C1387=클레임조회!$C$6),OR(클레임조회!$C$7="",$D1387=클레임조회!$C$7),OR(클레임조회!$C$8="",$E1387=클레임조회!$C$8),OR(클레임조회!$C$9="",$F1387=클레임조회!$C$9),OR(클레임조회!$C$10="",ISNUMBER(SEARCH(클레임조회!$C$10,$C1387&amp;" "&amp;$F1387&amp;" "&amp;$G1387&amp;" "&amp;$H1387)))),COUNT(O$1:O1386)+1,"")</f>
        <v/>
      </c>
      <c r="P1387" s="0" t="str">
        <f aca="false">IF(AND(TRIM(C1387)&lt;&gt;"",COUNTIF(C$2:C1387,C1387)=1),MAX(P$1:P1386)+1,"")</f>
        <v/>
      </c>
      <c r="Q1387" s="0" t="str">
        <f aca="false">IF(AND(TRIM(F1387)&lt;&gt;"",COUNTIF(F$2:F1387,F1387)=1),MAX(Q$1:Q1386)+1,"")</f>
        <v/>
      </c>
    </row>
    <row r="1388" customFormat="false" ht="15" hidden="false" customHeight="false" outlineLevel="0" collapsed="false">
      <c r="A1388" s="9"/>
      <c r="B1388" s="10"/>
      <c r="C1388" s="11"/>
      <c r="D1388" s="11"/>
      <c r="E1388" s="11"/>
      <c r="F1388" s="11"/>
      <c r="G1388" s="12"/>
      <c r="H1388" s="12"/>
      <c r="I1388" s="10"/>
      <c r="J1388" s="12"/>
      <c r="K1388" s="13" t="str">
        <f aca="false">IF(ISNUMBER(B1388),YEAR(B1388),"")</f>
        <v/>
      </c>
      <c r="L1388" s="13" t="str">
        <f aca="false">IF(ISNUMBER(B1388),MONTH(B1388),"")</f>
        <v/>
      </c>
      <c r="M1388" s="13" t="str">
        <f aca="false">IF(AND(ISNUMBER(B1388),ISNUMBER(I1388)),B1388-I1388+1,"")</f>
        <v/>
      </c>
      <c r="N1388" s="14" t="str">
        <f aca="false">IF(B1388="","",IF(M1388="","시작일 미입력",IF(M1388&lt;1,"시작일 이전(확인)",IF(M1388=1,"1일째",IF(M1388=2,"2일째",IF(M1388=3,"3일째",IF(M1388&lt;=7,"일주일 이내",IF(M1388&lt;=14,"이주일 이내","15일 이후"))))))))</f>
        <v/>
      </c>
      <c r="O1388" s="0" t="str">
        <f aca="false">IF(AND(COUNTA($A1388:$J1388)&gt;0,OR(클레임조회!$C$4="",AND(ISNUMBER($B1388),$B1388&gt;=클레임조회!$C$4)),OR(클레임조회!$C$5="",AND(ISNUMBER($B1388),$B1388&lt;=클레임조회!$C$5)),OR(클레임조회!$C$6="",$C1388=클레임조회!$C$6),OR(클레임조회!$C$7="",$D1388=클레임조회!$C$7),OR(클레임조회!$C$8="",$E1388=클레임조회!$C$8),OR(클레임조회!$C$9="",$F1388=클레임조회!$C$9),OR(클레임조회!$C$10="",ISNUMBER(SEARCH(클레임조회!$C$10,$C1388&amp;" "&amp;$F1388&amp;" "&amp;$G1388&amp;" "&amp;$H1388)))),COUNT(O$1:O1387)+1,"")</f>
        <v/>
      </c>
      <c r="P1388" s="0" t="str">
        <f aca="false">IF(AND(TRIM(C1388)&lt;&gt;"",COUNTIF(C$2:C1388,C1388)=1),MAX(P$1:P1387)+1,"")</f>
        <v/>
      </c>
      <c r="Q1388" s="0" t="str">
        <f aca="false">IF(AND(TRIM(F1388)&lt;&gt;"",COUNTIF(F$2:F1388,F1388)=1),MAX(Q$1:Q1387)+1,"")</f>
        <v/>
      </c>
    </row>
    <row r="1389" customFormat="false" ht="15" hidden="false" customHeight="false" outlineLevel="0" collapsed="false">
      <c r="A1389" s="9"/>
      <c r="B1389" s="10"/>
      <c r="C1389" s="11"/>
      <c r="D1389" s="11"/>
      <c r="E1389" s="11"/>
      <c r="F1389" s="11"/>
      <c r="G1389" s="12"/>
      <c r="H1389" s="12"/>
      <c r="I1389" s="10"/>
      <c r="J1389" s="12"/>
      <c r="K1389" s="13" t="str">
        <f aca="false">IF(ISNUMBER(B1389),YEAR(B1389),"")</f>
        <v/>
      </c>
      <c r="L1389" s="13" t="str">
        <f aca="false">IF(ISNUMBER(B1389),MONTH(B1389),"")</f>
        <v/>
      </c>
      <c r="M1389" s="13" t="str">
        <f aca="false">IF(AND(ISNUMBER(B1389),ISNUMBER(I1389)),B1389-I1389+1,"")</f>
        <v/>
      </c>
      <c r="N1389" s="14" t="str">
        <f aca="false">IF(B1389="","",IF(M1389="","시작일 미입력",IF(M1389&lt;1,"시작일 이전(확인)",IF(M1389=1,"1일째",IF(M1389=2,"2일째",IF(M1389=3,"3일째",IF(M1389&lt;=7,"일주일 이내",IF(M1389&lt;=14,"이주일 이내","15일 이후"))))))))</f>
        <v/>
      </c>
      <c r="O1389" s="0" t="str">
        <f aca="false">IF(AND(COUNTA($A1389:$J1389)&gt;0,OR(클레임조회!$C$4="",AND(ISNUMBER($B1389),$B1389&gt;=클레임조회!$C$4)),OR(클레임조회!$C$5="",AND(ISNUMBER($B1389),$B1389&lt;=클레임조회!$C$5)),OR(클레임조회!$C$6="",$C1389=클레임조회!$C$6),OR(클레임조회!$C$7="",$D1389=클레임조회!$C$7),OR(클레임조회!$C$8="",$E1389=클레임조회!$C$8),OR(클레임조회!$C$9="",$F1389=클레임조회!$C$9),OR(클레임조회!$C$10="",ISNUMBER(SEARCH(클레임조회!$C$10,$C1389&amp;" "&amp;$F1389&amp;" "&amp;$G1389&amp;" "&amp;$H1389)))),COUNT(O$1:O1388)+1,"")</f>
        <v/>
      </c>
      <c r="P1389" s="0" t="str">
        <f aca="false">IF(AND(TRIM(C1389)&lt;&gt;"",COUNTIF(C$2:C1389,C1389)=1),MAX(P$1:P1388)+1,"")</f>
        <v/>
      </c>
      <c r="Q1389" s="0" t="str">
        <f aca="false">IF(AND(TRIM(F1389)&lt;&gt;"",COUNTIF(F$2:F1389,F1389)=1),MAX(Q$1:Q1388)+1,"")</f>
        <v/>
      </c>
    </row>
    <row r="1390" customFormat="false" ht="15" hidden="false" customHeight="false" outlineLevel="0" collapsed="false">
      <c r="A1390" s="9"/>
      <c r="B1390" s="10"/>
      <c r="C1390" s="11"/>
      <c r="D1390" s="11"/>
      <c r="E1390" s="11"/>
      <c r="F1390" s="11"/>
      <c r="G1390" s="12"/>
      <c r="H1390" s="12"/>
      <c r="I1390" s="10"/>
      <c r="J1390" s="12"/>
      <c r="K1390" s="13" t="str">
        <f aca="false">IF(ISNUMBER(B1390),YEAR(B1390),"")</f>
        <v/>
      </c>
      <c r="L1390" s="13" t="str">
        <f aca="false">IF(ISNUMBER(B1390),MONTH(B1390),"")</f>
        <v/>
      </c>
      <c r="M1390" s="13" t="str">
        <f aca="false">IF(AND(ISNUMBER(B1390),ISNUMBER(I1390)),B1390-I1390+1,"")</f>
        <v/>
      </c>
      <c r="N1390" s="14" t="str">
        <f aca="false">IF(B1390="","",IF(M1390="","시작일 미입력",IF(M1390&lt;1,"시작일 이전(확인)",IF(M1390=1,"1일째",IF(M1390=2,"2일째",IF(M1390=3,"3일째",IF(M1390&lt;=7,"일주일 이내",IF(M1390&lt;=14,"이주일 이내","15일 이후"))))))))</f>
        <v/>
      </c>
      <c r="O1390" s="0" t="str">
        <f aca="false">IF(AND(COUNTA($A1390:$J1390)&gt;0,OR(클레임조회!$C$4="",AND(ISNUMBER($B1390),$B1390&gt;=클레임조회!$C$4)),OR(클레임조회!$C$5="",AND(ISNUMBER($B1390),$B1390&lt;=클레임조회!$C$5)),OR(클레임조회!$C$6="",$C1390=클레임조회!$C$6),OR(클레임조회!$C$7="",$D1390=클레임조회!$C$7),OR(클레임조회!$C$8="",$E1390=클레임조회!$C$8),OR(클레임조회!$C$9="",$F1390=클레임조회!$C$9),OR(클레임조회!$C$10="",ISNUMBER(SEARCH(클레임조회!$C$10,$C1390&amp;" "&amp;$F1390&amp;" "&amp;$G1390&amp;" "&amp;$H1390)))),COUNT(O$1:O1389)+1,"")</f>
        <v/>
      </c>
      <c r="P1390" s="0" t="str">
        <f aca="false">IF(AND(TRIM(C1390)&lt;&gt;"",COUNTIF(C$2:C1390,C1390)=1),MAX(P$1:P1389)+1,"")</f>
        <v/>
      </c>
      <c r="Q1390" s="0" t="str">
        <f aca="false">IF(AND(TRIM(F1390)&lt;&gt;"",COUNTIF(F$2:F1390,F1390)=1),MAX(Q$1:Q1389)+1,"")</f>
        <v/>
      </c>
    </row>
    <row r="1391" customFormat="false" ht="15" hidden="false" customHeight="false" outlineLevel="0" collapsed="false">
      <c r="A1391" s="9"/>
      <c r="B1391" s="10"/>
      <c r="C1391" s="11"/>
      <c r="D1391" s="11"/>
      <c r="E1391" s="11"/>
      <c r="F1391" s="11"/>
      <c r="G1391" s="12"/>
      <c r="H1391" s="12"/>
      <c r="I1391" s="10"/>
      <c r="J1391" s="12"/>
      <c r="K1391" s="13" t="str">
        <f aca="false">IF(ISNUMBER(B1391),YEAR(B1391),"")</f>
        <v/>
      </c>
      <c r="L1391" s="13" t="str">
        <f aca="false">IF(ISNUMBER(B1391),MONTH(B1391),"")</f>
        <v/>
      </c>
      <c r="M1391" s="13" t="str">
        <f aca="false">IF(AND(ISNUMBER(B1391),ISNUMBER(I1391)),B1391-I1391+1,"")</f>
        <v/>
      </c>
      <c r="N1391" s="14" t="str">
        <f aca="false">IF(B1391="","",IF(M1391="","시작일 미입력",IF(M1391&lt;1,"시작일 이전(확인)",IF(M1391=1,"1일째",IF(M1391=2,"2일째",IF(M1391=3,"3일째",IF(M1391&lt;=7,"일주일 이내",IF(M1391&lt;=14,"이주일 이내","15일 이후"))))))))</f>
        <v/>
      </c>
      <c r="O1391" s="0" t="str">
        <f aca="false">IF(AND(COUNTA($A1391:$J1391)&gt;0,OR(클레임조회!$C$4="",AND(ISNUMBER($B1391),$B1391&gt;=클레임조회!$C$4)),OR(클레임조회!$C$5="",AND(ISNUMBER($B1391),$B1391&lt;=클레임조회!$C$5)),OR(클레임조회!$C$6="",$C1391=클레임조회!$C$6),OR(클레임조회!$C$7="",$D1391=클레임조회!$C$7),OR(클레임조회!$C$8="",$E1391=클레임조회!$C$8),OR(클레임조회!$C$9="",$F1391=클레임조회!$C$9),OR(클레임조회!$C$10="",ISNUMBER(SEARCH(클레임조회!$C$10,$C1391&amp;" "&amp;$F1391&amp;" "&amp;$G1391&amp;" "&amp;$H1391)))),COUNT(O$1:O1390)+1,"")</f>
        <v/>
      </c>
      <c r="P1391" s="0" t="str">
        <f aca="false">IF(AND(TRIM(C1391)&lt;&gt;"",COUNTIF(C$2:C1391,C1391)=1),MAX(P$1:P1390)+1,"")</f>
        <v/>
      </c>
      <c r="Q1391" s="0" t="str">
        <f aca="false">IF(AND(TRIM(F1391)&lt;&gt;"",COUNTIF(F$2:F1391,F1391)=1),MAX(Q$1:Q1390)+1,"")</f>
        <v/>
      </c>
    </row>
    <row r="1392" customFormat="false" ht="15" hidden="false" customHeight="false" outlineLevel="0" collapsed="false">
      <c r="A1392" s="9"/>
      <c r="B1392" s="10"/>
      <c r="C1392" s="11"/>
      <c r="D1392" s="11"/>
      <c r="E1392" s="11"/>
      <c r="F1392" s="11"/>
      <c r="G1392" s="12"/>
      <c r="H1392" s="12"/>
      <c r="I1392" s="10"/>
      <c r="J1392" s="12"/>
      <c r="K1392" s="13" t="str">
        <f aca="false">IF(ISNUMBER(B1392),YEAR(B1392),"")</f>
        <v/>
      </c>
      <c r="L1392" s="13" t="str">
        <f aca="false">IF(ISNUMBER(B1392),MONTH(B1392),"")</f>
        <v/>
      </c>
      <c r="M1392" s="13" t="str">
        <f aca="false">IF(AND(ISNUMBER(B1392),ISNUMBER(I1392)),B1392-I1392+1,"")</f>
        <v/>
      </c>
      <c r="N1392" s="14" t="str">
        <f aca="false">IF(B1392="","",IF(M1392="","시작일 미입력",IF(M1392&lt;1,"시작일 이전(확인)",IF(M1392=1,"1일째",IF(M1392=2,"2일째",IF(M1392=3,"3일째",IF(M1392&lt;=7,"일주일 이내",IF(M1392&lt;=14,"이주일 이내","15일 이후"))))))))</f>
        <v/>
      </c>
      <c r="O1392" s="0" t="str">
        <f aca="false">IF(AND(COUNTA($A1392:$J1392)&gt;0,OR(클레임조회!$C$4="",AND(ISNUMBER($B1392),$B1392&gt;=클레임조회!$C$4)),OR(클레임조회!$C$5="",AND(ISNUMBER($B1392),$B1392&lt;=클레임조회!$C$5)),OR(클레임조회!$C$6="",$C1392=클레임조회!$C$6),OR(클레임조회!$C$7="",$D1392=클레임조회!$C$7),OR(클레임조회!$C$8="",$E1392=클레임조회!$C$8),OR(클레임조회!$C$9="",$F1392=클레임조회!$C$9),OR(클레임조회!$C$10="",ISNUMBER(SEARCH(클레임조회!$C$10,$C1392&amp;" "&amp;$F1392&amp;" "&amp;$G1392&amp;" "&amp;$H1392)))),COUNT(O$1:O1391)+1,"")</f>
        <v/>
      </c>
      <c r="P1392" s="0" t="str">
        <f aca="false">IF(AND(TRIM(C1392)&lt;&gt;"",COUNTIF(C$2:C1392,C1392)=1),MAX(P$1:P1391)+1,"")</f>
        <v/>
      </c>
      <c r="Q1392" s="0" t="str">
        <f aca="false">IF(AND(TRIM(F1392)&lt;&gt;"",COUNTIF(F$2:F1392,F1392)=1),MAX(Q$1:Q1391)+1,"")</f>
        <v/>
      </c>
    </row>
    <row r="1393" customFormat="false" ht="15" hidden="false" customHeight="false" outlineLevel="0" collapsed="false">
      <c r="A1393" s="9"/>
      <c r="B1393" s="10"/>
      <c r="C1393" s="11"/>
      <c r="D1393" s="11"/>
      <c r="E1393" s="11"/>
      <c r="F1393" s="11"/>
      <c r="G1393" s="12"/>
      <c r="H1393" s="12"/>
      <c r="I1393" s="10"/>
      <c r="J1393" s="12"/>
      <c r="K1393" s="13" t="str">
        <f aca="false">IF(ISNUMBER(B1393),YEAR(B1393),"")</f>
        <v/>
      </c>
      <c r="L1393" s="13" t="str">
        <f aca="false">IF(ISNUMBER(B1393),MONTH(B1393),"")</f>
        <v/>
      </c>
      <c r="M1393" s="13" t="str">
        <f aca="false">IF(AND(ISNUMBER(B1393),ISNUMBER(I1393)),B1393-I1393+1,"")</f>
        <v/>
      </c>
      <c r="N1393" s="14" t="str">
        <f aca="false">IF(B1393="","",IF(M1393="","시작일 미입력",IF(M1393&lt;1,"시작일 이전(확인)",IF(M1393=1,"1일째",IF(M1393=2,"2일째",IF(M1393=3,"3일째",IF(M1393&lt;=7,"일주일 이내",IF(M1393&lt;=14,"이주일 이내","15일 이후"))))))))</f>
        <v/>
      </c>
      <c r="O1393" s="0" t="str">
        <f aca="false">IF(AND(COUNTA($A1393:$J1393)&gt;0,OR(클레임조회!$C$4="",AND(ISNUMBER($B1393),$B1393&gt;=클레임조회!$C$4)),OR(클레임조회!$C$5="",AND(ISNUMBER($B1393),$B1393&lt;=클레임조회!$C$5)),OR(클레임조회!$C$6="",$C1393=클레임조회!$C$6),OR(클레임조회!$C$7="",$D1393=클레임조회!$C$7),OR(클레임조회!$C$8="",$E1393=클레임조회!$C$8),OR(클레임조회!$C$9="",$F1393=클레임조회!$C$9),OR(클레임조회!$C$10="",ISNUMBER(SEARCH(클레임조회!$C$10,$C1393&amp;" "&amp;$F1393&amp;" "&amp;$G1393&amp;" "&amp;$H1393)))),COUNT(O$1:O1392)+1,"")</f>
        <v/>
      </c>
      <c r="P1393" s="0" t="str">
        <f aca="false">IF(AND(TRIM(C1393)&lt;&gt;"",COUNTIF(C$2:C1393,C1393)=1),MAX(P$1:P1392)+1,"")</f>
        <v/>
      </c>
      <c r="Q1393" s="0" t="str">
        <f aca="false">IF(AND(TRIM(F1393)&lt;&gt;"",COUNTIF(F$2:F1393,F1393)=1),MAX(Q$1:Q1392)+1,"")</f>
        <v/>
      </c>
    </row>
    <row r="1394" customFormat="false" ht="15" hidden="false" customHeight="false" outlineLevel="0" collapsed="false">
      <c r="A1394" s="9"/>
      <c r="B1394" s="10"/>
      <c r="C1394" s="11"/>
      <c r="D1394" s="11"/>
      <c r="E1394" s="11"/>
      <c r="F1394" s="11"/>
      <c r="G1394" s="12"/>
      <c r="H1394" s="12"/>
      <c r="I1394" s="10"/>
      <c r="J1394" s="12"/>
      <c r="K1394" s="13" t="str">
        <f aca="false">IF(ISNUMBER(B1394),YEAR(B1394),"")</f>
        <v/>
      </c>
      <c r="L1394" s="13" t="str">
        <f aca="false">IF(ISNUMBER(B1394),MONTH(B1394),"")</f>
        <v/>
      </c>
      <c r="M1394" s="13" t="str">
        <f aca="false">IF(AND(ISNUMBER(B1394),ISNUMBER(I1394)),B1394-I1394+1,"")</f>
        <v/>
      </c>
      <c r="N1394" s="14" t="str">
        <f aca="false">IF(B1394="","",IF(M1394="","시작일 미입력",IF(M1394&lt;1,"시작일 이전(확인)",IF(M1394=1,"1일째",IF(M1394=2,"2일째",IF(M1394=3,"3일째",IF(M1394&lt;=7,"일주일 이내",IF(M1394&lt;=14,"이주일 이내","15일 이후"))))))))</f>
        <v/>
      </c>
      <c r="O1394" s="0" t="str">
        <f aca="false">IF(AND(COUNTA($A1394:$J1394)&gt;0,OR(클레임조회!$C$4="",AND(ISNUMBER($B1394),$B1394&gt;=클레임조회!$C$4)),OR(클레임조회!$C$5="",AND(ISNUMBER($B1394),$B1394&lt;=클레임조회!$C$5)),OR(클레임조회!$C$6="",$C1394=클레임조회!$C$6),OR(클레임조회!$C$7="",$D1394=클레임조회!$C$7),OR(클레임조회!$C$8="",$E1394=클레임조회!$C$8),OR(클레임조회!$C$9="",$F1394=클레임조회!$C$9),OR(클레임조회!$C$10="",ISNUMBER(SEARCH(클레임조회!$C$10,$C1394&amp;" "&amp;$F1394&amp;" "&amp;$G1394&amp;" "&amp;$H1394)))),COUNT(O$1:O1393)+1,"")</f>
        <v/>
      </c>
      <c r="P1394" s="0" t="str">
        <f aca="false">IF(AND(TRIM(C1394)&lt;&gt;"",COUNTIF(C$2:C1394,C1394)=1),MAX(P$1:P1393)+1,"")</f>
        <v/>
      </c>
      <c r="Q1394" s="0" t="str">
        <f aca="false">IF(AND(TRIM(F1394)&lt;&gt;"",COUNTIF(F$2:F1394,F1394)=1),MAX(Q$1:Q1393)+1,"")</f>
        <v/>
      </c>
    </row>
    <row r="1395" customFormat="false" ht="15" hidden="false" customHeight="false" outlineLevel="0" collapsed="false">
      <c r="A1395" s="9"/>
      <c r="B1395" s="10"/>
      <c r="C1395" s="11"/>
      <c r="D1395" s="11"/>
      <c r="E1395" s="11"/>
      <c r="F1395" s="11"/>
      <c r="G1395" s="12"/>
      <c r="H1395" s="12"/>
      <c r="I1395" s="10"/>
      <c r="J1395" s="12"/>
      <c r="K1395" s="13" t="str">
        <f aca="false">IF(ISNUMBER(B1395),YEAR(B1395),"")</f>
        <v/>
      </c>
      <c r="L1395" s="13" t="str">
        <f aca="false">IF(ISNUMBER(B1395),MONTH(B1395),"")</f>
        <v/>
      </c>
      <c r="M1395" s="13" t="str">
        <f aca="false">IF(AND(ISNUMBER(B1395),ISNUMBER(I1395)),B1395-I1395+1,"")</f>
        <v/>
      </c>
      <c r="N1395" s="14" t="str">
        <f aca="false">IF(B1395="","",IF(M1395="","시작일 미입력",IF(M1395&lt;1,"시작일 이전(확인)",IF(M1395=1,"1일째",IF(M1395=2,"2일째",IF(M1395=3,"3일째",IF(M1395&lt;=7,"일주일 이내",IF(M1395&lt;=14,"이주일 이내","15일 이후"))))))))</f>
        <v/>
      </c>
      <c r="O1395" s="0" t="str">
        <f aca="false">IF(AND(COUNTA($A1395:$J1395)&gt;0,OR(클레임조회!$C$4="",AND(ISNUMBER($B1395),$B1395&gt;=클레임조회!$C$4)),OR(클레임조회!$C$5="",AND(ISNUMBER($B1395),$B1395&lt;=클레임조회!$C$5)),OR(클레임조회!$C$6="",$C1395=클레임조회!$C$6),OR(클레임조회!$C$7="",$D1395=클레임조회!$C$7),OR(클레임조회!$C$8="",$E1395=클레임조회!$C$8),OR(클레임조회!$C$9="",$F1395=클레임조회!$C$9),OR(클레임조회!$C$10="",ISNUMBER(SEARCH(클레임조회!$C$10,$C1395&amp;" "&amp;$F1395&amp;" "&amp;$G1395&amp;" "&amp;$H1395)))),COUNT(O$1:O1394)+1,"")</f>
        <v/>
      </c>
      <c r="P1395" s="0" t="str">
        <f aca="false">IF(AND(TRIM(C1395)&lt;&gt;"",COUNTIF(C$2:C1395,C1395)=1),MAX(P$1:P1394)+1,"")</f>
        <v/>
      </c>
      <c r="Q1395" s="0" t="str">
        <f aca="false">IF(AND(TRIM(F1395)&lt;&gt;"",COUNTIF(F$2:F1395,F1395)=1),MAX(Q$1:Q1394)+1,"")</f>
        <v/>
      </c>
    </row>
    <row r="1396" customFormat="false" ht="15" hidden="false" customHeight="false" outlineLevel="0" collapsed="false">
      <c r="A1396" s="9"/>
      <c r="B1396" s="10"/>
      <c r="C1396" s="11"/>
      <c r="D1396" s="11"/>
      <c r="E1396" s="11"/>
      <c r="F1396" s="11"/>
      <c r="G1396" s="12"/>
      <c r="H1396" s="12"/>
      <c r="I1396" s="10"/>
      <c r="J1396" s="12"/>
      <c r="K1396" s="13" t="str">
        <f aca="false">IF(ISNUMBER(B1396),YEAR(B1396),"")</f>
        <v/>
      </c>
      <c r="L1396" s="13" t="str">
        <f aca="false">IF(ISNUMBER(B1396),MONTH(B1396),"")</f>
        <v/>
      </c>
      <c r="M1396" s="13" t="str">
        <f aca="false">IF(AND(ISNUMBER(B1396),ISNUMBER(I1396)),B1396-I1396+1,"")</f>
        <v/>
      </c>
      <c r="N1396" s="14" t="str">
        <f aca="false">IF(B1396="","",IF(M1396="","시작일 미입력",IF(M1396&lt;1,"시작일 이전(확인)",IF(M1396=1,"1일째",IF(M1396=2,"2일째",IF(M1396=3,"3일째",IF(M1396&lt;=7,"일주일 이내",IF(M1396&lt;=14,"이주일 이내","15일 이후"))))))))</f>
        <v/>
      </c>
      <c r="O1396" s="0" t="str">
        <f aca="false">IF(AND(COUNTA($A1396:$J1396)&gt;0,OR(클레임조회!$C$4="",AND(ISNUMBER($B1396),$B1396&gt;=클레임조회!$C$4)),OR(클레임조회!$C$5="",AND(ISNUMBER($B1396),$B1396&lt;=클레임조회!$C$5)),OR(클레임조회!$C$6="",$C1396=클레임조회!$C$6),OR(클레임조회!$C$7="",$D1396=클레임조회!$C$7),OR(클레임조회!$C$8="",$E1396=클레임조회!$C$8),OR(클레임조회!$C$9="",$F1396=클레임조회!$C$9),OR(클레임조회!$C$10="",ISNUMBER(SEARCH(클레임조회!$C$10,$C1396&amp;" "&amp;$F1396&amp;" "&amp;$G1396&amp;" "&amp;$H1396)))),COUNT(O$1:O1395)+1,"")</f>
        <v/>
      </c>
      <c r="P1396" s="0" t="str">
        <f aca="false">IF(AND(TRIM(C1396)&lt;&gt;"",COUNTIF(C$2:C1396,C1396)=1),MAX(P$1:P1395)+1,"")</f>
        <v/>
      </c>
      <c r="Q1396" s="0" t="str">
        <f aca="false">IF(AND(TRIM(F1396)&lt;&gt;"",COUNTIF(F$2:F1396,F1396)=1),MAX(Q$1:Q1395)+1,"")</f>
        <v/>
      </c>
    </row>
    <row r="1397" customFormat="false" ht="15" hidden="false" customHeight="false" outlineLevel="0" collapsed="false">
      <c r="A1397" s="9"/>
      <c r="B1397" s="10"/>
      <c r="C1397" s="11"/>
      <c r="D1397" s="11"/>
      <c r="E1397" s="11"/>
      <c r="F1397" s="11"/>
      <c r="G1397" s="12"/>
      <c r="H1397" s="12"/>
      <c r="I1397" s="10"/>
      <c r="J1397" s="12"/>
      <c r="K1397" s="13" t="str">
        <f aca="false">IF(ISNUMBER(B1397),YEAR(B1397),"")</f>
        <v/>
      </c>
      <c r="L1397" s="13" t="str">
        <f aca="false">IF(ISNUMBER(B1397),MONTH(B1397),"")</f>
        <v/>
      </c>
      <c r="M1397" s="13" t="str">
        <f aca="false">IF(AND(ISNUMBER(B1397),ISNUMBER(I1397)),B1397-I1397+1,"")</f>
        <v/>
      </c>
      <c r="N1397" s="14" t="str">
        <f aca="false">IF(B1397="","",IF(M1397="","시작일 미입력",IF(M1397&lt;1,"시작일 이전(확인)",IF(M1397=1,"1일째",IF(M1397=2,"2일째",IF(M1397=3,"3일째",IF(M1397&lt;=7,"일주일 이내",IF(M1397&lt;=14,"이주일 이내","15일 이후"))))))))</f>
        <v/>
      </c>
      <c r="O1397" s="0" t="str">
        <f aca="false">IF(AND(COUNTA($A1397:$J1397)&gt;0,OR(클레임조회!$C$4="",AND(ISNUMBER($B1397),$B1397&gt;=클레임조회!$C$4)),OR(클레임조회!$C$5="",AND(ISNUMBER($B1397),$B1397&lt;=클레임조회!$C$5)),OR(클레임조회!$C$6="",$C1397=클레임조회!$C$6),OR(클레임조회!$C$7="",$D1397=클레임조회!$C$7),OR(클레임조회!$C$8="",$E1397=클레임조회!$C$8),OR(클레임조회!$C$9="",$F1397=클레임조회!$C$9),OR(클레임조회!$C$10="",ISNUMBER(SEARCH(클레임조회!$C$10,$C1397&amp;" "&amp;$F1397&amp;" "&amp;$G1397&amp;" "&amp;$H1397)))),COUNT(O$1:O1396)+1,"")</f>
        <v/>
      </c>
      <c r="P1397" s="0" t="str">
        <f aca="false">IF(AND(TRIM(C1397)&lt;&gt;"",COUNTIF(C$2:C1397,C1397)=1),MAX(P$1:P1396)+1,"")</f>
        <v/>
      </c>
      <c r="Q1397" s="0" t="str">
        <f aca="false">IF(AND(TRIM(F1397)&lt;&gt;"",COUNTIF(F$2:F1397,F1397)=1),MAX(Q$1:Q1396)+1,"")</f>
        <v/>
      </c>
    </row>
    <row r="1398" customFormat="false" ht="15" hidden="false" customHeight="false" outlineLevel="0" collapsed="false">
      <c r="A1398" s="9"/>
      <c r="B1398" s="10"/>
      <c r="C1398" s="11"/>
      <c r="D1398" s="11"/>
      <c r="E1398" s="11"/>
      <c r="F1398" s="11"/>
      <c r="G1398" s="12"/>
      <c r="H1398" s="12"/>
      <c r="I1398" s="10"/>
      <c r="J1398" s="12"/>
      <c r="K1398" s="13" t="str">
        <f aca="false">IF(ISNUMBER(B1398),YEAR(B1398),"")</f>
        <v/>
      </c>
      <c r="L1398" s="13" t="str">
        <f aca="false">IF(ISNUMBER(B1398),MONTH(B1398),"")</f>
        <v/>
      </c>
      <c r="M1398" s="13" t="str">
        <f aca="false">IF(AND(ISNUMBER(B1398),ISNUMBER(I1398)),B1398-I1398+1,"")</f>
        <v/>
      </c>
      <c r="N1398" s="14" t="str">
        <f aca="false">IF(B1398="","",IF(M1398="","시작일 미입력",IF(M1398&lt;1,"시작일 이전(확인)",IF(M1398=1,"1일째",IF(M1398=2,"2일째",IF(M1398=3,"3일째",IF(M1398&lt;=7,"일주일 이내",IF(M1398&lt;=14,"이주일 이내","15일 이후"))))))))</f>
        <v/>
      </c>
      <c r="O1398" s="0" t="str">
        <f aca="false">IF(AND(COUNTA($A1398:$J1398)&gt;0,OR(클레임조회!$C$4="",AND(ISNUMBER($B1398),$B1398&gt;=클레임조회!$C$4)),OR(클레임조회!$C$5="",AND(ISNUMBER($B1398),$B1398&lt;=클레임조회!$C$5)),OR(클레임조회!$C$6="",$C1398=클레임조회!$C$6),OR(클레임조회!$C$7="",$D1398=클레임조회!$C$7),OR(클레임조회!$C$8="",$E1398=클레임조회!$C$8),OR(클레임조회!$C$9="",$F1398=클레임조회!$C$9),OR(클레임조회!$C$10="",ISNUMBER(SEARCH(클레임조회!$C$10,$C1398&amp;" "&amp;$F1398&amp;" "&amp;$G1398&amp;" "&amp;$H1398)))),COUNT(O$1:O1397)+1,"")</f>
        <v/>
      </c>
      <c r="P1398" s="0" t="str">
        <f aca="false">IF(AND(TRIM(C1398)&lt;&gt;"",COUNTIF(C$2:C1398,C1398)=1),MAX(P$1:P1397)+1,"")</f>
        <v/>
      </c>
      <c r="Q1398" s="0" t="str">
        <f aca="false">IF(AND(TRIM(F1398)&lt;&gt;"",COUNTIF(F$2:F1398,F1398)=1),MAX(Q$1:Q1397)+1,"")</f>
        <v/>
      </c>
    </row>
    <row r="1399" customFormat="false" ht="15" hidden="false" customHeight="false" outlineLevel="0" collapsed="false">
      <c r="A1399" s="9"/>
      <c r="B1399" s="10"/>
      <c r="C1399" s="11"/>
      <c r="D1399" s="11"/>
      <c r="E1399" s="11"/>
      <c r="F1399" s="11"/>
      <c r="G1399" s="12"/>
      <c r="H1399" s="12"/>
      <c r="I1399" s="10"/>
      <c r="J1399" s="12"/>
      <c r="K1399" s="13" t="str">
        <f aca="false">IF(ISNUMBER(B1399),YEAR(B1399),"")</f>
        <v/>
      </c>
      <c r="L1399" s="13" t="str">
        <f aca="false">IF(ISNUMBER(B1399),MONTH(B1399),"")</f>
        <v/>
      </c>
      <c r="M1399" s="13" t="str">
        <f aca="false">IF(AND(ISNUMBER(B1399),ISNUMBER(I1399)),B1399-I1399+1,"")</f>
        <v/>
      </c>
      <c r="N1399" s="14" t="str">
        <f aca="false">IF(B1399="","",IF(M1399="","시작일 미입력",IF(M1399&lt;1,"시작일 이전(확인)",IF(M1399=1,"1일째",IF(M1399=2,"2일째",IF(M1399=3,"3일째",IF(M1399&lt;=7,"일주일 이내",IF(M1399&lt;=14,"이주일 이내","15일 이후"))))))))</f>
        <v/>
      </c>
      <c r="O1399" s="0" t="str">
        <f aca="false">IF(AND(COUNTA($A1399:$J1399)&gt;0,OR(클레임조회!$C$4="",AND(ISNUMBER($B1399),$B1399&gt;=클레임조회!$C$4)),OR(클레임조회!$C$5="",AND(ISNUMBER($B1399),$B1399&lt;=클레임조회!$C$5)),OR(클레임조회!$C$6="",$C1399=클레임조회!$C$6),OR(클레임조회!$C$7="",$D1399=클레임조회!$C$7),OR(클레임조회!$C$8="",$E1399=클레임조회!$C$8),OR(클레임조회!$C$9="",$F1399=클레임조회!$C$9),OR(클레임조회!$C$10="",ISNUMBER(SEARCH(클레임조회!$C$10,$C1399&amp;" "&amp;$F1399&amp;" "&amp;$G1399&amp;" "&amp;$H1399)))),COUNT(O$1:O1398)+1,"")</f>
        <v/>
      </c>
      <c r="P1399" s="0" t="str">
        <f aca="false">IF(AND(TRIM(C1399)&lt;&gt;"",COUNTIF(C$2:C1399,C1399)=1),MAX(P$1:P1398)+1,"")</f>
        <v/>
      </c>
      <c r="Q1399" s="0" t="str">
        <f aca="false">IF(AND(TRIM(F1399)&lt;&gt;"",COUNTIF(F$2:F1399,F1399)=1),MAX(Q$1:Q1398)+1,"")</f>
        <v/>
      </c>
    </row>
    <row r="1400" customFormat="false" ht="15" hidden="false" customHeight="false" outlineLevel="0" collapsed="false">
      <c r="A1400" s="9"/>
      <c r="B1400" s="10"/>
      <c r="C1400" s="11"/>
      <c r="D1400" s="11"/>
      <c r="E1400" s="11"/>
      <c r="F1400" s="11"/>
      <c r="G1400" s="12"/>
      <c r="H1400" s="12"/>
      <c r="I1400" s="10"/>
      <c r="J1400" s="12"/>
      <c r="K1400" s="13" t="str">
        <f aca="false">IF(ISNUMBER(B1400),YEAR(B1400),"")</f>
        <v/>
      </c>
      <c r="L1400" s="13" t="str">
        <f aca="false">IF(ISNUMBER(B1400),MONTH(B1400),"")</f>
        <v/>
      </c>
      <c r="M1400" s="13" t="str">
        <f aca="false">IF(AND(ISNUMBER(B1400),ISNUMBER(I1400)),B1400-I1400+1,"")</f>
        <v/>
      </c>
      <c r="N1400" s="14" t="str">
        <f aca="false">IF(B1400="","",IF(M1400="","시작일 미입력",IF(M1400&lt;1,"시작일 이전(확인)",IF(M1400=1,"1일째",IF(M1400=2,"2일째",IF(M1400=3,"3일째",IF(M1400&lt;=7,"일주일 이내",IF(M1400&lt;=14,"이주일 이내","15일 이후"))))))))</f>
        <v/>
      </c>
      <c r="O1400" s="0" t="str">
        <f aca="false">IF(AND(COUNTA($A1400:$J1400)&gt;0,OR(클레임조회!$C$4="",AND(ISNUMBER($B1400),$B1400&gt;=클레임조회!$C$4)),OR(클레임조회!$C$5="",AND(ISNUMBER($B1400),$B1400&lt;=클레임조회!$C$5)),OR(클레임조회!$C$6="",$C1400=클레임조회!$C$6),OR(클레임조회!$C$7="",$D1400=클레임조회!$C$7),OR(클레임조회!$C$8="",$E1400=클레임조회!$C$8),OR(클레임조회!$C$9="",$F1400=클레임조회!$C$9),OR(클레임조회!$C$10="",ISNUMBER(SEARCH(클레임조회!$C$10,$C1400&amp;" "&amp;$F1400&amp;" "&amp;$G1400&amp;" "&amp;$H1400)))),COUNT(O$1:O1399)+1,"")</f>
        <v/>
      </c>
      <c r="P1400" s="0" t="str">
        <f aca="false">IF(AND(TRIM(C1400)&lt;&gt;"",COUNTIF(C$2:C1400,C1400)=1),MAX(P$1:P1399)+1,"")</f>
        <v/>
      </c>
      <c r="Q1400" s="0" t="str">
        <f aca="false">IF(AND(TRIM(F1400)&lt;&gt;"",COUNTIF(F$2:F1400,F1400)=1),MAX(Q$1:Q1399)+1,"")</f>
        <v/>
      </c>
    </row>
    <row r="1401" customFormat="false" ht="15" hidden="false" customHeight="false" outlineLevel="0" collapsed="false">
      <c r="A1401" s="9"/>
      <c r="B1401" s="10"/>
      <c r="C1401" s="11"/>
      <c r="D1401" s="11"/>
      <c r="E1401" s="11"/>
      <c r="F1401" s="11"/>
      <c r="G1401" s="12"/>
      <c r="H1401" s="12"/>
      <c r="I1401" s="10"/>
      <c r="J1401" s="12"/>
      <c r="K1401" s="13" t="str">
        <f aca="false">IF(ISNUMBER(B1401),YEAR(B1401),"")</f>
        <v/>
      </c>
      <c r="L1401" s="13" t="str">
        <f aca="false">IF(ISNUMBER(B1401),MONTH(B1401),"")</f>
        <v/>
      </c>
      <c r="M1401" s="13" t="str">
        <f aca="false">IF(AND(ISNUMBER(B1401),ISNUMBER(I1401)),B1401-I1401+1,"")</f>
        <v/>
      </c>
      <c r="N1401" s="14" t="str">
        <f aca="false">IF(B1401="","",IF(M1401="","시작일 미입력",IF(M1401&lt;1,"시작일 이전(확인)",IF(M1401=1,"1일째",IF(M1401=2,"2일째",IF(M1401=3,"3일째",IF(M1401&lt;=7,"일주일 이내",IF(M1401&lt;=14,"이주일 이내","15일 이후"))))))))</f>
        <v/>
      </c>
      <c r="O1401" s="0" t="str">
        <f aca="false">IF(AND(COUNTA($A1401:$J1401)&gt;0,OR(클레임조회!$C$4="",AND(ISNUMBER($B1401),$B1401&gt;=클레임조회!$C$4)),OR(클레임조회!$C$5="",AND(ISNUMBER($B1401),$B1401&lt;=클레임조회!$C$5)),OR(클레임조회!$C$6="",$C1401=클레임조회!$C$6),OR(클레임조회!$C$7="",$D1401=클레임조회!$C$7),OR(클레임조회!$C$8="",$E1401=클레임조회!$C$8),OR(클레임조회!$C$9="",$F1401=클레임조회!$C$9),OR(클레임조회!$C$10="",ISNUMBER(SEARCH(클레임조회!$C$10,$C1401&amp;" "&amp;$F1401&amp;" "&amp;$G1401&amp;" "&amp;$H1401)))),COUNT(O$1:O1400)+1,"")</f>
        <v/>
      </c>
      <c r="P1401" s="0" t="str">
        <f aca="false">IF(AND(TRIM(C1401)&lt;&gt;"",COUNTIF(C$2:C1401,C1401)=1),MAX(P$1:P1400)+1,"")</f>
        <v/>
      </c>
      <c r="Q1401" s="0" t="str">
        <f aca="false">IF(AND(TRIM(F1401)&lt;&gt;"",COUNTIF(F$2:F1401,F1401)=1),MAX(Q$1:Q1400)+1,"")</f>
        <v/>
      </c>
    </row>
    <row r="1402" customFormat="false" ht="15" hidden="false" customHeight="false" outlineLevel="0" collapsed="false">
      <c r="A1402" s="9"/>
      <c r="B1402" s="10"/>
      <c r="C1402" s="11"/>
      <c r="D1402" s="11"/>
      <c r="E1402" s="11"/>
      <c r="F1402" s="11"/>
      <c r="G1402" s="12"/>
      <c r="H1402" s="12"/>
      <c r="I1402" s="10"/>
      <c r="J1402" s="12"/>
      <c r="K1402" s="13" t="str">
        <f aca="false">IF(ISNUMBER(B1402),YEAR(B1402),"")</f>
        <v/>
      </c>
      <c r="L1402" s="13" t="str">
        <f aca="false">IF(ISNUMBER(B1402),MONTH(B1402),"")</f>
        <v/>
      </c>
      <c r="M1402" s="13" t="str">
        <f aca="false">IF(AND(ISNUMBER(B1402),ISNUMBER(I1402)),B1402-I1402+1,"")</f>
        <v/>
      </c>
      <c r="N1402" s="14" t="str">
        <f aca="false">IF(B1402="","",IF(M1402="","시작일 미입력",IF(M1402&lt;1,"시작일 이전(확인)",IF(M1402=1,"1일째",IF(M1402=2,"2일째",IF(M1402=3,"3일째",IF(M1402&lt;=7,"일주일 이내",IF(M1402&lt;=14,"이주일 이내","15일 이후"))))))))</f>
        <v/>
      </c>
      <c r="O1402" s="0" t="str">
        <f aca="false">IF(AND(COUNTA($A1402:$J1402)&gt;0,OR(클레임조회!$C$4="",AND(ISNUMBER($B1402),$B1402&gt;=클레임조회!$C$4)),OR(클레임조회!$C$5="",AND(ISNUMBER($B1402),$B1402&lt;=클레임조회!$C$5)),OR(클레임조회!$C$6="",$C1402=클레임조회!$C$6),OR(클레임조회!$C$7="",$D1402=클레임조회!$C$7),OR(클레임조회!$C$8="",$E1402=클레임조회!$C$8),OR(클레임조회!$C$9="",$F1402=클레임조회!$C$9),OR(클레임조회!$C$10="",ISNUMBER(SEARCH(클레임조회!$C$10,$C1402&amp;" "&amp;$F1402&amp;" "&amp;$G1402&amp;" "&amp;$H1402)))),COUNT(O$1:O1401)+1,"")</f>
        <v/>
      </c>
      <c r="P1402" s="0" t="str">
        <f aca="false">IF(AND(TRIM(C1402)&lt;&gt;"",COUNTIF(C$2:C1402,C1402)=1),MAX(P$1:P1401)+1,"")</f>
        <v/>
      </c>
      <c r="Q1402" s="0" t="str">
        <f aca="false">IF(AND(TRIM(F1402)&lt;&gt;"",COUNTIF(F$2:F1402,F1402)=1),MAX(Q$1:Q1401)+1,"")</f>
        <v/>
      </c>
    </row>
    <row r="1403" customFormat="false" ht="15" hidden="false" customHeight="false" outlineLevel="0" collapsed="false">
      <c r="A1403" s="9"/>
      <c r="B1403" s="10"/>
      <c r="C1403" s="11"/>
      <c r="D1403" s="11"/>
      <c r="E1403" s="11"/>
      <c r="F1403" s="11"/>
      <c r="G1403" s="12"/>
      <c r="H1403" s="12"/>
      <c r="I1403" s="10"/>
      <c r="J1403" s="12"/>
      <c r="K1403" s="13" t="str">
        <f aca="false">IF(ISNUMBER(B1403),YEAR(B1403),"")</f>
        <v/>
      </c>
      <c r="L1403" s="13" t="str">
        <f aca="false">IF(ISNUMBER(B1403),MONTH(B1403),"")</f>
        <v/>
      </c>
      <c r="M1403" s="13" t="str">
        <f aca="false">IF(AND(ISNUMBER(B1403),ISNUMBER(I1403)),B1403-I1403+1,"")</f>
        <v/>
      </c>
      <c r="N1403" s="14" t="str">
        <f aca="false">IF(B1403="","",IF(M1403="","시작일 미입력",IF(M1403&lt;1,"시작일 이전(확인)",IF(M1403=1,"1일째",IF(M1403=2,"2일째",IF(M1403=3,"3일째",IF(M1403&lt;=7,"일주일 이내",IF(M1403&lt;=14,"이주일 이내","15일 이후"))))))))</f>
        <v/>
      </c>
      <c r="O1403" s="0" t="str">
        <f aca="false">IF(AND(COUNTA($A1403:$J1403)&gt;0,OR(클레임조회!$C$4="",AND(ISNUMBER($B1403),$B1403&gt;=클레임조회!$C$4)),OR(클레임조회!$C$5="",AND(ISNUMBER($B1403),$B1403&lt;=클레임조회!$C$5)),OR(클레임조회!$C$6="",$C1403=클레임조회!$C$6),OR(클레임조회!$C$7="",$D1403=클레임조회!$C$7),OR(클레임조회!$C$8="",$E1403=클레임조회!$C$8),OR(클레임조회!$C$9="",$F1403=클레임조회!$C$9),OR(클레임조회!$C$10="",ISNUMBER(SEARCH(클레임조회!$C$10,$C1403&amp;" "&amp;$F1403&amp;" "&amp;$G1403&amp;" "&amp;$H1403)))),COUNT(O$1:O1402)+1,"")</f>
        <v/>
      </c>
      <c r="P1403" s="0" t="str">
        <f aca="false">IF(AND(TRIM(C1403)&lt;&gt;"",COUNTIF(C$2:C1403,C1403)=1),MAX(P$1:P1402)+1,"")</f>
        <v/>
      </c>
      <c r="Q1403" s="0" t="str">
        <f aca="false">IF(AND(TRIM(F1403)&lt;&gt;"",COUNTIF(F$2:F1403,F1403)=1),MAX(Q$1:Q1402)+1,"")</f>
        <v/>
      </c>
    </row>
    <row r="1404" customFormat="false" ht="15" hidden="false" customHeight="false" outlineLevel="0" collapsed="false">
      <c r="A1404" s="9"/>
      <c r="B1404" s="10"/>
      <c r="C1404" s="11"/>
      <c r="D1404" s="11"/>
      <c r="E1404" s="11"/>
      <c r="F1404" s="11"/>
      <c r="G1404" s="12"/>
      <c r="H1404" s="12"/>
      <c r="I1404" s="10"/>
      <c r="J1404" s="12"/>
      <c r="K1404" s="13" t="str">
        <f aca="false">IF(ISNUMBER(B1404),YEAR(B1404),"")</f>
        <v/>
      </c>
      <c r="L1404" s="13" t="str">
        <f aca="false">IF(ISNUMBER(B1404),MONTH(B1404),"")</f>
        <v/>
      </c>
      <c r="M1404" s="13" t="str">
        <f aca="false">IF(AND(ISNUMBER(B1404),ISNUMBER(I1404)),B1404-I1404+1,"")</f>
        <v/>
      </c>
      <c r="N1404" s="14" t="str">
        <f aca="false">IF(B1404="","",IF(M1404="","시작일 미입력",IF(M1404&lt;1,"시작일 이전(확인)",IF(M1404=1,"1일째",IF(M1404=2,"2일째",IF(M1404=3,"3일째",IF(M1404&lt;=7,"일주일 이내",IF(M1404&lt;=14,"이주일 이내","15일 이후"))))))))</f>
        <v/>
      </c>
      <c r="O1404" s="0" t="str">
        <f aca="false">IF(AND(COUNTA($A1404:$J1404)&gt;0,OR(클레임조회!$C$4="",AND(ISNUMBER($B1404),$B1404&gt;=클레임조회!$C$4)),OR(클레임조회!$C$5="",AND(ISNUMBER($B1404),$B1404&lt;=클레임조회!$C$5)),OR(클레임조회!$C$6="",$C1404=클레임조회!$C$6),OR(클레임조회!$C$7="",$D1404=클레임조회!$C$7),OR(클레임조회!$C$8="",$E1404=클레임조회!$C$8),OR(클레임조회!$C$9="",$F1404=클레임조회!$C$9),OR(클레임조회!$C$10="",ISNUMBER(SEARCH(클레임조회!$C$10,$C1404&amp;" "&amp;$F1404&amp;" "&amp;$G1404&amp;" "&amp;$H1404)))),COUNT(O$1:O1403)+1,"")</f>
        <v/>
      </c>
      <c r="P1404" s="0" t="str">
        <f aca="false">IF(AND(TRIM(C1404)&lt;&gt;"",COUNTIF(C$2:C1404,C1404)=1),MAX(P$1:P1403)+1,"")</f>
        <v/>
      </c>
      <c r="Q1404" s="0" t="str">
        <f aca="false">IF(AND(TRIM(F1404)&lt;&gt;"",COUNTIF(F$2:F1404,F1404)=1),MAX(Q$1:Q1403)+1,"")</f>
        <v/>
      </c>
    </row>
    <row r="1405" customFormat="false" ht="15" hidden="false" customHeight="false" outlineLevel="0" collapsed="false">
      <c r="A1405" s="9"/>
      <c r="B1405" s="10"/>
      <c r="C1405" s="11"/>
      <c r="D1405" s="11"/>
      <c r="E1405" s="11"/>
      <c r="F1405" s="11"/>
      <c r="G1405" s="12"/>
      <c r="H1405" s="12"/>
      <c r="I1405" s="10"/>
      <c r="J1405" s="12"/>
      <c r="K1405" s="13" t="str">
        <f aca="false">IF(ISNUMBER(B1405),YEAR(B1405),"")</f>
        <v/>
      </c>
      <c r="L1405" s="13" t="str">
        <f aca="false">IF(ISNUMBER(B1405),MONTH(B1405),"")</f>
        <v/>
      </c>
      <c r="M1405" s="13" t="str">
        <f aca="false">IF(AND(ISNUMBER(B1405),ISNUMBER(I1405)),B1405-I1405+1,"")</f>
        <v/>
      </c>
      <c r="N1405" s="14" t="str">
        <f aca="false">IF(B1405="","",IF(M1405="","시작일 미입력",IF(M1405&lt;1,"시작일 이전(확인)",IF(M1405=1,"1일째",IF(M1405=2,"2일째",IF(M1405=3,"3일째",IF(M1405&lt;=7,"일주일 이내",IF(M1405&lt;=14,"이주일 이내","15일 이후"))))))))</f>
        <v/>
      </c>
      <c r="O1405" s="0" t="str">
        <f aca="false">IF(AND(COUNTA($A1405:$J1405)&gt;0,OR(클레임조회!$C$4="",AND(ISNUMBER($B1405),$B1405&gt;=클레임조회!$C$4)),OR(클레임조회!$C$5="",AND(ISNUMBER($B1405),$B1405&lt;=클레임조회!$C$5)),OR(클레임조회!$C$6="",$C1405=클레임조회!$C$6),OR(클레임조회!$C$7="",$D1405=클레임조회!$C$7),OR(클레임조회!$C$8="",$E1405=클레임조회!$C$8),OR(클레임조회!$C$9="",$F1405=클레임조회!$C$9),OR(클레임조회!$C$10="",ISNUMBER(SEARCH(클레임조회!$C$10,$C1405&amp;" "&amp;$F1405&amp;" "&amp;$G1405&amp;" "&amp;$H1405)))),COUNT(O$1:O1404)+1,"")</f>
        <v/>
      </c>
      <c r="P1405" s="0" t="str">
        <f aca="false">IF(AND(TRIM(C1405)&lt;&gt;"",COUNTIF(C$2:C1405,C1405)=1),MAX(P$1:P1404)+1,"")</f>
        <v/>
      </c>
      <c r="Q1405" s="0" t="str">
        <f aca="false">IF(AND(TRIM(F1405)&lt;&gt;"",COUNTIF(F$2:F1405,F1405)=1),MAX(Q$1:Q1404)+1,"")</f>
        <v/>
      </c>
    </row>
    <row r="1406" customFormat="false" ht="15" hidden="false" customHeight="false" outlineLevel="0" collapsed="false">
      <c r="A1406" s="9"/>
      <c r="B1406" s="10"/>
      <c r="C1406" s="11"/>
      <c r="D1406" s="11"/>
      <c r="E1406" s="11"/>
      <c r="F1406" s="11"/>
      <c r="G1406" s="12"/>
      <c r="H1406" s="12"/>
      <c r="I1406" s="10"/>
      <c r="J1406" s="12"/>
      <c r="K1406" s="13" t="str">
        <f aca="false">IF(ISNUMBER(B1406),YEAR(B1406),"")</f>
        <v/>
      </c>
      <c r="L1406" s="13" t="str">
        <f aca="false">IF(ISNUMBER(B1406),MONTH(B1406),"")</f>
        <v/>
      </c>
      <c r="M1406" s="13" t="str">
        <f aca="false">IF(AND(ISNUMBER(B1406),ISNUMBER(I1406)),B1406-I1406+1,"")</f>
        <v/>
      </c>
      <c r="N1406" s="14" t="str">
        <f aca="false">IF(B1406="","",IF(M1406="","시작일 미입력",IF(M1406&lt;1,"시작일 이전(확인)",IF(M1406=1,"1일째",IF(M1406=2,"2일째",IF(M1406=3,"3일째",IF(M1406&lt;=7,"일주일 이내",IF(M1406&lt;=14,"이주일 이내","15일 이후"))))))))</f>
        <v/>
      </c>
      <c r="O1406" s="0" t="str">
        <f aca="false">IF(AND(COUNTA($A1406:$J1406)&gt;0,OR(클레임조회!$C$4="",AND(ISNUMBER($B1406),$B1406&gt;=클레임조회!$C$4)),OR(클레임조회!$C$5="",AND(ISNUMBER($B1406),$B1406&lt;=클레임조회!$C$5)),OR(클레임조회!$C$6="",$C1406=클레임조회!$C$6),OR(클레임조회!$C$7="",$D1406=클레임조회!$C$7),OR(클레임조회!$C$8="",$E1406=클레임조회!$C$8),OR(클레임조회!$C$9="",$F1406=클레임조회!$C$9),OR(클레임조회!$C$10="",ISNUMBER(SEARCH(클레임조회!$C$10,$C1406&amp;" "&amp;$F1406&amp;" "&amp;$G1406&amp;" "&amp;$H1406)))),COUNT(O$1:O1405)+1,"")</f>
        <v/>
      </c>
      <c r="P1406" s="0" t="str">
        <f aca="false">IF(AND(TRIM(C1406)&lt;&gt;"",COUNTIF(C$2:C1406,C1406)=1),MAX(P$1:P1405)+1,"")</f>
        <v/>
      </c>
      <c r="Q1406" s="0" t="str">
        <f aca="false">IF(AND(TRIM(F1406)&lt;&gt;"",COUNTIF(F$2:F1406,F1406)=1),MAX(Q$1:Q1405)+1,"")</f>
        <v/>
      </c>
    </row>
    <row r="1407" customFormat="false" ht="15" hidden="false" customHeight="false" outlineLevel="0" collapsed="false">
      <c r="A1407" s="9"/>
      <c r="B1407" s="10"/>
      <c r="C1407" s="11"/>
      <c r="D1407" s="11"/>
      <c r="E1407" s="11"/>
      <c r="F1407" s="11"/>
      <c r="G1407" s="12"/>
      <c r="H1407" s="12"/>
      <c r="I1407" s="10"/>
      <c r="J1407" s="12"/>
      <c r="K1407" s="13" t="str">
        <f aca="false">IF(ISNUMBER(B1407),YEAR(B1407),"")</f>
        <v/>
      </c>
      <c r="L1407" s="13" t="str">
        <f aca="false">IF(ISNUMBER(B1407),MONTH(B1407),"")</f>
        <v/>
      </c>
      <c r="M1407" s="13" t="str">
        <f aca="false">IF(AND(ISNUMBER(B1407),ISNUMBER(I1407)),B1407-I1407+1,"")</f>
        <v/>
      </c>
      <c r="N1407" s="14" t="str">
        <f aca="false">IF(B1407="","",IF(M1407="","시작일 미입력",IF(M1407&lt;1,"시작일 이전(확인)",IF(M1407=1,"1일째",IF(M1407=2,"2일째",IF(M1407=3,"3일째",IF(M1407&lt;=7,"일주일 이내",IF(M1407&lt;=14,"이주일 이내","15일 이후"))))))))</f>
        <v/>
      </c>
      <c r="O1407" s="0" t="str">
        <f aca="false">IF(AND(COUNTA($A1407:$J1407)&gt;0,OR(클레임조회!$C$4="",AND(ISNUMBER($B1407),$B1407&gt;=클레임조회!$C$4)),OR(클레임조회!$C$5="",AND(ISNUMBER($B1407),$B1407&lt;=클레임조회!$C$5)),OR(클레임조회!$C$6="",$C1407=클레임조회!$C$6),OR(클레임조회!$C$7="",$D1407=클레임조회!$C$7),OR(클레임조회!$C$8="",$E1407=클레임조회!$C$8),OR(클레임조회!$C$9="",$F1407=클레임조회!$C$9),OR(클레임조회!$C$10="",ISNUMBER(SEARCH(클레임조회!$C$10,$C1407&amp;" "&amp;$F1407&amp;" "&amp;$G1407&amp;" "&amp;$H1407)))),COUNT(O$1:O1406)+1,"")</f>
        <v/>
      </c>
      <c r="P1407" s="0" t="str">
        <f aca="false">IF(AND(TRIM(C1407)&lt;&gt;"",COUNTIF(C$2:C1407,C1407)=1),MAX(P$1:P1406)+1,"")</f>
        <v/>
      </c>
      <c r="Q1407" s="0" t="str">
        <f aca="false">IF(AND(TRIM(F1407)&lt;&gt;"",COUNTIF(F$2:F1407,F1407)=1),MAX(Q$1:Q1406)+1,"")</f>
        <v/>
      </c>
    </row>
    <row r="1408" customFormat="false" ht="15" hidden="false" customHeight="false" outlineLevel="0" collapsed="false">
      <c r="A1408" s="9"/>
      <c r="B1408" s="10"/>
      <c r="C1408" s="11"/>
      <c r="D1408" s="11"/>
      <c r="E1408" s="11"/>
      <c r="F1408" s="11"/>
      <c r="G1408" s="12"/>
      <c r="H1408" s="12"/>
      <c r="I1408" s="10"/>
      <c r="J1408" s="12"/>
      <c r="K1408" s="13" t="str">
        <f aca="false">IF(ISNUMBER(B1408),YEAR(B1408),"")</f>
        <v/>
      </c>
      <c r="L1408" s="13" t="str">
        <f aca="false">IF(ISNUMBER(B1408),MONTH(B1408),"")</f>
        <v/>
      </c>
      <c r="M1408" s="13" t="str">
        <f aca="false">IF(AND(ISNUMBER(B1408),ISNUMBER(I1408)),B1408-I1408+1,"")</f>
        <v/>
      </c>
      <c r="N1408" s="14" t="str">
        <f aca="false">IF(B1408="","",IF(M1408="","시작일 미입력",IF(M1408&lt;1,"시작일 이전(확인)",IF(M1408=1,"1일째",IF(M1408=2,"2일째",IF(M1408=3,"3일째",IF(M1408&lt;=7,"일주일 이내",IF(M1408&lt;=14,"이주일 이내","15일 이후"))))))))</f>
        <v/>
      </c>
      <c r="O1408" s="0" t="str">
        <f aca="false">IF(AND(COUNTA($A1408:$J1408)&gt;0,OR(클레임조회!$C$4="",AND(ISNUMBER($B1408),$B1408&gt;=클레임조회!$C$4)),OR(클레임조회!$C$5="",AND(ISNUMBER($B1408),$B1408&lt;=클레임조회!$C$5)),OR(클레임조회!$C$6="",$C1408=클레임조회!$C$6),OR(클레임조회!$C$7="",$D1408=클레임조회!$C$7),OR(클레임조회!$C$8="",$E1408=클레임조회!$C$8),OR(클레임조회!$C$9="",$F1408=클레임조회!$C$9),OR(클레임조회!$C$10="",ISNUMBER(SEARCH(클레임조회!$C$10,$C1408&amp;" "&amp;$F1408&amp;" "&amp;$G1408&amp;" "&amp;$H1408)))),COUNT(O$1:O1407)+1,"")</f>
        <v/>
      </c>
      <c r="P1408" s="0" t="str">
        <f aca="false">IF(AND(TRIM(C1408)&lt;&gt;"",COUNTIF(C$2:C1408,C1408)=1),MAX(P$1:P1407)+1,"")</f>
        <v/>
      </c>
      <c r="Q1408" s="0" t="str">
        <f aca="false">IF(AND(TRIM(F1408)&lt;&gt;"",COUNTIF(F$2:F1408,F1408)=1),MAX(Q$1:Q1407)+1,"")</f>
        <v/>
      </c>
    </row>
    <row r="1409" customFormat="false" ht="15" hidden="false" customHeight="false" outlineLevel="0" collapsed="false">
      <c r="A1409" s="9"/>
      <c r="B1409" s="10"/>
      <c r="C1409" s="11"/>
      <c r="D1409" s="11"/>
      <c r="E1409" s="11"/>
      <c r="F1409" s="11"/>
      <c r="G1409" s="12"/>
      <c r="H1409" s="12"/>
      <c r="I1409" s="10"/>
      <c r="J1409" s="12"/>
      <c r="K1409" s="13" t="str">
        <f aca="false">IF(ISNUMBER(B1409),YEAR(B1409),"")</f>
        <v/>
      </c>
      <c r="L1409" s="13" t="str">
        <f aca="false">IF(ISNUMBER(B1409),MONTH(B1409),"")</f>
        <v/>
      </c>
      <c r="M1409" s="13" t="str">
        <f aca="false">IF(AND(ISNUMBER(B1409),ISNUMBER(I1409)),B1409-I1409+1,"")</f>
        <v/>
      </c>
      <c r="N1409" s="14" t="str">
        <f aca="false">IF(B1409="","",IF(M1409="","시작일 미입력",IF(M1409&lt;1,"시작일 이전(확인)",IF(M1409=1,"1일째",IF(M1409=2,"2일째",IF(M1409=3,"3일째",IF(M1409&lt;=7,"일주일 이내",IF(M1409&lt;=14,"이주일 이내","15일 이후"))))))))</f>
        <v/>
      </c>
      <c r="O1409" s="0" t="str">
        <f aca="false">IF(AND(COUNTA($A1409:$J1409)&gt;0,OR(클레임조회!$C$4="",AND(ISNUMBER($B1409),$B1409&gt;=클레임조회!$C$4)),OR(클레임조회!$C$5="",AND(ISNUMBER($B1409),$B1409&lt;=클레임조회!$C$5)),OR(클레임조회!$C$6="",$C1409=클레임조회!$C$6),OR(클레임조회!$C$7="",$D1409=클레임조회!$C$7),OR(클레임조회!$C$8="",$E1409=클레임조회!$C$8),OR(클레임조회!$C$9="",$F1409=클레임조회!$C$9),OR(클레임조회!$C$10="",ISNUMBER(SEARCH(클레임조회!$C$10,$C1409&amp;" "&amp;$F1409&amp;" "&amp;$G1409&amp;" "&amp;$H1409)))),COUNT(O$1:O1408)+1,"")</f>
        <v/>
      </c>
      <c r="P1409" s="0" t="str">
        <f aca="false">IF(AND(TRIM(C1409)&lt;&gt;"",COUNTIF(C$2:C1409,C1409)=1),MAX(P$1:P1408)+1,"")</f>
        <v/>
      </c>
      <c r="Q1409" s="0" t="str">
        <f aca="false">IF(AND(TRIM(F1409)&lt;&gt;"",COUNTIF(F$2:F1409,F1409)=1),MAX(Q$1:Q1408)+1,"")</f>
        <v/>
      </c>
    </row>
    <row r="1410" customFormat="false" ht="15" hidden="false" customHeight="false" outlineLevel="0" collapsed="false">
      <c r="A1410" s="9"/>
      <c r="B1410" s="10"/>
      <c r="C1410" s="11"/>
      <c r="D1410" s="11"/>
      <c r="E1410" s="11"/>
      <c r="F1410" s="11"/>
      <c r="G1410" s="12"/>
      <c r="H1410" s="12"/>
      <c r="I1410" s="10"/>
      <c r="J1410" s="12"/>
      <c r="K1410" s="13" t="str">
        <f aca="false">IF(ISNUMBER(B1410),YEAR(B1410),"")</f>
        <v/>
      </c>
      <c r="L1410" s="13" t="str">
        <f aca="false">IF(ISNUMBER(B1410),MONTH(B1410),"")</f>
        <v/>
      </c>
      <c r="M1410" s="13" t="str">
        <f aca="false">IF(AND(ISNUMBER(B1410),ISNUMBER(I1410)),B1410-I1410+1,"")</f>
        <v/>
      </c>
      <c r="N1410" s="14" t="str">
        <f aca="false">IF(B1410="","",IF(M1410="","시작일 미입력",IF(M1410&lt;1,"시작일 이전(확인)",IF(M1410=1,"1일째",IF(M1410=2,"2일째",IF(M1410=3,"3일째",IF(M1410&lt;=7,"일주일 이내",IF(M1410&lt;=14,"이주일 이내","15일 이후"))))))))</f>
        <v/>
      </c>
      <c r="O1410" s="0" t="str">
        <f aca="false">IF(AND(COUNTA($A1410:$J1410)&gt;0,OR(클레임조회!$C$4="",AND(ISNUMBER($B1410),$B1410&gt;=클레임조회!$C$4)),OR(클레임조회!$C$5="",AND(ISNUMBER($B1410),$B1410&lt;=클레임조회!$C$5)),OR(클레임조회!$C$6="",$C1410=클레임조회!$C$6),OR(클레임조회!$C$7="",$D1410=클레임조회!$C$7),OR(클레임조회!$C$8="",$E1410=클레임조회!$C$8),OR(클레임조회!$C$9="",$F1410=클레임조회!$C$9),OR(클레임조회!$C$10="",ISNUMBER(SEARCH(클레임조회!$C$10,$C1410&amp;" "&amp;$F1410&amp;" "&amp;$G1410&amp;" "&amp;$H1410)))),COUNT(O$1:O1409)+1,"")</f>
        <v/>
      </c>
      <c r="P1410" s="0" t="str">
        <f aca="false">IF(AND(TRIM(C1410)&lt;&gt;"",COUNTIF(C$2:C1410,C1410)=1),MAX(P$1:P1409)+1,"")</f>
        <v/>
      </c>
      <c r="Q1410" s="0" t="str">
        <f aca="false">IF(AND(TRIM(F1410)&lt;&gt;"",COUNTIF(F$2:F1410,F1410)=1),MAX(Q$1:Q1409)+1,"")</f>
        <v/>
      </c>
    </row>
    <row r="1411" customFormat="false" ht="15" hidden="false" customHeight="false" outlineLevel="0" collapsed="false">
      <c r="A1411" s="9"/>
      <c r="B1411" s="10"/>
      <c r="C1411" s="11"/>
      <c r="D1411" s="11"/>
      <c r="E1411" s="11"/>
      <c r="F1411" s="11"/>
      <c r="G1411" s="12"/>
      <c r="H1411" s="12"/>
      <c r="I1411" s="10"/>
      <c r="J1411" s="12"/>
      <c r="K1411" s="13" t="str">
        <f aca="false">IF(ISNUMBER(B1411),YEAR(B1411),"")</f>
        <v/>
      </c>
      <c r="L1411" s="13" t="str">
        <f aca="false">IF(ISNUMBER(B1411),MONTH(B1411),"")</f>
        <v/>
      </c>
      <c r="M1411" s="13" t="str">
        <f aca="false">IF(AND(ISNUMBER(B1411),ISNUMBER(I1411)),B1411-I1411+1,"")</f>
        <v/>
      </c>
      <c r="N1411" s="14" t="str">
        <f aca="false">IF(B1411="","",IF(M1411="","시작일 미입력",IF(M1411&lt;1,"시작일 이전(확인)",IF(M1411=1,"1일째",IF(M1411=2,"2일째",IF(M1411=3,"3일째",IF(M1411&lt;=7,"일주일 이내",IF(M1411&lt;=14,"이주일 이내","15일 이후"))))))))</f>
        <v/>
      </c>
      <c r="O1411" s="0" t="str">
        <f aca="false">IF(AND(COUNTA($A1411:$J1411)&gt;0,OR(클레임조회!$C$4="",AND(ISNUMBER($B1411),$B1411&gt;=클레임조회!$C$4)),OR(클레임조회!$C$5="",AND(ISNUMBER($B1411),$B1411&lt;=클레임조회!$C$5)),OR(클레임조회!$C$6="",$C1411=클레임조회!$C$6),OR(클레임조회!$C$7="",$D1411=클레임조회!$C$7),OR(클레임조회!$C$8="",$E1411=클레임조회!$C$8),OR(클레임조회!$C$9="",$F1411=클레임조회!$C$9),OR(클레임조회!$C$10="",ISNUMBER(SEARCH(클레임조회!$C$10,$C1411&amp;" "&amp;$F1411&amp;" "&amp;$G1411&amp;" "&amp;$H1411)))),COUNT(O$1:O1410)+1,"")</f>
        <v/>
      </c>
      <c r="P1411" s="0" t="str">
        <f aca="false">IF(AND(TRIM(C1411)&lt;&gt;"",COUNTIF(C$2:C1411,C1411)=1),MAX(P$1:P1410)+1,"")</f>
        <v/>
      </c>
      <c r="Q1411" s="0" t="str">
        <f aca="false">IF(AND(TRIM(F1411)&lt;&gt;"",COUNTIF(F$2:F1411,F1411)=1),MAX(Q$1:Q1410)+1,"")</f>
        <v/>
      </c>
    </row>
    <row r="1412" customFormat="false" ht="15" hidden="false" customHeight="false" outlineLevel="0" collapsed="false">
      <c r="A1412" s="9"/>
      <c r="B1412" s="10"/>
      <c r="C1412" s="11"/>
      <c r="D1412" s="11"/>
      <c r="E1412" s="11"/>
      <c r="F1412" s="11"/>
      <c r="G1412" s="12"/>
      <c r="H1412" s="12"/>
      <c r="I1412" s="10"/>
      <c r="J1412" s="12"/>
      <c r="K1412" s="13" t="str">
        <f aca="false">IF(ISNUMBER(B1412),YEAR(B1412),"")</f>
        <v/>
      </c>
      <c r="L1412" s="13" t="str">
        <f aca="false">IF(ISNUMBER(B1412),MONTH(B1412),"")</f>
        <v/>
      </c>
      <c r="M1412" s="13" t="str">
        <f aca="false">IF(AND(ISNUMBER(B1412),ISNUMBER(I1412)),B1412-I1412+1,"")</f>
        <v/>
      </c>
      <c r="N1412" s="14" t="str">
        <f aca="false">IF(B1412="","",IF(M1412="","시작일 미입력",IF(M1412&lt;1,"시작일 이전(확인)",IF(M1412=1,"1일째",IF(M1412=2,"2일째",IF(M1412=3,"3일째",IF(M1412&lt;=7,"일주일 이내",IF(M1412&lt;=14,"이주일 이내","15일 이후"))))))))</f>
        <v/>
      </c>
      <c r="O1412" s="0" t="str">
        <f aca="false">IF(AND(COUNTA($A1412:$J1412)&gt;0,OR(클레임조회!$C$4="",AND(ISNUMBER($B1412),$B1412&gt;=클레임조회!$C$4)),OR(클레임조회!$C$5="",AND(ISNUMBER($B1412),$B1412&lt;=클레임조회!$C$5)),OR(클레임조회!$C$6="",$C1412=클레임조회!$C$6),OR(클레임조회!$C$7="",$D1412=클레임조회!$C$7),OR(클레임조회!$C$8="",$E1412=클레임조회!$C$8),OR(클레임조회!$C$9="",$F1412=클레임조회!$C$9),OR(클레임조회!$C$10="",ISNUMBER(SEARCH(클레임조회!$C$10,$C1412&amp;" "&amp;$F1412&amp;" "&amp;$G1412&amp;" "&amp;$H1412)))),COUNT(O$1:O1411)+1,"")</f>
        <v/>
      </c>
      <c r="P1412" s="0" t="str">
        <f aca="false">IF(AND(TRIM(C1412)&lt;&gt;"",COUNTIF(C$2:C1412,C1412)=1),MAX(P$1:P1411)+1,"")</f>
        <v/>
      </c>
      <c r="Q1412" s="0" t="str">
        <f aca="false">IF(AND(TRIM(F1412)&lt;&gt;"",COUNTIF(F$2:F1412,F1412)=1),MAX(Q$1:Q1411)+1,"")</f>
        <v/>
      </c>
    </row>
    <row r="1413" customFormat="false" ht="15" hidden="false" customHeight="false" outlineLevel="0" collapsed="false">
      <c r="A1413" s="9"/>
      <c r="B1413" s="10"/>
      <c r="C1413" s="11"/>
      <c r="D1413" s="11"/>
      <c r="E1413" s="11"/>
      <c r="F1413" s="11"/>
      <c r="G1413" s="12"/>
      <c r="H1413" s="12"/>
      <c r="I1413" s="10"/>
      <c r="J1413" s="12"/>
      <c r="K1413" s="13" t="str">
        <f aca="false">IF(ISNUMBER(B1413),YEAR(B1413),"")</f>
        <v/>
      </c>
      <c r="L1413" s="13" t="str">
        <f aca="false">IF(ISNUMBER(B1413),MONTH(B1413),"")</f>
        <v/>
      </c>
      <c r="M1413" s="13" t="str">
        <f aca="false">IF(AND(ISNUMBER(B1413),ISNUMBER(I1413)),B1413-I1413+1,"")</f>
        <v/>
      </c>
      <c r="N1413" s="14" t="str">
        <f aca="false">IF(B1413="","",IF(M1413="","시작일 미입력",IF(M1413&lt;1,"시작일 이전(확인)",IF(M1413=1,"1일째",IF(M1413=2,"2일째",IF(M1413=3,"3일째",IF(M1413&lt;=7,"일주일 이내",IF(M1413&lt;=14,"이주일 이내","15일 이후"))))))))</f>
        <v/>
      </c>
      <c r="O1413" s="0" t="str">
        <f aca="false">IF(AND(COUNTA($A1413:$J1413)&gt;0,OR(클레임조회!$C$4="",AND(ISNUMBER($B1413),$B1413&gt;=클레임조회!$C$4)),OR(클레임조회!$C$5="",AND(ISNUMBER($B1413),$B1413&lt;=클레임조회!$C$5)),OR(클레임조회!$C$6="",$C1413=클레임조회!$C$6),OR(클레임조회!$C$7="",$D1413=클레임조회!$C$7),OR(클레임조회!$C$8="",$E1413=클레임조회!$C$8),OR(클레임조회!$C$9="",$F1413=클레임조회!$C$9),OR(클레임조회!$C$10="",ISNUMBER(SEARCH(클레임조회!$C$10,$C1413&amp;" "&amp;$F1413&amp;" "&amp;$G1413&amp;" "&amp;$H1413)))),COUNT(O$1:O1412)+1,"")</f>
        <v/>
      </c>
      <c r="P1413" s="0" t="str">
        <f aca="false">IF(AND(TRIM(C1413)&lt;&gt;"",COUNTIF(C$2:C1413,C1413)=1),MAX(P$1:P1412)+1,"")</f>
        <v/>
      </c>
      <c r="Q1413" s="0" t="str">
        <f aca="false">IF(AND(TRIM(F1413)&lt;&gt;"",COUNTIF(F$2:F1413,F1413)=1),MAX(Q$1:Q1412)+1,"")</f>
        <v/>
      </c>
    </row>
    <row r="1414" customFormat="false" ht="15" hidden="false" customHeight="false" outlineLevel="0" collapsed="false">
      <c r="A1414" s="9"/>
      <c r="B1414" s="10"/>
      <c r="C1414" s="11"/>
      <c r="D1414" s="11"/>
      <c r="E1414" s="11"/>
      <c r="F1414" s="11"/>
      <c r="G1414" s="12"/>
      <c r="H1414" s="12"/>
      <c r="I1414" s="10"/>
      <c r="J1414" s="12"/>
      <c r="K1414" s="13" t="str">
        <f aca="false">IF(ISNUMBER(B1414),YEAR(B1414),"")</f>
        <v/>
      </c>
      <c r="L1414" s="13" t="str">
        <f aca="false">IF(ISNUMBER(B1414),MONTH(B1414),"")</f>
        <v/>
      </c>
      <c r="M1414" s="13" t="str">
        <f aca="false">IF(AND(ISNUMBER(B1414),ISNUMBER(I1414)),B1414-I1414+1,"")</f>
        <v/>
      </c>
      <c r="N1414" s="14" t="str">
        <f aca="false">IF(B1414="","",IF(M1414="","시작일 미입력",IF(M1414&lt;1,"시작일 이전(확인)",IF(M1414=1,"1일째",IF(M1414=2,"2일째",IF(M1414=3,"3일째",IF(M1414&lt;=7,"일주일 이내",IF(M1414&lt;=14,"이주일 이내","15일 이후"))))))))</f>
        <v/>
      </c>
      <c r="O1414" s="0" t="str">
        <f aca="false">IF(AND(COUNTA($A1414:$J1414)&gt;0,OR(클레임조회!$C$4="",AND(ISNUMBER($B1414),$B1414&gt;=클레임조회!$C$4)),OR(클레임조회!$C$5="",AND(ISNUMBER($B1414),$B1414&lt;=클레임조회!$C$5)),OR(클레임조회!$C$6="",$C1414=클레임조회!$C$6),OR(클레임조회!$C$7="",$D1414=클레임조회!$C$7),OR(클레임조회!$C$8="",$E1414=클레임조회!$C$8),OR(클레임조회!$C$9="",$F1414=클레임조회!$C$9),OR(클레임조회!$C$10="",ISNUMBER(SEARCH(클레임조회!$C$10,$C1414&amp;" "&amp;$F1414&amp;" "&amp;$G1414&amp;" "&amp;$H1414)))),COUNT(O$1:O1413)+1,"")</f>
        <v/>
      </c>
      <c r="P1414" s="0" t="str">
        <f aca="false">IF(AND(TRIM(C1414)&lt;&gt;"",COUNTIF(C$2:C1414,C1414)=1),MAX(P$1:P1413)+1,"")</f>
        <v/>
      </c>
      <c r="Q1414" s="0" t="str">
        <f aca="false">IF(AND(TRIM(F1414)&lt;&gt;"",COUNTIF(F$2:F1414,F1414)=1),MAX(Q$1:Q1413)+1,"")</f>
        <v/>
      </c>
    </row>
    <row r="1415" customFormat="false" ht="15" hidden="false" customHeight="false" outlineLevel="0" collapsed="false">
      <c r="A1415" s="9"/>
      <c r="B1415" s="10"/>
      <c r="C1415" s="11"/>
      <c r="D1415" s="11"/>
      <c r="E1415" s="11"/>
      <c r="F1415" s="11"/>
      <c r="G1415" s="12"/>
      <c r="H1415" s="12"/>
      <c r="I1415" s="10"/>
      <c r="J1415" s="12"/>
      <c r="K1415" s="13" t="str">
        <f aca="false">IF(ISNUMBER(B1415),YEAR(B1415),"")</f>
        <v/>
      </c>
      <c r="L1415" s="13" t="str">
        <f aca="false">IF(ISNUMBER(B1415),MONTH(B1415),"")</f>
        <v/>
      </c>
      <c r="M1415" s="13" t="str">
        <f aca="false">IF(AND(ISNUMBER(B1415),ISNUMBER(I1415)),B1415-I1415+1,"")</f>
        <v/>
      </c>
      <c r="N1415" s="14" t="str">
        <f aca="false">IF(B1415="","",IF(M1415="","시작일 미입력",IF(M1415&lt;1,"시작일 이전(확인)",IF(M1415=1,"1일째",IF(M1415=2,"2일째",IF(M1415=3,"3일째",IF(M1415&lt;=7,"일주일 이내",IF(M1415&lt;=14,"이주일 이내","15일 이후"))))))))</f>
        <v/>
      </c>
      <c r="O1415" s="0" t="str">
        <f aca="false">IF(AND(COUNTA($A1415:$J1415)&gt;0,OR(클레임조회!$C$4="",AND(ISNUMBER($B1415),$B1415&gt;=클레임조회!$C$4)),OR(클레임조회!$C$5="",AND(ISNUMBER($B1415),$B1415&lt;=클레임조회!$C$5)),OR(클레임조회!$C$6="",$C1415=클레임조회!$C$6),OR(클레임조회!$C$7="",$D1415=클레임조회!$C$7),OR(클레임조회!$C$8="",$E1415=클레임조회!$C$8),OR(클레임조회!$C$9="",$F1415=클레임조회!$C$9),OR(클레임조회!$C$10="",ISNUMBER(SEARCH(클레임조회!$C$10,$C1415&amp;" "&amp;$F1415&amp;" "&amp;$G1415&amp;" "&amp;$H1415)))),COUNT(O$1:O1414)+1,"")</f>
        <v/>
      </c>
      <c r="P1415" s="0" t="str">
        <f aca="false">IF(AND(TRIM(C1415)&lt;&gt;"",COUNTIF(C$2:C1415,C1415)=1),MAX(P$1:P1414)+1,"")</f>
        <v/>
      </c>
      <c r="Q1415" s="0" t="str">
        <f aca="false">IF(AND(TRIM(F1415)&lt;&gt;"",COUNTIF(F$2:F1415,F1415)=1),MAX(Q$1:Q1414)+1,"")</f>
        <v/>
      </c>
    </row>
    <row r="1416" customFormat="false" ht="15" hidden="false" customHeight="false" outlineLevel="0" collapsed="false">
      <c r="A1416" s="9"/>
      <c r="B1416" s="10"/>
      <c r="C1416" s="11"/>
      <c r="D1416" s="11"/>
      <c r="E1416" s="11"/>
      <c r="F1416" s="11"/>
      <c r="G1416" s="12"/>
      <c r="H1416" s="12"/>
      <c r="I1416" s="10"/>
      <c r="J1416" s="12"/>
      <c r="K1416" s="13" t="str">
        <f aca="false">IF(ISNUMBER(B1416),YEAR(B1416),"")</f>
        <v/>
      </c>
      <c r="L1416" s="13" t="str">
        <f aca="false">IF(ISNUMBER(B1416),MONTH(B1416),"")</f>
        <v/>
      </c>
      <c r="M1416" s="13" t="str">
        <f aca="false">IF(AND(ISNUMBER(B1416),ISNUMBER(I1416)),B1416-I1416+1,"")</f>
        <v/>
      </c>
      <c r="N1416" s="14" t="str">
        <f aca="false">IF(B1416="","",IF(M1416="","시작일 미입력",IF(M1416&lt;1,"시작일 이전(확인)",IF(M1416=1,"1일째",IF(M1416=2,"2일째",IF(M1416=3,"3일째",IF(M1416&lt;=7,"일주일 이내",IF(M1416&lt;=14,"이주일 이내","15일 이후"))))))))</f>
        <v/>
      </c>
      <c r="O1416" s="0" t="str">
        <f aca="false">IF(AND(COUNTA($A1416:$J1416)&gt;0,OR(클레임조회!$C$4="",AND(ISNUMBER($B1416),$B1416&gt;=클레임조회!$C$4)),OR(클레임조회!$C$5="",AND(ISNUMBER($B1416),$B1416&lt;=클레임조회!$C$5)),OR(클레임조회!$C$6="",$C1416=클레임조회!$C$6),OR(클레임조회!$C$7="",$D1416=클레임조회!$C$7),OR(클레임조회!$C$8="",$E1416=클레임조회!$C$8),OR(클레임조회!$C$9="",$F1416=클레임조회!$C$9),OR(클레임조회!$C$10="",ISNUMBER(SEARCH(클레임조회!$C$10,$C1416&amp;" "&amp;$F1416&amp;" "&amp;$G1416&amp;" "&amp;$H1416)))),COUNT(O$1:O1415)+1,"")</f>
        <v/>
      </c>
      <c r="P1416" s="0" t="str">
        <f aca="false">IF(AND(TRIM(C1416)&lt;&gt;"",COUNTIF(C$2:C1416,C1416)=1),MAX(P$1:P1415)+1,"")</f>
        <v/>
      </c>
      <c r="Q1416" s="0" t="str">
        <f aca="false">IF(AND(TRIM(F1416)&lt;&gt;"",COUNTIF(F$2:F1416,F1416)=1),MAX(Q$1:Q1415)+1,"")</f>
        <v/>
      </c>
    </row>
    <row r="1417" customFormat="false" ht="15" hidden="false" customHeight="false" outlineLevel="0" collapsed="false">
      <c r="A1417" s="9"/>
      <c r="B1417" s="10"/>
      <c r="C1417" s="11"/>
      <c r="D1417" s="11"/>
      <c r="E1417" s="11"/>
      <c r="F1417" s="11"/>
      <c r="G1417" s="12"/>
      <c r="H1417" s="12"/>
      <c r="I1417" s="10"/>
      <c r="J1417" s="12"/>
      <c r="K1417" s="13" t="str">
        <f aca="false">IF(ISNUMBER(B1417),YEAR(B1417),"")</f>
        <v/>
      </c>
      <c r="L1417" s="13" t="str">
        <f aca="false">IF(ISNUMBER(B1417),MONTH(B1417),"")</f>
        <v/>
      </c>
      <c r="M1417" s="13" t="str">
        <f aca="false">IF(AND(ISNUMBER(B1417),ISNUMBER(I1417)),B1417-I1417+1,"")</f>
        <v/>
      </c>
      <c r="N1417" s="14" t="str">
        <f aca="false">IF(B1417="","",IF(M1417="","시작일 미입력",IF(M1417&lt;1,"시작일 이전(확인)",IF(M1417=1,"1일째",IF(M1417=2,"2일째",IF(M1417=3,"3일째",IF(M1417&lt;=7,"일주일 이내",IF(M1417&lt;=14,"이주일 이내","15일 이후"))))))))</f>
        <v/>
      </c>
      <c r="O1417" s="0" t="str">
        <f aca="false">IF(AND(COUNTA($A1417:$J1417)&gt;0,OR(클레임조회!$C$4="",AND(ISNUMBER($B1417),$B1417&gt;=클레임조회!$C$4)),OR(클레임조회!$C$5="",AND(ISNUMBER($B1417),$B1417&lt;=클레임조회!$C$5)),OR(클레임조회!$C$6="",$C1417=클레임조회!$C$6),OR(클레임조회!$C$7="",$D1417=클레임조회!$C$7),OR(클레임조회!$C$8="",$E1417=클레임조회!$C$8),OR(클레임조회!$C$9="",$F1417=클레임조회!$C$9),OR(클레임조회!$C$10="",ISNUMBER(SEARCH(클레임조회!$C$10,$C1417&amp;" "&amp;$F1417&amp;" "&amp;$G1417&amp;" "&amp;$H1417)))),COUNT(O$1:O1416)+1,"")</f>
        <v/>
      </c>
      <c r="P1417" s="0" t="str">
        <f aca="false">IF(AND(TRIM(C1417)&lt;&gt;"",COUNTIF(C$2:C1417,C1417)=1),MAX(P$1:P1416)+1,"")</f>
        <v/>
      </c>
      <c r="Q1417" s="0" t="str">
        <f aca="false">IF(AND(TRIM(F1417)&lt;&gt;"",COUNTIF(F$2:F1417,F1417)=1),MAX(Q$1:Q1416)+1,"")</f>
        <v/>
      </c>
    </row>
    <row r="1418" customFormat="false" ht="15" hidden="false" customHeight="false" outlineLevel="0" collapsed="false">
      <c r="A1418" s="9"/>
      <c r="B1418" s="10"/>
      <c r="C1418" s="11"/>
      <c r="D1418" s="11"/>
      <c r="E1418" s="11"/>
      <c r="F1418" s="11"/>
      <c r="G1418" s="12"/>
      <c r="H1418" s="12"/>
      <c r="I1418" s="10"/>
      <c r="J1418" s="12"/>
      <c r="K1418" s="13" t="str">
        <f aca="false">IF(ISNUMBER(B1418),YEAR(B1418),"")</f>
        <v/>
      </c>
      <c r="L1418" s="13" t="str">
        <f aca="false">IF(ISNUMBER(B1418),MONTH(B1418),"")</f>
        <v/>
      </c>
      <c r="M1418" s="13" t="str">
        <f aca="false">IF(AND(ISNUMBER(B1418),ISNUMBER(I1418)),B1418-I1418+1,"")</f>
        <v/>
      </c>
      <c r="N1418" s="14" t="str">
        <f aca="false">IF(B1418="","",IF(M1418="","시작일 미입력",IF(M1418&lt;1,"시작일 이전(확인)",IF(M1418=1,"1일째",IF(M1418=2,"2일째",IF(M1418=3,"3일째",IF(M1418&lt;=7,"일주일 이내",IF(M1418&lt;=14,"이주일 이내","15일 이후"))))))))</f>
        <v/>
      </c>
      <c r="O1418" s="0" t="str">
        <f aca="false">IF(AND(COUNTA($A1418:$J1418)&gt;0,OR(클레임조회!$C$4="",AND(ISNUMBER($B1418),$B1418&gt;=클레임조회!$C$4)),OR(클레임조회!$C$5="",AND(ISNUMBER($B1418),$B1418&lt;=클레임조회!$C$5)),OR(클레임조회!$C$6="",$C1418=클레임조회!$C$6),OR(클레임조회!$C$7="",$D1418=클레임조회!$C$7),OR(클레임조회!$C$8="",$E1418=클레임조회!$C$8),OR(클레임조회!$C$9="",$F1418=클레임조회!$C$9),OR(클레임조회!$C$10="",ISNUMBER(SEARCH(클레임조회!$C$10,$C1418&amp;" "&amp;$F1418&amp;" "&amp;$G1418&amp;" "&amp;$H1418)))),COUNT(O$1:O1417)+1,"")</f>
        <v/>
      </c>
      <c r="P1418" s="0" t="str">
        <f aca="false">IF(AND(TRIM(C1418)&lt;&gt;"",COUNTIF(C$2:C1418,C1418)=1),MAX(P$1:P1417)+1,"")</f>
        <v/>
      </c>
      <c r="Q1418" s="0" t="str">
        <f aca="false">IF(AND(TRIM(F1418)&lt;&gt;"",COUNTIF(F$2:F1418,F1418)=1),MAX(Q$1:Q1417)+1,"")</f>
        <v/>
      </c>
    </row>
    <row r="1419" customFormat="false" ht="15" hidden="false" customHeight="false" outlineLevel="0" collapsed="false">
      <c r="A1419" s="9"/>
      <c r="B1419" s="10"/>
      <c r="C1419" s="11"/>
      <c r="D1419" s="11"/>
      <c r="E1419" s="11"/>
      <c r="F1419" s="11"/>
      <c r="G1419" s="12"/>
      <c r="H1419" s="12"/>
      <c r="I1419" s="10"/>
      <c r="J1419" s="12"/>
      <c r="K1419" s="13" t="str">
        <f aca="false">IF(ISNUMBER(B1419),YEAR(B1419),"")</f>
        <v/>
      </c>
      <c r="L1419" s="13" t="str">
        <f aca="false">IF(ISNUMBER(B1419),MONTH(B1419),"")</f>
        <v/>
      </c>
      <c r="M1419" s="13" t="str">
        <f aca="false">IF(AND(ISNUMBER(B1419),ISNUMBER(I1419)),B1419-I1419+1,"")</f>
        <v/>
      </c>
      <c r="N1419" s="14" t="str">
        <f aca="false">IF(B1419="","",IF(M1419="","시작일 미입력",IF(M1419&lt;1,"시작일 이전(확인)",IF(M1419=1,"1일째",IF(M1419=2,"2일째",IF(M1419=3,"3일째",IF(M1419&lt;=7,"일주일 이내",IF(M1419&lt;=14,"이주일 이내","15일 이후"))))))))</f>
        <v/>
      </c>
      <c r="O1419" s="0" t="str">
        <f aca="false">IF(AND(COUNTA($A1419:$J1419)&gt;0,OR(클레임조회!$C$4="",AND(ISNUMBER($B1419),$B1419&gt;=클레임조회!$C$4)),OR(클레임조회!$C$5="",AND(ISNUMBER($B1419),$B1419&lt;=클레임조회!$C$5)),OR(클레임조회!$C$6="",$C1419=클레임조회!$C$6),OR(클레임조회!$C$7="",$D1419=클레임조회!$C$7),OR(클레임조회!$C$8="",$E1419=클레임조회!$C$8),OR(클레임조회!$C$9="",$F1419=클레임조회!$C$9),OR(클레임조회!$C$10="",ISNUMBER(SEARCH(클레임조회!$C$10,$C1419&amp;" "&amp;$F1419&amp;" "&amp;$G1419&amp;" "&amp;$H1419)))),COUNT(O$1:O1418)+1,"")</f>
        <v/>
      </c>
      <c r="P1419" s="0" t="str">
        <f aca="false">IF(AND(TRIM(C1419)&lt;&gt;"",COUNTIF(C$2:C1419,C1419)=1),MAX(P$1:P1418)+1,"")</f>
        <v/>
      </c>
      <c r="Q1419" s="0" t="str">
        <f aca="false">IF(AND(TRIM(F1419)&lt;&gt;"",COUNTIF(F$2:F1419,F1419)=1),MAX(Q$1:Q1418)+1,"")</f>
        <v/>
      </c>
    </row>
    <row r="1420" customFormat="false" ht="15" hidden="false" customHeight="false" outlineLevel="0" collapsed="false">
      <c r="A1420" s="9"/>
      <c r="B1420" s="10"/>
      <c r="C1420" s="11"/>
      <c r="D1420" s="11"/>
      <c r="E1420" s="11"/>
      <c r="F1420" s="11"/>
      <c r="G1420" s="12"/>
      <c r="H1420" s="12"/>
      <c r="I1420" s="10"/>
      <c r="J1420" s="12"/>
      <c r="K1420" s="13" t="str">
        <f aca="false">IF(ISNUMBER(B1420),YEAR(B1420),"")</f>
        <v/>
      </c>
      <c r="L1420" s="13" t="str">
        <f aca="false">IF(ISNUMBER(B1420),MONTH(B1420),"")</f>
        <v/>
      </c>
      <c r="M1420" s="13" t="str">
        <f aca="false">IF(AND(ISNUMBER(B1420),ISNUMBER(I1420)),B1420-I1420+1,"")</f>
        <v/>
      </c>
      <c r="N1420" s="14" t="str">
        <f aca="false">IF(B1420="","",IF(M1420="","시작일 미입력",IF(M1420&lt;1,"시작일 이전(확인)",IF(M1420=1,"1일째",IF(M1420=2,"2일째",IF(M1420=3,"3일째",IF(M1420&lt;=7,"일주일 이내",IF(M1420&lt;=14,"이주일 이내","15일 이후"))))))))</f>
        <v/>
      </c>
      <c r="O1420" s="0" t="str">
        <f aca="false">IF(AND(COUNTA($A1420:$J1420)&gt;0,OR(클레임조회!$C$4="",AND(ISNUMBER($B1420),$B1420&gt;=클레임조회!$C$4)),OR(클레임조회!$C$5="",AND(ISNUMBER($B1420),$B1420&lt;=클레임조회!$C$5)),OR(클레임조회!$C$6="",$C1420=클레임조회!$C$6),OR(클레임조회!$C$7="",$D1420=클레임조회!$C$7),OR(클레임조회!$C$8="",$E1420=클레임조회!$C$8),OR(클레임조회!$C$9="",$F1420=클레임조회!$C$9),OR(클레임조회!$C$10="",ISNUMBER(SEARCH(클레임조회!$C$10,$C1420&amp;" "&amp;$F1420&amp;" "&amp;$G1420&amp;" "&amp;$H1420)))),COUNT(O$1:O1419)+1,"")</f>
        <v/>
      </c>
      <c r="P1420" s="0" t="str">
        <f aca="false">IF(AND(TRIM(C1420)&lt;&gt;"",COUNTIF(C$2:C1420,C1420)=1),MAX(P$1:P1419)+1,"")</f>
        <v/>
      </c>
      <c r="Q1420" s="0" t="str">
        <f aca="false">IF(AND(TRIM(F1420)&lt;&gt;"",COUNTIF(F$2:F1420,F1420)=1),MAX(Q$1:Q1419)+1,"")</f>
        <v/>
      </c>
    </row>
    <row r="1421" customFormat="false" ht="15" hidden="false" customHeight="false" outlineLevel="0" collapsed="false">
      <c r="A1421" s="9"/>
      <c r="B1421" s="10"/>
      <c r="C1421" s="11"/>
      <c r="D1421" s="11"/>
      <c r="E1421" s="11"/>
      <c r="F1421" s="11"/>
      <c r="G1421" s="12"/>
      <c r="H1421" s="12"/>
      <c r="I1421" s="10"/>
      <c r="J1421" s="12"/>
      <c r="K1421" s="13" t="str">
        <f aca="false">IF(ISNUMBER(B1421),YEAR(B1421),"")</f>
        <v/>
      </c>
      <c r="L1421" s="13" t="str">
        <f aca="false">IF(ISNUMBER(B1421),MONTH(B1421),"")</f>
        <v/>
      </c>
      <c r="M1421" s="13" t="str">
        <f aca="false">IF(AND(ISNUMBER(B1421),ISNUMBER(I1421)),B1421-I1421+1,"")</f>
        <v/>
      </c>
      <c r="N1421" s="14" t="str">
        <f aca="false">IF(B1421="","",IF(M1421="","시작일 미입력",IF(M1421&lt;1,"시작일 이전(확인)",IF(M1421=1,"1일째",IF(M1421=2,"2일째",IF(M1421=3,"3일째",IF(M1421&lt;=7,"일주일 이내",IF(M1421&lt;=14,"이주일 이내","15일 이후"))))))))</f>
        <v/>
      </c>
      <c r="O1421" s="0" t="str">
        <f aca="false">IF(AND(COUNTA($A1421:$J1421)&gt;0,OR(클레임조회!$C$4="",AND(ISNUMBER($B1421),$B1421&gt;=클레임조회!$C$4)),OR(클레임조회!$C$5="",AND(ISNUMBER($B1421),$B1421&lt;=클레임조회!$C$5)),OR(클레임조회!$C$6="",$C1421=클레임조회!$C$6),OR(클레임조회!$C$7="",$D1421=클레임조회!$C$7),OR(클레임조회!$C$8="",$E1421=클레임조회!$C$8),OR(클레임조회!$C$9="",$F1421=클레임조회!$C$9),OR(클레임조회!$C$10="",ISNUMBER(SEARCH(클레임조회!$C$10,$C1421&amp;" "&amp;$F1421&amp;" "&amp;$G1421&amp;" "&amp;$H1421)))),COUNT(O$1:O1420)+1,"")</f>
        <v/>
      </c>
      <c r="P1421" s="0" t="str">
        <f aca="false">IF(AND(TRIM(C1421)&lt;&gt;"",COUNTIF(C$2:C1421,C1421)=1),MAX(P$1:P1420)+1,"")</f>
        <v/>
      </c>
      <c r="Q1421" s="0" t="str">
        <f aca="false">IF(AND(TRIM(F1421)&lt;&gt;"",COUNTIF(F$2:F1421,F1421)=1),MAX(Q$1:Q1420)+1,"")</f>
        <v/>
      </c>
    </row>
    <row r="1422" customFormat="false" ht="15" hidden="false" customHeight="false" outlineLevel="0" collapsed="false">
      <c r="A1422" s="9"/>
      <c r="B1422" s="10"/>
      <c r="C1422" s="11"/>
      <c r="D1422" s="11"/>
      <c r="E1422" s="11"/>
      <c r="F1422" s="11"/>
      <c r="G1422" s="12"/>
      <c r="H1422" s="12"/>
      <c r="I1422" s="10"/>
      <c r="J1422" s="12"/>
      <c r="K1422" s="13" t="str">
        <f aca="false">IF(ISNUMBER(B1422),YEAR(B1422),"")</f>
        <v/>
      </c>
      <c r="L1422" s="13" t="str">
        <f aca="false">IF(ISNUMBER(B1422),MONTH(B1422),"")</f>
        <v/>
      </c>
      <c r="M1422" s="13" t="str">
        <f aca="false">IF(AND(ISNUMBER(B1422),ISNUMBER(I1422)),B1422-I1422+1,"")</f>
        <v/>
      </c>
      <c r="N1422" s="14" t="str">
        <f aca="false">IF(B1422="","",IF(M1422="","시작일 미입력",IF(M1422&lt;1,"시작일 이전(확인)",IF(M1422=1,"1일째",IF(M1422=2,"2일째",IF(M1422=3,"3일째",IF(M1422&lt;=7,"일주일 이내",IF(M1422&lt;=14,"이주일 이내","15일 이후"))))))))</f>
        <v/>
      </c>
      <c r="O1422" s="0" t="str">
        <f aca="false">IF(AND(COUNTA($A1422:$J1422)&gt;0,OR(클레임조회!$C$4="",AND(ISNUMBER($B1422),$B1422&gt;=클레임조회!$C$4)),OR(클레임조회!$C$5="",AND(ISNUMBER($B1422),$B1422&lt;=클레임조회!$C$5)),OR(클레임조회!$C$6="",$C1422=클레임조회!$C$6),OR(클레임조회!$C$7="",$D1422=클레임조회!$C$7),OR(클레임조회!$C$8="",$E1422=클레임조회!$C$8),OR(클레임조회!$C$9="",$F1422=클레임조회!$C$9),OR(클레임조회!$C$10="",ISNUMBER(SEARCH(클레임조회!$C$10,$C1422&amp;" "&amp;$F1422&amp;" "&amp;$G1422&amp;" "&amp;$H1422)))),COUNT(O$1:O1421)+1,"")</f>
        <v/>
      </c>
      <c r="P1422" s="0" t="str">
        <f aca="false">IF(AND(TRIM(C1422)&lt;&gt;"",COUNTIF(C$2:C1422,C1422)=1),MAX(P$1:P1421)+1,"")</f>
        <v/>
      </c>
      <c r="Q1422" s="0" t="str">
        <f aca="false">IF(AND(TRIM(F1422)&lt;&gt;"",COUNTIF(F$2:F1422,F1422)=1),MAX(Q$1:Q1421)+1,"")</f>
        <v/>
      </c>
    </row>
    <row r="1423" customFormat="false" ht="15" hidden="false" customHeight="false" outlineLevel="0" collapsed="false">
      <c r="A1423" s="9"/>
      <c r="B1423" s="10"/>
      <c r="C1423" s="11"/>
      <c r="D1423" s="11"/>
      <c r="E1423" s="11"/>
      <c r="F1423" s="11"/>
      <c r="G1423" s="12"/>
      <c r="H1423" s="12"/>
      <c r="I1423" s="10"/>
      <c r="J1423" s="12"/>
      <c r="K1423" s="13" t="str">
        <f aca="false">IF(ISNUMBER(B1423),YEAR(B1423),"")</f>
        <v/>
      </c>
      <c r="L1423" s="13" t="str">
        <f aca="false">IF(ISNUMBER(B1423),MONTH(B1423),"")</f>
        <v/>
      </c>
      <c r="M1423" s="13" t="str">
        <f aca="false">IF(AND(ISNUMBER(B1423),ISNUMBER(I1423)),B1423-I1423+1,"")</f>
        <v/>
      </c>
      <c r="N1423" s="14" t="str">
        <f aca="false">IF(B1423="","",IF(M1423="","시작일 미입력",IF(M1423&lt;1,"시작일 이전(확인)",IF(M1423=1,"1일째",IF(M1423=2,"2일째",IF(M1423=3,"3일째",IF(M1423&lt;=7,"일주일 이내",IF(M1423&lt;=14,"이주일 이내","15일 이후"))))))))</f>
        <v/>
      </c>
      <c r="O1423" s="0" t="str">
        <f aca="false">IF(AND(COUNTA($A1423:$J1423)&gt;0,OR(클레임조회!$C$4="",AND(ISNUMBER($B1423),$B1423&gt;=클레임조회!$C$4)),OR(클레임조회!$C$5="",AND(ISNUMBER($B1423),$B1423&lt;=클레임조회!$C$5)),OR(클레임조회!$C$6="",$C1423=클레임조회!$C$6),OR(클레임조회!$C$7="",$D1423=클레임조회!$C$7),OR(클레임조회!$C$8="",$E1423=클레임조회!$C$8),OR(클레임조회!$C$9="",$F1423=클레임조회!$C$9),OR(클레임조회!$C$10="",ISNUMBER(SEARCH(클레임조회!$C$10,$C1423&amp;" "&amp;$F1423&amp;" "&amp;$G1423&amp;" "&amp;$H1423)))),COUNT(O$1:O1422)+1,"")</f>
        <v/>
      </c>
      <c r="P1423" s="0" t="str">
        <f aca="false">IF(AND(TRIM(C1423)&lt;&gt;"",COUNTIF(C$2:C1423,C1423)=1),MAX(P$1:P1422)+1,"")</f>
        <v/>
      </c>
      <c r="Q1423" s="0" t="str">
        <f aca="false">IF(AND(TRIM(F1423)&lt;&gt;"",COUNTIF(F$2:F1423,F1423)=1),MAX(Q$1:Q1422)+1,"")</f>
        <v/>
      </c>
    </row>
    <row r="1424" customFormat="false" ht="15" hidden="false" customHeight="false" outlineLevel="0" collapsed="false">
      <c r="A1424" s="9"/>
      <c r="B1424" s="10"/>
      <c r="C1424" s="11"/>
      <c r="D1424" s="11"/>
      <c r="E1424" s="11"/>
      <c r="F1424" s="11"/>
      <c r="G1424" s="12"/>
      <c r="H1424" s="12"/>
      <c r="I1424" s="10"/>
      <c r="J1424" s="12"/>
      <c r="K1424" s="13" t="str">
        <f aca="false">IF(ISNUMBER(B1424),YEAR(B1424),"")</f>
        <v/>
      </c>
      <c r="L1424" s="13" t="str">
        <f aca="false">IF(ISNUMBER(B1424),MONTH(B1424),"")</f>
        <v/>
      </c>
      <c r="M1424" s="13" t="str">
        <f aca="false">IF(AND(ISNUMBER(B1424),ISNUMBER(I1424)),B1424-I1424+1,"")</f>
        <v/>
      </c>
      <c r="N1424" s="14" t="str">
        <f aca="false">IF(B1424="","",IF(M1424="","시작일 미입력",IF(M1424&lt;1,"시작일 이전(확인)",IF(M1424=1,"1일째",IF(M1424=2,"2일째",IF(M1424=3,"3일째",IF(M1424&lt;=7,"일주일 이내",IF(M1424&lt;=14,"이주일 이내","15일 이후"))))))))</f>
        <v/>
      </c>
      <c r="O1424" s="0" t="str">
        <f aca="false">IF(AND(COUNTA($A1424:$J1424)&gt;0,OR(클레임조회!$C$4="",AND(ISNUMBER($B1424),$B1424&gt;=클레임조회!$C$4)),OR(클레임조회!$C$5="",AND(ISNUMBER($B1424),$B1424&lt;=클레임조회!$C$5)),OR(클레임조회!$C$6="",$C1424=클레임조회!$C$6),OR(클레임조회!$C$7="",$D1424=클레임조회!$C$7),OR(클레임조회!$C$8="",$E1424=클레임조회!$C$8),OR(클레임조회!$C$9="",$F1424=클레임조회!$C$9),OR(클레임조회!$C$10="",ISNUMBER(SEARCH(클레임조회!$C$10,$C1424&amp;" "&amp;$F1424&amp;" "&amp;$G1424&amp;" "&amp;$H1424)))),COUNT(O$1:O1423)+1,"")</f>
        <v/>
      </c>
      <c r="P1424" s="0" t="str">
        <f aca="false">IF(AND(TRIM(C1424)&lt;&gt;"",COUNTIF(C$2:C1424,C1424)=1),MAX(P$1:P1423)+1,"")</f>
        <v/>
      </c>
      <c r="Q1424" s="0" t="str">
        <f aca="false">IF(AND(TRIM(F1424)&lt;&gt;"",COUNTIF(F$2:F1424,F1424)=1),MAX(Q$1:Q1423)+1,"")</f>
        <v/>
      </c>
    </row>
    <row r="1425" customFormat="false" ht="15" hidden="false" customHeight="false" outlineLevel="0" collapsed="false">
      <c r="A1425" s="9"/>
      <c r="B1425" s="10"/>
      <c r="C1425" s="11"/>
      <c r="D1425" s="11"/>
      <c r="E1425" s="11"/>
      <c r="F1425" s="11"/>
      <c r="G1425" s="12"/>
      <c r="H1425" s="12"/>
      <c r="I1425" s="10"/>
      <c r="J1425" s="12"/>
      <c r="K1425" s="13" t="str">
        <f aca="false">IF(ISNUMBER(B1425),YEAR(B1425),"")</f>
        <v/>
      </c>
      <c r="L1425" s="13" t="str">
        <f aca="false">IF(ISNUMBER(B1425),MONTH(B1425),"")</f>
        <v/>
      </c>
      <c r="M1425" s="13" t="str">
        <f aca="false">IF(AND(ISNUMBER(B1425),ISNUMBER(I1425)),B1425-I1425+1,"")</f>
        <v/>
      </c>
      <c r="N1425" s="14" t="str">
        <f aca="false">IF(B1425="","",IF(M1425="","시작일 미입력",IF(M1425&lt;1,"시작일 이전(확인)",IF(M1425=1,"1일째",IF(M1425=2,"2일째",IF(M1425=3,"3일째",IF(M1425&lt;=7,"일주일 이내",IF(M1425&lt;=14,"이주일 이내","15일 이후"))))))))</f>
        <v/>
      </c>
      <c r="O1425" s="0" t="str">
        <f aca="false">IF(AND(COUNTA($A1425:$J1425)&gt;0,OR(클레임조회!$C$4="",AND(ISNUMBER($B1425),$B1425&gt;=클레임조회!$C$4)),OR(클레임조회!$C$5="",AND(ISNUMBER($B1425),$B1425&lt;=클레임조회!$C$5)),OR(클레임조회!$C$6="",$C1425=클레임조회!$C$6),OR(클레임조회!$C$7="",$D1425=클레임조회!$C$7),OR(클레임조회!$C$8="",$E1425=클레임조회!$C$8),OR(클레임조회!$C$9="",$F1425=클레임조회!$C$9),OR(클레임조회!$C$10="",ISNUMBER(SEARCH(클레임조회!$C$10,$C1425&amp;" "&amp;$F1425&amp;" "&amp;$G1425&amp;" "&amp;$H1425)))),COUNT(O$1:O1424)+1,"")</f>
        <v/>
      </c>
      <c r="P1425" s="0" t="str">
        <f aca="false">IF(AND(TRIM(C1425)&lt;&gt;"",COUNTIF(C$2:C1425,C1425)=1),MAX(P$1:P1424)+1,"")</f>
        <v/>
      </c>
      <c r="Q1425" s="0" t="str">
        <f aca="false">IF(AND(TRIM(F1425)&lt;&gt;"",COUNTIF(F$2:F1425,F1425)=1),MAX(Q$1:Q1424)+1,"")</f>
        <v/>
      </c>
    </row>
    <row r="1426" customFormat="false" ht="15" hidden="false" customHeight="false" outlineLevel="0" collapsed="false">
      <c r="A1426" s="9"/>
      <c r="B1426" s="10"/>
      <c r="C1426" s="11"/>
      <c r="D1426" s="11"/>
      <c r="E1426" s="11"/>
      <c r="F1426" s="11"/>
      <c r="G1426" s="12"/>
      <c r="H1426" s="12"/>
      <c r="I1426" s="10"/>
      <c r="J1426" s="12"/>
      <c r="K1426" s="13" t="str">
        <f aca="false">IF(ISNUMBER(B1426),YEAR(B1426),"")</f>
        <v/>
      </c>
      <c r="L1426" s="13" t="str">
        <f aca="false">IF(ISNUMBER(B1426),MONTH(B1426),"")</f>
        <v/>
      </c>
      <c r="M1426" s="13" t="str">
        <f aca="false">IF(AND(ISNUMBER(B1426),ISNUMBER(I1426)),B1426-I1426+1,"")</f>
        <v/>
      </c>
      <c r="N1426" s="14" t="str">
        <f aca="false">IF(B1426="","",IF(M1426="","시작일 미입력",IF(M1426&lt;1,"시작일 이전(확인)",IF(M1426=1,"1일째",IF(M1426=2,"2일째",IF(M1426=3,"3일째",IF(M1426&lt;=7,"일주일 이내",IF(M1426&lt;=14,"이주일 이내","15일 이후"))))))))</f>
        <v/>
      </c>
      <c r="O1426" s="0" t="str">
        <f aca="false">IF(AND(COUNTA($A1426:$J1426)&gt;0,OR(클레임조회!$C$4="",AND(ISNUMBER($B1426),$B1426&gt;=클레임조회!$C$4)),OR(클레임조회!$C$5="",AND(ISNUMBER($B1426),$B1426&lt;=클레임조회!$C$5)),OR(클레임조회!$C$6="",$C1426=클레임조회!$C$6),OR(클레임조회!$C$7="",$D1426=클레임조회!$C$7),OR(클레임조회!$C$8="",$E1426=클레임조회!$C$8),OR(클레임조회!$C$9="",$F1426=클레임조회!$C$9),OR(클레임조회!$C$10="",ISNUMBER(SEARCH(클레임조회!$C$10,$C1426&amp;" "&amp;$F1426&amp;" "&amp;$G1426&amp;" "&amp;$H1426)))),COUNT(O$1:O1425)+1,"")</f>
        <v/>
      </c>
      <c r="P1426" s="0" t="str">
        <f aca="false">IF(AND(TRIM(C1426)&lt;&gt;"",COUNTIF(C$2:C1426,C1426)=1),MAX(P$1:P1425)+1,"")</f>
        <v/>
      </c>
      <c r="Q1426" s="0" t="str">
        <f aca="false">IF(AND(TRIM(F1426)&lt;&gt;"",COUNTIF(F$2:F1426,F1426)=1),MAX(Q$1:Q1425)+1,"")</f>
        <v/>
      </c>
    </row>
    <row r="1427" customFormat="false" ht="15" hidden="false" customHeight="false" outlineLevel="0" collapsed="false">
      <c r="A1427" s="9"/>
      <c r="B1427" s="10"/>
      <c r="C1427" s="11"/>
      <c r="D1427" s="11"/>
      <c r="E1427" s="11"/>
      <c r="F1427" s="11"/>
      <c r="G1427" s="12"/>
      <c r="H1427" s="12"/>
      <c r="I1427" s="10"/>
      <c r="J1427" s="12"/>
      <c r="K1427" s="13" t="str">
        <f aca="false">IF(ISNUMBER(B1427),YEAR(B1427),"")</f>
        <v/>
      </c>
      <c r="L1427" s="13" t="str">
        <f aca="false">IF(ISNUMBER(B1427),MONTH(B1427),"")</f>
        <v/>
      </c>
      <c r="M1427" s="13" t="str">
        <f aca="false">IF(AND(ISNUMBER(B1427),ISNUMBER(I1427)),B1427-I1427+1,"")</f>
        <v/>
      </c>
      <c r="N1427" s="14" t="str">
        <f aca="false">IF(B1427="","",IF(M1427="","시작일 미입력",IF(M1427&lt;1,"시작일 이전(확인)",IF(M1427=1,"1일째",IF(M1427=2,"2일째",IF(M1427=3,"3일째",IF(M1427&lt;=7,"일주일 이내",IF(M1427&lt;=14,"이주일 이내","15일 이후"))))))))</f>
        <v/>
      </c>
      <c r="O1427" s="0" t="str">
        <f aca="false">IF(AND(COUNTA($A1427:$J1427)&gt;0,OR(클레임조회!$C$4="",AND(ISNUMBER($B1427),$B1427&gt;=클레임조회!$C$4)),OR(클레임조회!$C$5="",AND(ISNUMBER($B1427),$B1427&lt;=클레임조회!$C$5)),OR(클레임조회!$C$6="",$C1427=클레임조회!$C$6),OR(클레임조회!$C$7="",$D1427=클레임조회!$C$7),OR(클레임조회!$C$8="",$E1427=클레임조회!$C$8),OR(클레임조회!$C$9="",$F1427=클레임조회!$C$9),OR(클레임조회!$C$10="",ISNUMBER(SEARCH(클레임조회!$C$10,$C1427&amp;" "&amp;$F1427&amp;" "&amp;$G1427&amp;" "&amp;$H1427)))),COUNT(O$1:O1426)+1,"")</f>
        <v/>
      </c>
      <c r="P1427" s="0" t="str">
        <f aca="false">IF(AND(TRIM(C1427)&lt;&gt;"",COUNTIF(C$2:C1427,C1427)=1),MAX(P$1:P1426)+1,"")</f>
        <v/>
      </c>
      <c r="Q1427" s="0" t="str">
        <f aca="false">IF(AND(TRIM(F1427)&lt;&gt;"",COUNTIF(F$2:F1427,F1427)=1),MAX(Q$1:Q1426)+1,"")</f>
        <v/>
      </c>
    </row>
    <row r="1428" customFormat="false" ht="15" hidden="false" customHeight="false" outlineLevel="0" collapsed="false">
      <c r="A1428" s="9"/>
      <c r="B1428" s="10"/>
      <c r="C1428" s="11"/>
      <c r="D1428" s="11"/>
      <c r="E1428" s="11"/>
      <c r="F1428" s="11"/>
      <c r="G1428" s="12"/>
      <c r="H1428" s="12"/>
      <c r="I1428" s="10"/>
      <c r="J1428" s="12"/>
      <c r="K1428" s="13" t="str">
        <f aca="false">IF(ISNUMBER(B1428),YEAR(B1428),"")</f>
        <v/>
      </c>
      <c r="L1428" s="13" t="str">
        <f aca="false">IF(ISNUMBER(B1428),MONTH(B1428),"")</f>
        <v/>
      </c>
      <c r="M1428" s="13" t="str">
        <f aca="false">IF(AND(ISNUMBER(B1428),ISNUMBER(I1428)),B1428-I1428+1,"")</f>
        <v/>
      </c>
      <c r="N1428" s="14" t="str">
        <f aca="false">IF(B1428="","",IF(M1428="","시작일 미입력",IF(M1428&lt;1,"시작일 이전(확인)",IF(M1428=1,"1일째",IF(M1428=2,"2일째",IF(M1428=3,"3일째",IF(M1428&lt;=7,"일주일 이내",IF(M1428&lt;=14,"이주일 이내","15일 이후"))))))))</f>
        <v/>
      </c>
      <c r="O1428" s="0" t="str">
        <f aca="false">IF(AND(COUNTA($A1428:$J1428)&gt;0,OR(클레임조회!$C$4="",AND(ISNUMBER($B1428),$B1428&gt;=클레임조회!$C$4)),OR(클레임조회!$C$5="",AND(ISNUMBER($B1428),$B1428&lt;=클레임조회!$C$5)),OR(클레임조회!$C$6="",$C1428=클레임조회!$C$6),OR(클레임조회!$C$7="",$D1428=클레임조회!$C$7),OR(클레임조회!$C$8="",$E1428=클레임조회!$C$8),OR(클레임조회!$C$9="",$F1428=클레임조회!$C$9),OR(클레임조회!$C$10="",ISNUMBER(SEARCH(클레임조회!$C$10,$C1428&amp;" "&amp;$F1428&amp;" "&amp;$G1428&amp;" "&amp;$H1428)))),COUNT(O$1:O1427)+1,"")</f>
        <v/>
      </c>
      <c r="P1428" s="0" t="str">
        <f aca="false">IF(AND(TRIM(C1428)&lt;&gt;"",COUNTIF(C$2:C1428,C1428)=1),MAX(P$1:P1427)+1,"")</f>
        <v/>
      </c>
      <c r="Q1428" s="0" t="str">
        <f aca="false">IF(AND(TRIM(F1428)&lt;&gt;"",COUNTIF(F$2:F1428,F1428)=1),MAX(Q$1:Q1427)+1,"")</f>
        <v/>
      </c>
    </row>
    <row r="1429" customFormat="false" ht="15" hidden="false" customHeight="false" outlineLevel="0" collapsed="false">
      <c r="A1429" s="9"/>
      <c r="B1429" s="10"/>
      <c r="C1429" s="11"/>
      <c r="D1429" s="11"/>
      <c r="E1429" s="11"/>
      <c r="F1429" s="11"/>
      <c r="G1429" s="12"/>
      <c r="H1429" s="12"/>
      <c r="I1429" s="10"/>
      <c r="J1429" s="12"/>
      <c r="K1429" s="13" t="str">
        <f aca="false">IF(ISNUMBER(B1429),YEAR(B1429),"")</f>
        <v/>
      </c>
      <c r="L1429" s="13" t="str">
        <f aca="false">IF(ISNUMBER(B1429),MONTH(B1429),"")</f>
        <v/>
      </c>
      <c r="M1429" s="13" t="str">
        <f aca="false">IF(AND(ISNUMBER(B1429),ISNUMBER(I1429)),B1429-I1429+1,"")</f>
        <v/>
      </c>
      <c r="N1429" s="14" t="str">
        <f aca="false">IF(B1429="","",IF(M1429="","시작일 미입력",IF(M1429&lt;1,"시작일 이전(확인)",IF(M1429=1,"1일째",IF(M1429=2,"2일째",IF(M1429=3,"3일째",IF(M1429&lt;=7,"일주일 이내",IF(M1429&lt;=14,"이주일 이내","15일 이후"))))))))</f>
        <v/>
      </c>
      <c r="O1429" s="0" t="str">
        <f aca="false">IF(AND(COUNTA($A1429:$J1429)&gt;0,OR(클레임조회!$C$4="",AND(ISNUMBER($B1429),$B1429&gt;=클레임조회!$C$4)),OR(클레임조회!$C$5="",AND(ISNUMBER($B1429),$B1429&lt;=클레임조회!$C$5)),OR(클레임조회!$C$6="",$C1429=클레임조회!$C$6),OR(클레임조회!$C$7="",$D1429=클레임조회!$C$7),OR(클레임조회!$C$8="",$E1429=클레임조회!$C$8),OR(클레임조회!$C$9="",$F1429=클레임조회!$C$9),OR(클레임조회!$C$10="",ISNUMBER(SEARCH(클레임조회!$C$10,$C1429&amp;" "&amp;$F1429&amp;" "&amp;$G1429&amp;" "&amp;$H1429)))),COUNT(O$1:O1428)+1,"")</f>
        <v/>
      </c>
      <c r="P1429" s="0" t="str">
        <f aca="false">IF(AND(TRIM(C1429)&lt;&gt;"",COUNTIF(C$2:C1429,C1429)=1),MAX(P$1:P1428)+1,"")</f>
        <v/>
      </c>
      <c r="Q1429" s="0" t="str">
        <f aca="false">IF(AND(TRIM(F1429)&lt;&gt;"",COUNTIF(F$2:F1429,F1429)=1),MAX(Q$1:Q1428)+1,"")</f>
        <v/>
      </c>
    </row>
    <row r="1430" customFormat="false" ht="15" hidden="false" customHeight="false" outlineLevel="0" collapsed="false">
      <c r="A1430" s="9"/>
      <c r="B1430" s="10"/>
      <c r="C1430" s="11"/>
      <c r="D1430" s="11"/>
      <c r="E1430" s="11"/>
      <c r="F1430" s="11"/>
      <c r="G1430" s="12"/>
      <c r="H1430" s="12"/>
      <c r="I1430" s="10"/>
      <c r="J1430" s="12"/>
      <c r="K1430" s="13" t="str">
        <f aca="false">IF(ISNUMBER(B1430),YEAR(B1430),"")</f>
        <v/>
      </c>
      <c r="L1430" s="13" t="str">
        <f aca="false">IF(ISNUMBER(B1430),MONTH(B1430),"")</f>
        <v/>
      </c>
      <c r="M1430" s="13" t="str">
        <f aca="false">IF(AND(ISNUMBER(B1430),ISNUMBER(I1430)),B1430-I1430+1,"")</f>
        <v/>
      </c>
      <c r="N1430" s="14" t="str">
        <f aca="false">IF(B1430="","",IF(M1430="","시작일 미입력",IF(M1430&lt;1,"시작일 이전(확인)",IF(M1430=1,"1일째",IF(M1430=2,"2일째",IF(M1430=3,"3일째",IF(M1430&lt;=7,"일주일 이내",IF(M1430&lt;=14,"이주일 이내","15일 이후"))))))))</f>
        <v/>
      </c>
      <c r="O1430" s="0" t="str">
        <f aca="false">IF(AND(COUNTA($A1430:$J1430)&gt;0,OR(클레임조회!$C$4="",AND(ISNUMBER($B1430),$B1430&gt;=클레임조회!$C$4)),OR(클레임조회!$C$5="",AND(ISNUMBER($B1430),$B1430&lt;=클레임조회!$C$5)),OR(클레임조회!$C$6="",$C1430=클레임조회!$C$6),OR(클레임조회!$C$7="",$D1430=클레임조회!$C$7),OR(클레임조회!$C$8="",$E1430=클레임조회!$C$8),OR(클레임조회!$C$9="",$F1430=클레임조회!$C$9),OR(클레임조회!$C$10="",ISNUMBER(SEARCH(클레임조회!$C$10,$C1430&amp;" "&amp;$F1430&amp;" "&amp;$G1430&amp;" "&amp;$H1430)))),COUNT(O$1:O1429)+1,"")</f>
        <v/>
      </c>
      <c r="P1430" s="0" t="str">
        <f aca="false">IF(AND(TRIM(C1430)&lt;&gt;"",COUNTIF(C$2:C1430,C1430)=1),MAX(P$1:P1429)+1,"")</f>
        <v/>
      </c>
      <c r="Q1430" s="0" t="str">
        <f aca="false">IF(AND(TRIM(F1430)&lt;&gt;"",COUNTIF(F$2:F1430,F1430)=1),MAX(Q$1:Q1429)+1,"")</f>
        <v/>
      </c>
    </row>
    <row r="1431" customFormat="false" ht="15" hidden="false" customHeight="false" outlineLevel="0" collapsed="false">
      <c r="A1431" s="9"/>
      <c r="B1431" s="10"/>
      <c r="C1431" s="11"/>
      <c r="D1431" s="11"/>
      <c r="E1431" s="11"/>
      <c r="F1431" s="11"/>
      <c r="G1431" s="12"/>
      <c r="H1431" s="12"/>
      <c r="I1431" s="10"/>
      <c r="J1431" s="12"/>
      <c r="K1431" s="13" t="str">
        <f aca="false">IF(ISNUMBER(B1431),YEAR(B1431),"")</f>
        <v/>
      </c>
      <c r="L1431" s="13" t="str">
        <f aca="false">IF(ISNUMBER(B1431),MONTH(B1431),"")</f>
        <v/>
      </c>
      <c r="M1431" s="13" t="str">
        <f aca="false">IF(AND(ISNUMBER(B1431),ISNUMBER(I1431)),B1431-I1431+1,"")</f>
        <v/>
      </c>
      <c r="N1431" s="14" t="str">
        <f aca="false">IF(B1431="","",IF(M1431="","시작일 미입력",IF(M1431&lt;1,"시작일 이전(확인)",IF(M1431=1,"1일째",IF(M1431=2,"2일째",IF(M1431=3,"3일째",IF(M1431&lt;=7,"일주일 이내",IF(M1431&lt;=14,"이주일 이내","15일 이후"))))))))</f>
        <v/>
      </c>
      <c r="O1431" s="0" t="str">
        <f aca="false">IF(AND(COUNTA($A1431:$J1431)&gt;0,OR(클레임조회!$C$4="",AND(ISNUMBER($B1431),$B1431&gt;=클레임조회!$C$4)),OR(클레임조회!$C$5="",AND(ISNUMBER($B1431),$B1431&lt;=클레임조회!$C$5)),OR(클레임조회!$C$6="",$C1431=클레임조회!$C$6),OR(클레임조회!$C$7="",$D1431=클레임조회!$C$7),OR(클레임조회!$C$8="",$E1431=클레임조회!$C$8),OR(클레임조회!$C$9="",$F1431=클레임조회!$C$9),OR(클레임조회!$C$10="",ISNUMBER(SEARCH(클레임조회!$C$10,$C1431&amp;" "&amp;$F1431&amp;" "&amp;$G1431&amp;" "&amp;$H1431)))),COUNT(O$1:O1430)+1,"")</f>
        <v/>
      </c>
      <c r="P1431" s="0" t="str">
        <f aca="false">IF(AND(TRIM(C1431)&lt;&gt;"",COUNTIF(C$2:C1431,C1431)=1),MAX(P$1:P1430)+1,"")</f>
        <v/>
      </c>
      <c r="Q1431" s="0" t="str">
        <f aca="false">IF(AND(TRIM(F1431)&lt;&gt;"",COUNTIF(F$2:F1431,F1431)=1),MAX(Q$1:Q1430)+1,"")</f>
        <v/>
      </c>
    </row>
    <row r="1432" customFormat="false" ht="15" hidden="false" customHeight="false" outlineLevel="0" collapsed="false">
      <c r="A1432" s="9"/>
      <c r="B1432" s="10"/>
      <c r="C1432" s="11"/>
      <c r="D1432" s="11"/>
      <c r="E1432" s="11"/>
      <c r="F1432" s="11"/>
      <c r="G1432" s="12"/>
      <c r="H1432" s="12"/>
      <c r="I1432" s="10"/>
      <c r="J1432" s="12"/>
      <c r="K1432" s="13" t="str">
        <f aca="false">IF(ISNUMBER(B1432),YEAR(B1432),"")</f>
        <v/>
      </c>
      <c r="L1432" s="13" t="str">
        <f aca="false">IF(ISNUMBER(B1432),MONTH(B1432),"")</f>
        <v/>
      </c>
      <c r="M1432" s="13" t="str">
        <f aca="false">IF(AND(ISNUMBER(B1432),ISNUMBER(I1432)),B1432-I1432+1,"")</f>
        <v/>
      </c>
      <c r="N1432" s="14" t="str">
        <f aca="false">IF(B1432="","",IF(M1432="","시작일 미입력",IF(M1432&lt;1,"시작일 이전(확인)",IF(M1432=1,"1일째",IF(M1432=2,"2일째",IF(M1432=3,"3일째",IF(M1432&lt;=7,"일주일 이내",IF(M1432&lt;=14,"이주일 이내","15일 이후"))))))))</f>
        <v/>
      </c>
      <c r="O1432" s="0" t="str">
        <f aca="false">IF(AND(COUNTA($A1432:$J1432)&gt;0,OR(클레임조회!$C$4="",AND(ISNUMBER($B1432),$B1432&gt;=클레임조회!$C$4)),OR(클레임조회!$C$5="",AND(ISNUMBER($B1432),$B1432&lt;=클레임조회!$C$5)),OR(클레임조회!$C$6="",$C1432=클레임조회!$C$6),OR(클레임조회!$C$7="",$D1432=클레임조회!$C$7),OR(클레임조회!$C$8="",$E1432=클레임조회!$C$8),OR(클레임조회!$C$9="",$F1432=클레임조회!$C$9),OR(클레임조회!$C$10="",ISNUMBER(SEARCH(클레임조회!$C$10,$C1432&amp;" "&amp;$F1432&amp;" "&amp;$G1432&amp;" "&amp;$H1432)))),COUNT(O$1:O1431)+1,"")</f>
        <v/>
      </c>
      <c r="P1432" s="0" t="str">
        <f aca="false">IF(AND(TRIM(C1432)&lt;&gt;"",COUNTIF(C$2:C1432,C1432)=1),MAX(P$1:P1431)+1,"")</f>
        <v/>
      </c>
      <c r="Q1432" s="0" t="str">
        <f aca="false">IF(AND(TRIM(F1432)&lt;&gt;"",COUNTIF(F$2:F1432,F1432)=1),MAX(Q$1:Q1431)+1,"")</f>
        <v/>
      </c>
    </row>
    <row r="1433" customFormat="false" ht="15" hidden="false" customHeight="false" outlineLevel="0" collapsed="false">
      <c r="A1433" s="9"/>
      <c r="B1433" s="10"/>
      <c r="C1433" s="11"/>
      <c r="D1433" s="11"/>
      <c r="E1433" s="11"/>
      <c r="F1433" s="11"/>
      <c r="G1433" s="12"/>
      <c r="H1433" s="12"/>
      <c r="I1433" s="10"/>
      <c r="J1433" s="12"/>
      <c r="K1433" s="13" t="str">
        <f aca="false">IF(ISNUMBER(B1433),YEAR(B1433),"")</f>
        <v/>
      </c>
      <c r="L1433" s="13" t="str">
        <f aca="false">IF(ISNUMBER(B1433),MONTH(B1433),"")</f>
        <v/>
      </c>
      <c r="M1433" s="13" t="str">
        <f aca="false">IF(AND(ISNUMBER(B1433),ISNUMBER(I1433)),B1433-I1433+1,"")</f>
        <v/>
      </c>
      <c r="N1433" s="14" t="str">
        <f aca="false">IF(B1433="","",IF(M1433="","시작일 미입력",IF(M1433&lt;1,"시작일 이전(확인)",IF(M1433=1,"1일째",IF(M1433=2,"2일째",IF(M1433=3,"3일째",IF(M1433&lt;=7,"일주일 이내",IF(M1433&lt;=14,"이주일 이내","15일 이후"))))))))</f>
        <v/>
      </c>
      <c r="O1433" s="0" t="str">
        <f aca="false">IF(AND(COUNTA($A1433:$J1433)&gt;0,OR(클레임조회!$C$4="",AND(ISNUMBER($B1433),$B1433&gt;=클레임조회!$C$4)),OR(클레임조회!$C$5="",AND(ISNUMBER($B1433),$B1433&lt;=클레임조회!$C$5)),OR(클레임조회!$C$6="",$C1433=클레임조회!$C$6),OR(클레임조회!$C$7="",$D1433=클레임조회!$C$7),OR(클레임조회!$C$8="",$E1433=클레임조회!$C$8),OR(클레임조회!$C$9="",$F1433=클레임조회!$C$9),OR(클레임조회!$C$10="",ISNUMBER(SEARCH(클레임조회!$C$10,$C1433&amp;" "&amp;$F1433&amp;" "&amp;$G1433&amp;" "&amp;$H1433)))),COUNT(O$1:O1432)+1,"")</f>
        <v/>
      </c>
      <c r="P1433" s="0" t="str">
        <f aca="false">IF(AND(TRIM(C1433)&lt;&gt;"",COUNTIF(C$2:C1433,C1433)=1),MAX(P$1:P1432)+1,"")</f>
        <v/>
      </c>
      <c r="Q1433" s="0" t="str">
        <f aca="false">IF(AND(TRIM(F1433)&lt;&gt;"",COUNTIF(F$2:F1433,F1433)=1),MAX(Q$1:Q1432)+1,"")</f>
        <v/>
      </c>
    </row>
    <row r="1434" customFormat="false" ht="15" hidden="false" customHeight="false" outlineLevel="0" collapsed="false">
      <c r="A1434" s="9"/>
      <c r="B1434" s="10"/>
      <c r="C1434" s="11"/>
      <c r="D1434" s="11"/>
      <c r="E1434" s="11"/>
      <c r="F1434" s="11"/>
      <c r="G1434" s="12"/>
      <c r="H1434" s="12"/>
      <c r="I1434" s="10"/>
      <c r="J1434" s="12"/>
      <c r="K1434" s="13" t="str">
        <f aca="false">IF(ISNUMBER(B1434),YEAR(B1434),"")</f>
        <v/>
      </c>
      <c r="L1434" s="13" t="str">
        <f aca="false">IF(ISNUMBER(B1434),MONTH(B1434),"")</f>
        <v/>
      </c>
      <c r="M1434" s="13" t="str">
        <f aca="false">IF(AND(ISNUMBER(B1434),ISNUMBER(I1434)),B1434-I1434+1,"")</f>
        <v/>
      </c>
      <c r="N1434" s="14" t="str">
        <f aca="false">IF(B1434="","",IF(M1434="","시작일 미입력",IF(M1434&lt;1,"시작일 이전(확인)",IF(M1434=1,"1일째",IF(M1434=2,"2일째",IF(M1434=3,"3일째",IF(M1434&lt;=7,"일주일 이내",IF(M1434&lt;=14,"이주일 이내","15일 이후"))))))))</f>
        <v/>
      </c>
      <c r="O1434" s="0" t="str">
        <f aca="false">IF(AND(COUNTA($A1434:$J1434)&gt;0,OR(클레임조회!$C$4="",AND(ISNUMBER($B1434),$B1434&gt;=클레임조회!$C$4)),OR(클레임조회!$C$5="",AND(ISNUMBER($B1434),$B1434&lt;=클레임조회!$C$5)),OR(클레임조회!$C$6="",$C1434=클레임조회!$C$6),OR(클레임조회!$C$7="",$D1434=클레임조회!$C$7),OR(클레임조회!$C$8="",$E1434=클레임조회!$C$8),OR(클레임조회!$C$9="",$F1434=클레임조회!$C$9),OR(클레임조회!$C$10="",ISNUMBER(SEARCH(클레임조회!$C$10,$C1434&amp;" "&amp;$F1434&amp;" "&amp;$G1434&amp;" "&amp;$H1434)))),COUNT(O$1:O1433)+1,"")</f>
        <v/>
      </c>
      <c r="P1434" s="0" t="str">
        <f aca="false">IF(AND(TRIM(C1434)&lt;&gt;"",COUNTIF(C$2:C1434,C1434)=1),MAX(P$1:P1433)+1,"")</f>
        <v/>
      </c>
      <c r="Q1434" s="0" t="str">
        <f aca="false">IF(AND(TRIM(F1434)&lt;&gt;"",COUNTIF(F$2:F1434,F1434)=1),MAX(Q$1:Q1433)+1,"")</f>
        <v/>
      </c>
    </row>
    <row r="1435" customFormat="false" ht="15" hidden="false" customHeight="false" outlineLevel="0" collapsed="false">
      <c r="A1435" s="9"/>
      <c r="B1435" s="10"/>
      <c r="C1435" s="11"/>
      <c r="D1435" s="11"/>
      <c r="E1435" s="11"/>
      <c r="F1435" s="11"/>
      <c r="G1435" s="12"/>
      <c r="H1435" s="12"/>
      <c r="I1435" s="10"/>
      <c r="J1435" s="12"/>
      <c r="K1435" s="13" t="str">
        <f aca="false">IF(ISNUMBER(B1435),YEAR(B1435),"")</f>
        <v/>
      </c>
      <c r="L1435" s="13" t="str">
        <f aca="false">IF(ISNUMBER(B1435),MONTH(B1435),"")</f>
        <v/>
      </c>
      <c r="M1435" s="13" t="str">
        <f aca="false">IF(AND(ISNUMBER(B1435),ISNUMBER(I1435)),B1435-I1435+1,"")</f>
        <v/>
      </c>
      <c r="N1435" s="14" t="str">
        <f aca="false">IF(B1435="","",IF(M1435="","시작일 미입력",IF(M1435&lt;1,"시작일 이전(확인)",IF(M1435=1,"1일째",IF(M1435=2,"2일째",IF(M1435=3,"3일째",IF(M1435&lt;=7,"일주일 이내",IF(M1435&lt;=14,"이주일 이내","15일 이후"))))))))</f>
        <v/>
      </c>
      <c r="O1435" s="0" t="str">
        <f aca="false">IF(AND(COUNTA($A1435:$J1435)&gt;0,OR(클레임조회!$C$4="",AND(ISNUMBER($B1435),$B1435&gt;=클레임조회!$C$4)),OR(클레임조회!$C$5="",AND(ISNUMBER($B1435),$B1435&lt;=클레임조회!$C$5)),OR(클레임조회!$C$6="",$C1435=클레임조회!$C$6),OR(클레임조회!$C$7="",$D1435=클레임조회!$C$7),OR(클레임조회!$C$8="",$E1435=클레임조회!$C$8),OR(클레임조회!$C$9="",$F1435=클레임조회!$C$9),OR(클레임조회!$C$10="",ISNUMBER(SEARCH(클레임조회!$C$10,$C1435&amp;" "&amp;$F1435&amp;" "&amp;$G1435&amp;" "&amp;$H1435)))),COUNT(O$1:O1434)+1,"")</f>
        <v/>
      </c>
      <c r="P1435" s="0" t="str">
        <f aca="false">IF(AND(TRIM(C1435)&lt;&gt;"",COUNTIF(C$2:C1435,C1435)=1),MAX(P$1:P1434)+1,"")</f>
        <v/>
      </c>
      <c r="Q1435" s="0" t="str">
        <f aca="false">IF(AND(TRIM(F1435)&lt;&gt;"",COUNTIF(F$2:F1435,F1435)=1),MAX(Q$1:Q1434)+1,"")</f>
        <v/>
      </c>
    </row>
    <row r="1436" customFormat="false" ht="15" hidden="false" customHeight="false" outlineLevel="0" collapsed="false">
      <c r="A1436" s="9"/>
      <c r="B1436" s="10"/>
      <c r="C1436" s="11"/>
      <c r="D1436" s="11"/>
      <c r="E1436" s="11"/>
      <c r="F1436" s="11"/>
      <c r="G1436" s="12"/>
      <c r="H1436" s="12"/>
      <c r="I1436" s="10"/>
      <c r="J1436" s="12"/>
      <c r="K1436" s="13" t="str">
        <f aca="false">IF(ISNUMBER(B1436),YEAR(B1436),"")</f>
        <v/>
      </c>
      <c r="L1436" s="13" t="str">
        <f aca="false">IF(ISNUMBER(B1436),MONTH(B1436),"")</f>
        <v/>
      </c>
      <c r="M1436" s="13" t="str">
        <f aca="false">IF(AND(ISNUMBER(B1436),ISNUMBER(I1436)),B1436-I1436+1,"")</f>
        <v/>
      </c>
      <c r="N1436" s="14" t="str">
        <f aca="false">IF(B1436="","",IF(M1436="","시작일 미입력",IF(M1436&lt;1,"시작일 이전(확인)",IF(M1436=1,"1일째",IF(M1436=2,"2일째",IF(M1436=3,"3일째",IF(M1436&lt;=7,"일주일 이내",IF(M1436&lt;=14,"이주일 이내","15일 이후"))))))))</f>
        <v/>
      </c>
      <c r="O1436" s="0" t="str">
        <f aca="false">IF(AND(COUNTA($A1436:$J1436)&gt;0,OR(클레임조회!$C$4="",AND(ISNUMBER($B1436),$B1436&gt;=클레임조회!$C$4)),OR(클레임조회!$C$5="",AND(ISNUMBER($B1436),$B1436&lt;=클레임조회!$C$5)),OR(클레임조회!$C$6="",$C1436=클레임조회!$C$6),OR(클레임조회!$C$7="",$D1436=클레임조회!$C$7),OR(클레임조회!$C$8="",$E1436=클레임조회!$C$8),OR(클레임조회!$C$9="",$F1436=클레임조회!$C$9),OR(클레임조회!$C$10="",ISNUMBER(SEARCH(클레임조회!$C$10,$C1436&amp;" "&amp;$F1436&amp;" "&amp;$G1436&amp;" "&amp;$H1436)))),COUNT(O$1:O1435)+1,"")</f>
        <v/>
      </c>
      <c r="P1436" s="0" t="str">
        <f aca="false">IF(AND(TRIM(C1436)&lt;&gt;"",COUNTIF(C$2:C1436,C1436)=1),MAX(P$1:P1435)+1,"")</f>
        <v/>
      </c>
      <c r="Q1436" s="0" t="str">
        <f aca="false">IF(AND(TRIM(F1436)&lt;&gt;"",COUNTIF(F$2:F1436,F1436)=1),MAX(Q$1:Q1435)+1,"")</f>
        <v/>
      </c>
    </row>
    <row r="1437" customFormat="false" ht="15" hidden="false" customHeight="false" outlineLevel="0" collapsed="false">
      <c r="A1437" s="9"/>
      <c r="B1437" s="10"/>
      <c r="C1437" s="11"/>
      <c r="D1437" s="11"/>
      <c r="E1437" s="11"/>
      <c r="F1437" s="11"/>
      <c r="G1437" s="12"/>
      <c r="H1437" s="12"/>
      <c r="I1437" s="10"/>
      <c r="J1437" s="12"/>
      <c r="K1437" s="13" t="str">
        <f aca="false">IF(ISNUMBER(B1437),YEAR(B1437),"")</f>
        <v/>
      </c>
      <c r="L1437" s="13" t="str">
        <f aca="false">IF(ISNUMBER(B1437),MONTH(B1437),"")</f>
        <v/>
      </c>
      <c r="M1437" s="13" t="str">
        <f aca="false">IF(AND(ISNUMBER(B1437),ISNUMBER(I1437)),B1437-I1437+1,"")</f>
        <v/>
      </c>
      <c r="N1437" s="14" t="str">
        <f aca="false">IF(B1437="","",IF(M1437="","시작일 미입력",IF(M1437&lt;1,"시작일 이전(확인)",IF(M1437=1,"1일째",IF(M1437=2,"2일째",IF(M1437=3,"3일째",IF(M1437&lt;=7,"일주일 이내",IF(M1437&lt;=14,"이주일 이내","15일 이후"))))))))</f>
        <v/>
      </c>
      <c r="O1437" s="0" t="str">
        <f aca="false">IF(AND(COUNTA($A1437:$J1437)&gt;0,OR(클레임조회!$C$4="",AND(ISNUMBER($B1437),$B1437&gt;=클레임조회!$C$4)),OR(클레임조회!$C$5="",AND(ISNUMBER($B1437),$B1437&lt;=클레임조회!$C$5)),OR(클레임조회!$C$6="",$C1437=클레임조회!$C$6),OR(클레임조회!$C$7="",$D1437=클레임조회!$C$7),OR(클레임조회!$C$8="",$E1437=클레임조회!$C$8),OR(클레임조회!$C$9="",$F1437=클레임조회!$C$9),OR(클레임조회!$C$10="",ISNUMBER(SEARCH(클레임조회!$C$10,$C1437&amp;" "&amp;$F1437&amp;" "&amp;$G1437&amp;" "&amp;$H1437)))),COUNT(O$1:O1436)+1,"")</f>
        <v/>
      </c>
      <c r="P1437" s="0" t="str">
        <f aca="false">IF(AND(TRIM(C1437)&lt;&gt;"",COUNTIF(C$2:C1437,C1437)=1),MAX(P$1:P1436)+1,"")</f>
        <v/>
      </c>
      <c r="Q1437" s="0" t="str">
        <f aca="false">IF(AND(TRIM(F1437)&lt;&gt;"",COUNTIF(F$2:F1437,F1437)=1),MAX(Q$1:Q1436)+1,"")</f>
        <v/>
      </c>
    </row>
    <row r="1438" customFormat="false" ht="15" hidden="false" customHeight="false" outlineLevel="0" collapsed="false">
      <c r="A1438" s="9"/>
      <c r="B1438" s="10"/>
      <c r="C1438" s="11"/>
      <c r="D1438" s="11"/>
      <c r="E1438" s="11"/>
      <c r="F1438" s="11"/>
      <c r="G1438" s="12"/>
      <c r="H1438" s="12"/>
      <c r="I1438" s="10"/>
      <c r="J1438" s="12"/>
      <c r="K1438" s="13" t="str">
        <f aca="false">IF(ISNUMBER(B1438),YEAR(B1438),"")</f>
        <v/>
      </c>
      <c r="L1438" s="13" t="str">
        <f aca="false">IF(ISNUMBER(B1438),MONTH(B1438),"")</f>
        <v/>
      </c>
      <c r="M1438" s="13" t="str">
        <f aca="false">IF(AND(ISNUMBER(B1438),ISNUMBER(I1438)),B1438-I1438+1,"")</f>
        <v/>
      </c>
      <c r="N1438" s="14" t="str">
        <f aca="false">IF(B1438="","",IF(M1438="","시작일 미입력",IF(M1438&lt;1,"시작일 이전(확인)",IF(M1438=1,"1일째",IF(M1438=2,"2일째",IF(M1438=3,"3일째",IF(M1438&lt;=7,"일주일 이내",IF(M1438&lt;=14,"이주일 이내","15일 이후"))))))))</f>
        <v/>
      </c>
      <c r="O1438" s="0" t="str">
        <f aca="false">IF(AND(COUNTA($A1438:$J1438)&gt;0,OR(클레임조회!$C$4="",AND(ISNUMBER($B1438),$B1438&gt;=클레임조회!$C$4)),OR(클레임조회!$C$5="",AND(ISNUMBER($B1438),$B1438&lt;=클레임조회!$C$5)),OR(클레임조회!$C$6="",$C1438=클레임조회!$C$6),OR(클레임조회!$C$7="",$D1438=클레임조회!$C$7),OR(클레임조회!$C$8="",$E1438=클레임조회!$C$8),OR(클레임조회!$C$9="",$F1438=클레임조회!$C$9),OR(클레임조회!$C$10="",ISNUMBER(SEARCH(클레임조회!$C$10,$C1438&amp;" "&amp;$F1438&amp;" "&amp;$G1438&amp;" "&amp;$H1438)))),COUNT(O$1:O1437)+1,"")</f>
        <v/>
      </c>
      <c r="P1438" s="0" t="str">
        <f aca="false">IF(AND(TRIM(C1438)&lt;&gt;"",COUNTIF(C$2:C1438,C1438)=1),MAX(P$1:P1437)+1,"")</f>
        <v/>
      </c>
      <c r="Q1438" s="0" t="str">
        <f aca="false">IF(AND(TRIM(F1438)&lt;&gt;"",COUNTIF(F$2:F1438,F1438)=1),MAX(Q$1:Q1437)+1,"")</f>
        <v/>
      </c>
    </row>
    <row r="1439" customFormat="false" ht="15" hidden="false" customHeight="false" outlineLevel="0" collapsed="false">
      <c r="A1439" s="9"/>
      <c r="B1439" s="10"/>
      <c r="C1439" s="11"/>
      <c r="D1439" s="11"/>
      <c r="E1439" s="11"/>
      <c r="F1439" s="11"/>
      <c r="G1439" s="12"/>
      <c r="H1439" s="12"/>
      <c r="I1439" s="10"/>
      <c r="J1439" s="12"/>
      <c r="K1439" s="13" t="str">
        <f aca="false">IF(ISNUMBER(B1439),YEAR(B1439),"")</f>
        <v/>
      </c>
      <c r="L1439" s="13" t="str">
        <f aca="false">IF(ISNUMBER(B1439),MONTH(B1439),"")</f>
        <v/>
      </c>
      <c r="M1439" s="13" t="str">
        <f aca="false">IF(AND(ISNUMBER(B1439),ISNUMBER(I1439)),B1439-I1439+1,"")</f>
        <v/>
      </c>
      <c r="N1439" s="14" t="str">
        <f aca="false">IF(B1439="","",IF(M1439="","시작일 미입력",IF(M1439&lt;1,"시작일 이전(확인)",IF(M1439=1,"1일째",IF(M1439=2,"2일째",IF(M1439=3,"3일째",IF(M1439&lt;=7,"일주일 이내",IF(M1439&lt;=14,"이주일 이내","15일 이후"))))))))</f>
        <v/>
      </c>
      <c r="O1439" s="0" t="str">
        <f aca="false">IF(AND(COUNTA($A1439:$J1439)&gt;0,OR(클레임조회!$C$4="",AND(ISNUMBER($B1439),$B1439&gt;=클레임조회!$C$4)),OR(클레임조회!$C$5="",AND(ISNUMBER($B1439),$B1439&lt;=클레임조회!$C$5)),OR(클레임조회!$C$6="",$C1439=클레임조회!$C$6),OR(클레임조회!$C$7="",$D1439=클레임조회!$C$7),OR(클레임조회!$C$8="",$E1439=클레임조회!$C$8),OR(클레임조회!$C$9="",$F1439=클레임조회!$C$9),OR(클레임조회!$C$10="",ISNUMBER(SEARCH(클레임조회!$C$10,$C1439&amp;" "&amp;$F1439&amp;" "&amp;$G1439&amp;" "&amp;$H1439)))),COUNT(O$1:O1438)+1,"")</f>
        <v/>
      </c>
      <c r="P1439" s="0" t="str">
        <f aca="false">IF(AND(TRIM(C1439)&lt;&gt;"",COUNTIF(C$2:C1439,C1439)=1),MAX(P$1:P1438)+1,"")</f>
        <v/>
      </c>
      <c r="Q1439" s="0" t="str">
        <f aca="false">IF(AND(TRIM(F1439)&lt;&gt;"",COUNTIF(F$2:F1439,F1439)=1),MAX(Q$1:Q1438)+1,"")</f>
        <v/>
      </c>
    </row>
    <row r="1440" customFormat="false" ht="15" hidden="false" customHeight="false" outlineLevel="0" collapsed="false">
      <c r="A1440" s="9"/>
      <c r="B1440" s="10"/>
      <c r="C1440" s="11"/>
      <c r="D1440" s="11"/>
      <c r="E1440" s="11"/>
      <c r="F1440" s="11"/>
      <c r="G1440" s="12"/>
      <c r="H1440" s="12"/>
      <c r="I1440" s="10"/>
      <c r="J1440" s="12"/>
      <c r="K1440" s="13" t="str">
        <f aca="false">IF(ISNUMBER(B1440),YEAR(B1440),"")</f>
        <v/>
      </c>
      <c r="L1440" s="13" t="str">
        <f aca="false">IF(ISNUMBER(B1440),MONTH(B1440),"")</f>
        <v/>
      </c>
      <c r="M1440" s="13" t="str">
        <f aca="false">IF(AND(ISNUMBER(B1440),ISNUMBER(I1440)),B1440-I1440+1,"")</f>
        <v/>
      </c>
      <c r="N1440" s="14" t="str">
        <f aca="false">IF(B1440="","",IF(M1440="","시작일 미입력",IF(M1440&lt;1,"시작일 이전(확인)",IF(M1440=1,"1일째",IF(M1440=2,"2일째",IF(M1440=3,"3일째",IF(M1440&lt;=7,"일주일 이내",IF(M1440&lt;=14,"이주일 이내","15일 이후"))))))))</f>
        <v/>
      </c>
      <c r="O1440" s="0" t="str">
        <f aca="false">IF(AND(COUNTA($A1440:$J1440)&gt;0,OR(클레임조회!$C$4="",AND(ISNUMBER($B1440),$B1440&gt;=클레임조회!$C$4)),OR(클레임조회!$C$5="",AND(ISNUMBER($B1440),$B1440&lt;=클레임조회!$C$5)),OR(클레임조회!$C$6="",$C1440=클레임조회!$C$6),OR(클레임조회!$C$7="",$D1440=클레임조회!$C$7),OR(클레임조회!$C$8="",$E1440=클레임조회!$C$8),OR(클레임조회!$C$9="",$F1440=클레임조회!$C$9),OR(클레임조회!$C$10="",ISNUMBER(SEARCH(클레임조회!$C$10,$C1440&amp;" "&amp;$F1440&amp;" "&amp;$G1440&amp;" "&amp;$H1440)))),COUNT(O$1:O1439)+1,"")</f>
        <v/>
      </c>
      <c r="P1440" s="0" t="str">
        <f aca="false">IF(AND(TRIM(C1440)&lt;&gt;"",COUNTIF(C$2:C1440,C1440)=1),MAX(P$1:P1439)+1,"")</f>
        <v/>
      </c>
      <c r="Q1440" s="0" t="str">
        <f aca="false">IF(AND(TRIM(F1440)&lt;&gt;"",COUNTIF(F$2:F1440,F1440)=1),MAX(Q$1:Q1439)+1,"")</f>
        <v/>
      </c>
    </row>
    <row r="1441" customFormat="false" ht="15" hidden="false" customHeight="false" outlineLevel="0" collapsed="false">
      <c r="A1441" s="9"/>
      <c r="B1441" s="10"/>
      <c r="C1441" s="11"/>
      <c r="D1441" s="11"/>
      <c r="E1441" s="11"/>
      <c r="F1441" s="11"/>
      <c r="G1441" s="12"/>
      <c r="H1441" s="12"/>
      <c r="I1441" s="10"/>
      <c r="J1441" s="12"/>
      <c r="K1441" s="13" t="str">
        <f aca="false">IF(ISNUMBER(B1441),YEAR(B1441),"")</f>
        <v/>
      </c>
      <c r="L1441" s="13" t="str">
        <f aca="false">IF(ISNUMBER(B1441),MONTH(B1441),"")</f>
        <v/>
      </c>
      <c r="M1441" s="13" t="str">
        <f aca="false">IF(AND(ISNUMBER(B1441),ISNUMBER(I1441)),B1441-I1441+1,"")</f>
        <v/>
      </c>
      <c r="N1441" s="14" t="str">
        <f aca="false">IF(B1441="","",IF(M1441="","시작일 미입력",IF(M1441&lt;1,"시작일 이전(확인)",IF(M1441=1,"1일째",IF(M1441=2,"2일째",IF(M1441=3,"3일째",IF(M1441&lt;=7,"일주일 이내",IF(M1441&lt;=14,"이주일 이내","15일 이후"))))))))</f>
        <v/>
      </c>
      <c r="O1441" s="0" t="str">
        <f aca="false">IF(AND(COUNTA($A1441:$J1441)&gt;0,OR(클레임조회!$C$4="",AND(ISNUMBER($B1441),$B1441&gt;=클레임조회!$C$4)),OR(클레임조회!$C$5="",AND(ISNUMBER($B1441),$B1441&lt;=클레임조회!$C$5)),OR(클레임조회!$C$6="",$C1441=클레임조회!$C$6),OR(클레임조회!$C$7="",$D1441=클레임조회!$C$7),OR(클레임조회!$C$8="",$E1441=클레임조회!$C$8),OR(클레임조회!$C$9="",$F1441=클레임조회!$C$9),OR(클레임조회!$C$10="",ISNUMBER(SEARCH(클레임조회!$C$10,$C1441&amp;" "&amp;$F1441&amp;" "&amp;$G1441&amp;" "&amp;$H1441)))),COUNT(O$1:O1440)+1,"")</f>
        <v/>
      </c>
      <c r="P1441" s="0" t="str">
        <f aca="false">IF(AND(TRIM(C1441)&lt;&gt;"",COUNTIF(C$2:C1441,C1441)=1),MAX(P$1:P1440)+1,"")</f>
        <v/>
      </c>
      <c r="Q1441" s="0" t="str">
        <f aca="false">IF(AND(TRIM(F1441)&lt;&gt;"",COUNTIF(F$2:F1441,F1441)=1),MAX(Q$1:Q1440)+1,"")</f>
        <v/>
      </c>
    </row>
    <row r="1442" customFormat="false" ht="15" hidden="false" customHeight="false" outlineLevel="0" collapsed="false">
      <c r="A1442" s="9"/>
      <c r="B1442" s="10"/>
      <c r="C1442" s="11"/>
      <c r="D1442" s="11"/>
      <c r="E1442" s="11"/>
      <c r="F1442" s="11"/>
      <c r="G1442" s="12"/>
      <c r="H1442" s="12"/>
      <c r="I1442" s="10"/>
      <c r="J1442" s="12"/>
      <c r="K1442" s="13" t="str">
        <f aca="false">IF(ISNUMBER(B1442),YEAR(B1442),"")</f>
        <v/>
      </c>
      <c r="L1442" s="13" t="str">
        <f aca="false">IF(ISNUMBER(B1442),MONTH(B1442),"")</f>
        <v/>
      </c>
      <c r="M1442" s="13" t="str">
        <f aca="false">IF(AND(ISNUMBER(B1442),ISNUMBER(I1442)),B1442-I1442+1,"")</f>
        <v/>
      </c>
      <c r="N1442" s="14" t="str">
        <f aca="false">IF(B1442="","",IF(M1442="","시작일 미입력",IF(M1442&lt;1,"시작일 이전(확인)",IF(M1442=1,"1일째",IF(M1442=2,"2일째",IF(M1442=3,"3일째",IF(M1442&lt;=7,"일주일 이내",IF(M1442&lt;=14,"이주일 이내","15일 이후"))))))))</f>
        <v/>
      </c>
      <c r="O1442" s="0" t="str">
        <f aca="false">IF(AND(COUNTA($A1442:$J1442)&gt;0,OR(클레임조회!$C$4="",AND(ISNUMBER($B1442),$B1442&gt;=클레임조회!$C$4)),OR(클레임조회!$C$5="",AND(ISNUMBER($B1442),$B1442&lt;=클레임조회!$C$5)),OR(클레임조회!$C$6="",$C1442=클레임조회!$C$6),OR(클레임조회!$C$7="",$D1442=클레임조회!$C$7),OR(클레임조회!$C$8="",$E1442=클레임조회!$C$8),OR(클레임조회!$C$9="",$F1442=클레임조회!$C$9),OR(클레임조회!$C$10="",ISNUMBER(SEARCH(클레임조회!$C$10,$C1442&amp;" "&amp;$F1442&amp;" "&amp;$G1442&amp;" "&amp;$H1442)))),COUNT(O$1:O1441)+1,"")</f>
        <v/>
      </c>
      <c r="P1442" s="0" t="str">
        <f aca="false">IF(AND(TRIM(C1442)&lt;&gt;"",COUNTIF(C$2:C1442,C1442)=1),MAX(P$1:P1441)+1,"")</f>
        <v/>
      </c>
      <c r="Q1442" s="0" t="str">
        <f aca="false">IF(AND(TRIM(F1442)&lt;&gt;"",COUNTIF(F$2:F1442,F1442)=1),MAX(Q$1:Q1441)+1,"")</f>
        <v/>
      </c>
    </row>
    <row r="1443" customFormat="false" ht="15" hidden="false" customHeight="false" outlineLevel="0" collapsed="false">
      <c r="A1443" s="9"/>
      <c r="B1443" s="10"/>
      <c r="C1443" s="11"/>
      <c r="D1443" s="11"/>
      <c r="E1443" s="11"/>
      <c r="F1443" s="11"/>
      <c r="G1443" s="12"/>
      <c r="H1443" s="12"/>
      <c r="I1443" s="10"/>
      <c r="J1443" s="12"/>
      <c r="K1443" s="13" t="str">
        <f aca="false">IF(ISNUMBER(B1443),YEAR(B1443),"")</f>
        <v/>
      </c>
      <c r="L1443" s="13" t="str">
        <f aca="false">IF(ISNUMBER(B1443),MONTH(B1443),"")</f>
        <v/>
      </c>
      <c r="M1443" s="13" t="str">
        <f aca="false">IF(AND(ISNUMBER(B1443),ISNUMBER(I1443)),B1443-I1443+1,"")</f>
        <v/>
      </c>
      <c r="N1443" s="14" t="str">
        <f aca="false">IF(B1443="","",IF(M1443="","시작일 미입력",IF(M1443&lt;1,"시작일 이전(확인)",IF(M1443=1,"1일째",IF(M1443=2,"2일째",IF(M1443=3,"3일째",IF(M1443&lt;=7,"일주일 이내",IF(M1443&lt;=14,"이주일 이내","15일 이후"))))))))</f>
        <v/>
      </c>
      <c r="O1443" s="0" t="str">
        <f aca="false">IF(AND(COUNTA($A1443:$J1443)&gt;0,OR(클레임조회!$C$4="",AND(ISNUMBER($B1443),$B1443&gt;=클레임조회!$C$4)),OR(클레임조회!$C$5="",AND(ISNUMBER($B1443),$B1443&lt;=클레임조회!$C$5)),OR(클레임조회!$C$6="",$C1443=클레임조회!$C$6),OR(클레임조회!$C$7="",$D1443=클레임조회!$C$7),OR(클레임조회!$C$8="",$E1443=클레임조회!$C$8),OR(클레임조회!$C$9="",$F1443=클레임조회!$C$9),OR(클레임조회!$C$10="",ISNUMBER(SEARCH(클레임조회!$C$10,$C1443&amp;" "&amp;$F1443&amp;" "&amp;$G1443&amp;" "&amp;$H1443)))),COUNT(O$1:O1442)+1,"")</f>
        <v/>
      </c>
      <c r="P1443" s="0" t="str">
        <f aca="false">IF(AND(TRIM(C1443)&lt;&gt;"",COUNTIF(C$2:C1443,C1443)=1),MAX(P$1:P1442)+1,"")</f>
        <v/>
      </c>
      <c r="Q1443" s="0" t="str">
        <f aca="false">IF(AND(TRIM(F1443)&lt;&gt;"",COUNTIF(F$2:F1443,F1443)=1),MAX(Q$1:Q1442)+1,"")</f>
        <v/>
      </c>
    </row>
    <row r="1444" customFormat="false" ht="15" hidden="false" customHeight="false" outlineLevel="0" collapsed="false">
      <c r="A1444" s="9"/>
      <c r="B1444" s="10"/>
      <c r="C1444" s="11"/>
      <c r="D1444" s="11"/>
      <c r="E1444" s="11"/>
      <c r="F1444" s="11"/>
      <c r="G1444" s="12"/>
      <c r="H1444" s="12"/>
      <c r="I1444" s="10"/>
      <c r="J1444" s="12"/>
      <c r="K1444" s="13" t="str">
        <f aca="false">IF(ISNUMBER(B1444),YEAR(B1444),"")</f>
        <v/>
      </c>
      <c r="L1444" s="13" t="str">
        <f aca="false">IF(ISNUMBER(B1444),MONTH(B1444),"")</f>
        <v/>
      </c>
      <c r="M1444" s="13" t="str">
        <f aca="false">IF(AND(ISNUMBER(B1444),ISNUMBER(I1444)),B1444-I1444+1,"")</f>
        <v/>
      </c>
      <c r="N1444" s="14" t="str">
        <f aca="false">IF(B1444="","",IF(M1444="","시작일 미입력",IF(M1444&lt;1,"시작일 이전(확인)",IF(M1444=1,"1일째",IF(M1444=2,"2일째",IF(M1444=3,"3일째",IF(M1444&lt;=7,"일주일 이내",IF(M1444&lt;=14,"이주일 이내","15일 이후"))))))))</f>
        <v/>
      </c>
      <c r="O1444" s="0" t="str">
        <f aca="false">IF(AND(COUNTA($A1444:$J1444)&gt;0,OR(클레임조회!$C$4="",AND(ISNUMBER($B1444),$B1444&gt;=클레임조회!$C$4)),OR(클레임조회!$C$5="",AND(ISNUMBER($B1444),$B1444&lt;=클레임조회!$C$5)),OR(클레임조회!$C$6="",$C1444=클레임조회!$C$6),OR(클레임조회!$C$7="",$D1444=클레임조회!$C$7),OR(클레임조회!$C$8="",$E1444=클레임조회!$C$8),OR(클레임조회!$C$9="",$F1444=클레임조회!$C$9),OR(클레임조회!$C$10="",ISNUMBER(SEARCH(클레임조회!$C$10,$C1444&amp;" "&amp;$F1444&amp;" "&amp;$G1444&amp;" "&amp;$H1444)))),COUNT(O$1:O1443)+1,"")</f>
        <v/>
      </c>
      <c r="P1444" s="0" t="str">
        <f aca="false">IF(AND(TRIM(C1444)&lt;&gt;"",COUNTIF(C$2:C1444,C1444)=1),MAX(P$1:P1443)+1,"")</f>
        <v/>
      </c>
      <c r="Q1444" s="0" t="str">
        <f aca="false">IF(AND(TRIM(F1444)&lt;&gt;"",COUNTIF(F$2:F1444,F1444)=1),MAX(Q$1:Q1443)+1,"")</f>
        <v/>
      </c>
    </row>
    <row r="1445" customFormat="false" ht="15" hidden="false" customHeight="false" outlineLevel="0" collapsed="false">
      <c r="A1445" s="9"/>
      <c r="B1445" s="10"/>
      <c r="C1445" s="11"/>
      <c r="D1445" s="11"/>
      <c r="E1445" s="11"/>
      <c r="F1445" s="11"/>
      <c r="G1445" s="12"/>
      <c r="H1445" s="12"/>
      <c r="I1445" s="10"/>
      <c r="J1445" s="12"/>
      <c r="K1445" s="13" t="str">
        <f aca="false">IF(ISNUMBER(B1445),YEAR(B1445),"")</f>
        <v/>
      </c>
      <c r="L1445" s="13" t="str">
        <f aca="false">IF(ISNUMBER(B1445),MONTH(B1445),"")</f>
        <v/>
      </c>
      <c r="M1445" s="13" t="str">
        <f aca="false">IF(AND(ISNUMBER(B1445),ISNUMBER(I1445)),B1445-I1445+1,"")</f>
        <v/>
      </c>
      <c r="N1445" s="14" t="str">
        <f aca="false">IF(B1445="","",IF(M1445="","시작일 미입력",IF(M1445&lt;1,"시작일 이전(확인)",IF(M1445=1,"1일째",IF(M1445=2,"2일째",IF(M1445=3,"3일째",IF(M1445&lt;=7,"일주일 이내",IF(M1445&lt;=14,"이주일 이내","15일 이후"))))))))</f>
        <v/>
      </c>
      <c r="O1445" s="0" t="str">
        <f aca="false">IF(AND(COUNTA($A1445:$J1445)&gt;0,OR(클레임조회!$C$4="",AND(ISNUMBER($B1445),$B1445&gt;=클레임조회!$C$4)),OR(클레임조회!$C$5="",AND(ISNUMBER($B1445),$B1445&lt;=클레임조회!$C$5)),OR(클레임조회!$C$6="",$C1445=클레임조회!$C$6),OR(클레임조회!$C$7="",$D1445=클레임조회!$C$7),OR(클레임조회!$C$8="",$E1445=클레임조회!$C$8),OR(클레임조회!$C$9="",$F1445=클레임조회!$C$9),OR(클레임조회!$C$10="",ISNUMBER(SEARCH(클레임조회!$C$10,$C1445&amp;" "&amp;$F1445&amp;" "&amp;$G1445&amp;" "&amp;$H1445)))),COUNT(O$1:O1444)+1,"")</f>
        <v/>
      </c>
      <c r="P1445" s="0" t="str">
        <f aca="false">IF(AND(TRIM(C1445)&lt;&gt;"",COUNTIF(C$2:C1445,C1445)=1),MAX(P$1:P1444)+1,"")</f>
        <v/>
      </c>
      <c r="Q1445" s="0" t="str">
        <f aca="false">IF(AND(TRIM(F1445)&lt;&gt;"",COUNTIF(F$2:F1445,F1445)=1),MAX(Q$1:Q1444)+1,"")</f>
        <v/>
      </c>
    </row>
    <row r="1446" customFormat="false" ht="15" hidden="false" customHeight="false" outlineLevel="0" collapsed="false">
      <c r="A1446" s="9"/>
      <c r="B1446" s="10"/>
      <c r="C1446" s="11"/>
      <c r="D1446" s="11"/>
      <c r="E1446" s="11"/>
      <c r="F1446" s="11"/>
      <c r="G1446" s="12"/>
      <c r="H1446" s="12"/>
      <c r="I1446" s="10"/>
      <c r="J1446" s="12"/>
      <c r="K1446" s="13" t="str">
        <f aca="false">IF(ISNUMBER(B1446),YEAR(B1446),"")</f>
        <v/>
      </c>
      <c r="L1446" s="13" t="str">
        <f aca="false">IF(ISNUMBER(B1446),MONTH(B1446),"")</f>
        <v/>
      </c>
      <c r="M1446" s="13" t="str">
        <f aca="false">IF(AND(ISNUMBER(B1446),ISNUMBER(I1446)),B1446-I1446+1,"")</f>
        <v/>
      </c>
      <c r="N1446" s="14" t="str">
        <f aca="false">IF(B1446="","",IF(M1446="","시작일 미입력",IF(M1446&lt;1,"시작일 이전(확인)",IF(M1446=1,"1일째",IF(M1446=2,"2일째",IF(M1446=3,"3일째",IF(M1446&lt;=7,"일주일 이내",IF(M1446&lt;=14,"이주일 이내","15일 이후"))))))))</f>
        <v/>
      </c>
      <c r="O1446" s="0" t="str">
        <f aca="false">IF(AND(COUNTA($A1446:$J1446)&gt;0,OR(클레임조회!$C$4="",AND(ISNUMBER($B1446),$B1446&gt;=클레임조회!$C$4)),OR(클레임조회!$C$5="",AND(ISNUMBER($B1446),$B1446&lt;=클레임조회!$C$5)),OR(클레임조회!$C$6="",$C1446=클레임조회!$C$6),OR(클레임조회!$C$7="",$D1446=클레임조회!$C$7),OR(클레임조회!$C$8="",$E1446=클레임조회!$C$8),OR(클레임조회!$C$9="",$F1446=클레임조회!$C$9),OR(클레임조회!$C$10="",ISNUMBER(SEARCH(클레임조회!$C$10,$C1446&amp;" "&amp;$F1446&amp;" "&amp;$G1446&amp;" "&amp;$H1446)))),COUNT(O$1:O1445)+1,"")</f>
        <v/>
      </c>
      <c r="P1446" s="0" t="str">
        <f aca="false">IF(AND(TRIM(C1446)&lt;&gt;"",COUNTIF(C$2:C1446,C1446)=1),MAX(P$1:P1445)+1,"")</f>
        <v/>
      </c>
      <c r="Q1446" s="0" t="str">
        <f aca="false">IF(AND(TRIM(F1446)&lt;&gt;"",COUNTIF(F$2:F1446,F1446)=1),MAX(Q$1:Q1445)+1,"")</f>
        <v/>
      </c>
    </row>
    <row r="1447" customFormat="false" ht="15" hidden="false" customHeight="false" outlineLevel="0" collapsed="false">
      <c r="A1447" s="9"/>
      <c r="B1447" s="10"/>
      <c r="C1447" s="11"/>
      <c r="D1447" s="11"/>
      <c r="E1447" s="11"/>
      <c r="F1447" s="11"/>
      <c r="G1447" s="12"/>
      <c r="H1447" s="12"/>
      <c r="I1447" s="10"/>
      <c r="J1447" s="12"/>
      <c r="K1447" s="13" t="str">
        <f aca="false">IF(ISNUMBER(B1447),YEAR(B1447),"")</f>
        <v/>
      </c>
      <c r="L1447" s="13" t="str">
        <f aca="false">IF(ISNUMBER(B1447),MONTH(B1447),"")</f>
        <v/>
      </c>
      <c r="M1447" s="13" t="str">
        <f aca="false">IF(AND(ISNUMBER(B1447),ISNUMBER(I1447)),B1447-I1447+1,"")</f>
        <v/>
      </c>
      <c r="N1447" s="14" t="str">
        <f aca="false">IF(B1447="","",IF(M1447="","시작일 미입력",IF(M1447&lt;1,"시작일 이전(확인)",IF(M1447=1,"1일째",IF(M1447=2,"2일째",IF(M1447=3,"3일째",IF(M1447&lt;=7,"일주일 이내",IF(M1447&lt;=14,"이주일 이내","15일 이후"))))))))</f>
        <v/>
      </c>
      <c r="O1447" s="0" t="str">
        <f aca="false">IF(AND(COUNTA($A1447:$J1447)&gt;0,OR(클레임조회!$C$4="",AND(ISNUMBER($B1447),$B1447&gt;=클레임조회!$C$4)),OR(클레임조회!$C$5="",AND(ISNUMBER($B1447),$B1447&lt;=클레임조회!$C$5)),OR(클레임조회!$C$6="",$C1447=클레임조회!$C$6),OR(클레임조회!$C$7="",$D1447=클레임조회!$C$7),OR(클레임조회!$C$8="",$E1447=클레임조회!$C$8),OR(클레임조회!$C$9="",$F1447=클레임조회!$C$9),OR(클레임조회!$C$10="",ISNUMBER(SEARCH(클레임조회!$C$10,$C1447&amp;" "&amp;$F1447&amp;" "&amp;$G1447&amp;" "&amp;$H1447)))),COUNT(O$1:O1446)+1,"")</f>
        <v/>
      </c>
      <c r="P1447" s="0" t="str">
        <f aca="false">IF(AND(TRIM(C1447)&lt;&gt;"",COUNTIF(C$2:C1447,C1447)=1),MAX(P$1:P1446)+1,"")</f>
        <v/>
      </c>
      <c r="Q1447" s="0" t="str">
        <f aca="false">IF(AND(TRIM(F1447)&lt;&gt;"",COUNTIF(F$2:F1447,F1447)=1),MAX(Q$1:Q1446)+1,"")</f>
        <v/>
      </c>
    </row>
    <row r="1448" customFormat="false" ht="15" hidden="false" customHeight="false" outlineLevel="0" collapsed="false">
      <c r="A1448" s="9"/>
      <c r="B1448" s="10"/>
      <c r="C1448" s="11"/>
      <c r="D1448" s="11"/>
      <c r="E1448" s="11"/>
      <c r="F1448" s="11"/>
      <c r="G1448" s="12"/>
      <c r="H1448" s="12"/>
      <c r="I1448" s="10"/>
      <c r="J1448" s="12"/>
      <c r="K1448" s="13" t="str">
        <f aca="false">IF(ISNUMBER(B1448),YEAR(B1448),"")</f>
        <v/>
      </c>
      <c r="L1448" s="13" t="str">
        <f aca="false">IF(ISNUMBER(B1448),MONTH(B1448),"")</f>
        <v/>
      </c>
      <c r="M1448" s="13" t="str">
        <f aca="false">IF(AND(ISNUMBER(B1448),ISNUMBER(I1448)),B1448-I1448+1,"")</f>
        <v/>
      </c>
      <c r="N1448" s="14" t="str">
        <f aca="false">IF(B1448="","",IF(M1448="","시작일 미입력",IF(M1448&lt;1,"시작일 이전(확인)",IF(M1448=1,"1일째",IF(M1448=2,"2일째",IF(M1448=3,"3일째",IF(M1448&lt;=7,"일주일 이내",IF(M1448&lt;=14,"이주일 이내","15일 이후"))))))))</f>
        <v/>
      </c>
      <c r="O1448" s="0" t="str">
        <f aca="false">IF(AND(COUNTA($A1448:$J1448)&gt;0,OR(클레임조회!$C$4="",AND(ISNUMBER($B1448),$B1448&gt;=클레임조회!$C$4)),OR(클레임조회!$C$5="",AND(ISNUMBER($B1448),$B1448&lt;=클레임조회!$C$5)),OR(클레임조회!$C$6="",$C1448=클레임조회!$C$6),OR(클레임조회!$C$7="",$D1448=클레임조회!$C$7),OR(클레임조회!$C$8="",$E1448=클레임조회!$C$8),OR(클레임조회!$C$9="",$F1448=클레임조회!$C$9),OR(클레임조회!$C$10="",ISNUMBER(SEARCH(클레임조회!$C$10,$C1448&amp;" "&amp;$F1448&amp;" "&amp;$G1448&amp;" "&amp;$H1448)))),COUNT(O$1:O1447)+1,"")</f>
        <v/>
      </c>
      <c r="P1448" s="0" t="str">
        <f aca="false">IF(AND(TRIM(C1448)&lt;&gt;"",COUNTIF(C$2:C1448,C1448)=1),MAX(P$1:P1447)+1,"")</f>
        <v/>
      </c>
      <c r="Q1448" s="0" t="str">
        <f aca="false">IF(AND(TRIM(F1448)&lt;&gt;"",COUNTIF(F$2:F1448,F1448)=1),MAX(Q$1:Q1447)+1,"")</f>
        <v/>
      </c>
    </row>
    <row r="1449" customFormat="false" ht="15" hidden="false" customHeight="false" outlineLevel="0" collapsed="false">
      <c r="A1449" s="9"/>
      <c r="B1449" s="10"/>
      <c r="C1449" s="11"/>
      <c r="D1449" s="11"/>
      <c r="E1449" s="11"/>
      <c r="F1449" s="11"/>
      <c r="G1449" s="12"/>
      <c r="H1449" s="12"/>
      <c r="I1449" s="10"/>
      <c r="J1449" s="12"/>
      <c r="K1449" s="13" t="str">
        <f aca="false">IF(ISNUMBER(B1449),YEAR(B1449),"")</f>
        <v/>
      </c>
      <c r="L1449" s="13" t="str">
        <f aca="false">IF(ISNUMBER(B1449),MONTH(B1449),"")</f>
        <v/>
      </c>
      <c r="M1449" s="13" t="str">
        <f aca="false">IF(AND(ISNUMBER(B1449),ISNUMBER(I1449)),B1449-I1449+1,"")</f>
        <v/>
      </c>
      <c r="N1449" s="14" t="str">
        <f aca="false">IF(B1449="","",IF(M1449="","시작일 미입력",IF(M1449&lt;1,"시작일 이전(확인)",IF(M1449=1,"1일째",IF(M1449=2,"2일째",IF(M1449=3,"3일째",IF(M1449&lt;=7,"일주일 이내",IF(M1449&lt;=14,"이주일 이내","15일 이후"))))))))</f>
        <v/>
      </c>
      <c r="O1449" s="0" t="str">
        <f aca="false">IF(AND(COUNTA($A1449:$J1449)&gt;0,OR(클레임조회!$C$4="",AND(ISNUMBER($B1449),$B1449&gt;=클레임조회!$C$4)),OR(클레임조회!$C$5="",AND(ISNUMBER($B1449),$B1449&lt;=클레임조회!$C$5)),OR(클레임조회!$C$6="",$C1449=클레임조회!$C$6),OR(클레임조회!$C$7="",$D1449=클레임조회!$C$7),OR(클레임조회!$C$8="",$E1449=클레임조회!$C$8),OR(클레임조회!$C$9="",$F1449=클레임조회!$C$9),OR(클레임조회!$C$10="",ISNUMBER(SEARCH(클레임조회!$C$10,$C1449&amp;" "&amp;$F1449&amp;" "&amp;$G1449&amp;" "&amp;$H1449)))),COUNT(O$1:O1448)+1,"")</f>
        <v/>
      </c>
      <c r="P1449" s="0" t="str">
        <f aca="false">IF(AND(TRIM(C1449)&lt;&gt;"",COUNTIF(C$2:C1449,C1449)=1),MAX(P$1:P1448)+1,"")</f>
        <v/>
      </c>
      <c r="Q1449" s="0" t="str">
        <f aca="false">IF(AND(TRIM(F1449)&lt;&gt;"",COUNTIF(F$2:F1449,F1449)=1),MAX(Q$1:Q1448)+1,"")</f>
        <v/>
      </c>
    </row>
    <row r="1450" customFormat="false" ht="15" hidden="false" customHeight="false" outlineLevel="0" collapsed="false">
      <c r="A1450" s="9"/>
      <c r="B1450" s="10"/>
      <c r="C1450" s="11"/>
      <c r="D1450" s="11"/>
      <c r="E1450" s="11"/>
      <c r="F1450" s="11"/>
      <c r="G1450" s="12"/>
      <c r="H1450" s="12"/>
      <c r="I1450" s="10"/>
      <c r="J1450" s="12"/>
      <c r="K1450" s="13" t="str">
        <f aca="false">IF(ISNUMBER(B1450),YEAR(B1450),"")</f>
        <v/>
      </c>
      <c r="L1450" s="13" t="str">
        <f aca="false">IF(ISNUMBER(B1450),MONTH(B1450),"")</f>
        <v/>
      </c>
      <c r="M1450" s="13" t="str">
        <f aca="false">IF(AND(ISNUMBER(B1450),ISNUMBER(I1450)),B1450-I1450+1,"")</f>
        <v/>
      </c>
      <c r="N1450" s="14" t="str">
        <f aca="false">IF(B1450="","",IF(M1450="","시작일 미입력",IF(M1450&lt;1,"시작일 이전(확인)",IF(M1450=1,"1일째",IF(M1450=2,"2일째",IF(M1450=3,"3일째",IF(M1450&lt;=7,"일주일 이내",IF(M1450&lt;=14,"이주일 이내","15일 이후"))))))))</f>
        <v/>
      </c>
      <c r="O1450" s="0" t="str">
        <f aca="false">IF(AND(COUNTA($A1450:$J1450)&gt;0,OR(클레임조회!$C$4="",AND(ISNUMBER($B1450),$B1450&gt;=클레임조회!$C$4)),OR(클레임조회!$C$5="",AND(ISNUMBER($B1450),$B1450&lt;=클레임조회!$C$5)),OR(클레임조회!$C$6="",$C1450=클레임조회!$C$6),OR(클레임조회!$C$7="",$D1450=클레임조회!$C$7),OR(클레임조회!$C$8="",$E1450=클레임조회!$C$8),OR(클레임조회!$C$9="",$F1450=클레임조회!$C$9),OR(클레임조회!$C$10="",ISNUMBER(SEARCH(클레임조회!$C$10,$C1450&amp;" "&amp;$F1450&amp;" "&amp;$G1450&amp;" "&amp;$H1450)))),COUNT(O$1:O1449)+1,"")</f>
        <v/>
      </c>
      <c r="P1450" s="0" t="str">
        <f aca="false">IF(AND(TRIM(C1450)&lt;&gt;"",COUNTIF(C$2:C1450,C1450)=1),MAX(P$1:P1449)+1,"")</f>
        <v/>
      </c>
      <c r="Q1450" s="0" t="str">
        <f aca="false">IF(AND(TRIM(F1450)&lt;&gt;"",COUNTIF(F$2:F1450,F1450)=1),MAX(Q$1:Q1449)+1,"")</f>
        <v/>
      </c>
    </row>
    <row r="1451" customFormat="false" ht="15" hidden="false" customHeight="false" outlineLevel="0" collapsed="false">
      <c r="A1451" s="9"/>
      <c r="B1451" s="10"/>
      <c r="C1451" s="11"/>
      <c r="D1451" s="11"/>
      <c r="E1451" s="11"/>
      <c r="F1451" s="11"/>
      <c r="G1451" s="12"/>
      <c r="H1451" s="12"/>
      <c r="I1451" s="10"/>
      <c r="J1451" s="12"/>
      <c r="K1451" s="13" t="str">
        <f aca="false">IF(ISNUMBER(B1451),YEAR(B1451),"")</f>
        <v/>
      </c>
      <c r="L1451" s="13" t="str">
        <f aca="false">IF(ISNUMBER(B1451),MONTH(B1451),"")</f>
        <v/>
      </c>
      <c r="M1451" s="13" t="str">
        <f aca="false">IF(AND(ISNUMBER(B1451),ISNUMBER(I1451)),B1451-I1451+1,"")</f>
        <v/>
      </c>
      <c r="N1451" s="14" t="str">
        <f aca="false">IF(B1451="","",IF(M1451="","시작일 미입력",IF(M1451&lt;1,"시작일 이전(확인)",IF(M1451=1,"1일째",IF(M1451=2,"2일째",IF(M1451=3,"3일째",IF(M1451&lt;=7,"일주일 이내",IF(M1451&lt;=14,"이주일 이내","15일 이후"))))))))</f>
        <v/>
      </c>
      <c r="O1451" s="0" t="str">
        <f aca="false">IF(AND(COUNTA($A1451:$J1451)&gt;0,OR(클레임조회!$C$4="",AND(ISNUMBER($B1451),$B1451&gt;=클레임조회!$C$4)),OR(클레임조회!$C$5="",AND(ISNUMBER($B1451),$B1451&lt;=클레임조회!$C$5)),OR(클레임조회!$C$6="",$C1451=클레임조회!$C$6),OR(클레임조회!$C$7="",$D1451=클레임조회!$C$7),OR(클레임조회!$C$8="",$E1451=클레임조회!$C$8),OR(클레임조회!$C$9="",$F1451=클레임조회!$C$9),OR(클레임조회!$C$10="",ISNUMBER(SEARCH(클레임조회!$C$10,$C1451&amp;" "&amp;$F1451&amp;" "&amp;$G1451&amp;" "&amp;$H1451)))),COUNT(O$1:O1450)+1,"")</f>
        <v/>
      </c>
      <c r="P1451" s="0" t="str">
        <f aca="false">IF(AND(TRIM(C1451)&lt;&gt;"",COUNTIF(C$2:C1451,C1451)=1),MAX(P$1:P1450)+1,"")</f>
        <v/>
      </c>
      <c r="Q1451" s="0" t="str">
        <f aca="false">IF(AND(TRIM(F1451)&lt;&gt;"",COUNTIF(F$2:F1451,F1451)=1),MAX(Q$1:Q1450)+1,"")</f>
        <v/>
      </c>
    </row>
    <row r="1452" customFormat="false" ht="15" hidden="false" customHeight="false" outlineLevel="0" collapsed="false">
      <c r="A1452" s="9"/>
      <c r="B1452" s="10"/>
      <c r="C1452" s="11"/>
      <c r="D1452" s="11"/>
      <c r="E1452" s="11"/>
      <c r="F1452" s="11"/>
      <c r="G1452" s="12"/>
      <c r="H1452" s="12"/>
      <c r="I1452" s="10"/>
      <c r="J1452" s="12"/>
      <c r="K1452" s="13" t="str">
        <f aca="false">IF(ISNUMBER(B1452),YEAR(B1452),"")</f>
        <v/>
      </c>
      <c r="L1452" s="13" t="str">
        <f aca="false">IF(ISNUMBER(B1452),MONTH(B1452),"")</f>
        <v/>
      </c>
      <c r="M1452" s="13" t="str">
        <f aca="false">IF(AND(ISNUMBER(B1452),ISNUMBER(I1452)),B1452-I1452+1,"")</f>
        <v/>
      </c>
      <c r="N1452" s="14" t="str">
        <f aca="false">IF(B1452="","",IF(M1452="","시작일 미입력",IF(M1452&lt;1,"시작일 이전(확인)",IF(M1452=1,"1일째",IF(M1452=2,"2일째",IF(M1452=3,"3일째",IF(M1452&lt;=7,"일주일 이내",IF(M1452&lt;=14,"이주일 이내","15일 이후"))))))))</f>
        <v/>
      </c>
      <c r="O1452" s="0" t="str">
        <f aca="false">IF(AND(COUNTA($A1452:$J1452)&gt;0,OR(클레임조회!$C$4="",AND(ISNUMBER($B1452),$B1452&gt;=클레임조회!$C$4)),OR(클레임조회!$C$5="",AND(ISNUMBER($B1452),$B1452&lt;=클레임조회!$C$5)),OR(클레임조회!$C$6="",$C1452=클레임조회!$C$6),OR(클레임조회!$C$7="",$D1452=클레임조회!$C$7),OR(클레임조회!$C$8="",$E1452=클레임조회!$C$8),OR(클레임조회!$C$9="",$F1452=클레임조회!$C$9),OR(클레임조회!$C$10="",ISNUMBER(SEARCH(클레임조회!$C$10,$C1452&amp;" "&amp;$F1452&amp;" "&amp;$G1452&amp;" "&amp;$H1452)))),COUNT(O$1:O1451)+1,"")</f>
        <v/>
      </c>
      <c r="P1452" s="0" t="str">
        <f aca="false">IF(AND(TRIM(C1452)&lt;&gt;"",COUNTIF(C$2:C1452,C1452)=1),MAX(P$1:P1451)+1,"")</f>
        <v/>
      </c>
      <c r="Q1452" s="0" t="str">
        <f aca="false">IF(AND(TRIM(F1452)&lt;&gt;"",COUNTIF(F$2:F1452,F1452)=1),MAX(Q$1:Q1451)+1,"")</f>
        <v/>
      </c>
    </row>
    <row r="1453" customFormat="false" ht="15" hidden="false" customHeight="false" outlineLevel="0" collapsed="false">
      <c r="A1453" s="9"/>
      <c r="B1453" s="10"/>
      <c r="C1453" s="11"/>
      <c r="D1453" s="11"/>
      <c r="E1453" s="11"/>
      <c r="F1453" s="11"/>
      <c r="G1453" s="12"/>
      <c r="H1453" s="12"/>
      <c r="I1453" s="10"/>
      <c r="J1453" s="12"/>
      <c r="K1453" s="13" t="str">
        <f aca="false">IF(ISNUMBER(B1453),YEAR(B1453),"")</f>
        <v/>
      </c>
      <c r="L1453" s="13" t="str">
        <f aca="false">IF(ISNUMBER(B1453),MONTH(B1453),"")</f>
        <v/>
      </c>
      <c r="M1453" s="13" t="str">
        <f aca="false">IF(AND(ISNUMBER(B1453),ISNUMBER(I1453)),B1453-I1453+1,"")</f>
        <v/>
      </c>
      <c r="N1453" s="14" t="str">
        <f aca="false">IF(B1453="","",IF(M1453="","시작일 미입력",IF(M1453&lt;1,"시작일 이전(확인)",IF(M1453=1,"1일째",IF(M1453=2,"2일째",IF(M1453=3,"3일째",IF(M1453&lt;=7,"일주일 이내",IF(M1453&lt;=14,"이주일 이내","15일 이후"))))))))</f>
        <v/>
      </c>
      <c r="O1453" s="0" t="str">
        <f aca="false">IF(AND(COUNTA($A1453:$J1453)&gt;0,OR(클레임조회!$C$4="",AND(ISNUMBER($B1453),$B1453&gt;=클레임조회!$C$4)),OR(클레임조회!$C$5="",AND(ISNUMBER($B1453),$B1453&lt;=클레임조회!$C$5)),OR(클레임조회!$C$6="",$C1453=클레임조회!$C$6),OR(클레임조회!$C$7="",$D1453=클레임조회!$C$7),OR(클레임조회!$C$8="",$E1453=클레임조회!$C$8),OR(클레임조회!$C$9="",$F1453=클레임조회!$C$9),OR(클레임조회!$C$10="",ISNUMBER(SEARCH(클레임조회!$C$10,$C1453&amp;" "&amp;$F1453&amp;" "&amp;$G1453&amp;" "&amp;$H1453)))),COUNT(O$1:O1452)+1,"")</f>
        <v/>
      </c>
      <c r="P1453" s="0" t="str">
        <f aca="false">IF(AND(TRIM(C1453)&lt;&gt;"",COUNTIF(C$2:C1453,C1453)=1),MAX(P$1:P1452)+1,"")</f>
        <v/>
      </c>
      <c r="Q1453" s="0" t="str">
        <f aca="false">IF(AND(TRIM(F1453)&lt;&gt;"",COUNTIF(F$2:F1453,F1453)=1),MAX(Q$1:Q1452)+1,"")</f>
        <v/>
      </c>
    </row>
    <row r="1454" customFormat="false" ht="15" hidden="false" customHeight="false" outlineLevel="0" collapsed="false">
      <c r="A1454" s="9"/>
      <c r="B1454" s="10"/>
      <c r="C1454" s="11"/>
      <c r="D1454" s="11"/>
      <c r="E1454" s="11"/>
      <c r="F1454" s="11"/>
      <c r="G1454" s="12"/>
      <c r="H1454" s="12"/>
      <c r="I1454" s="10"/>
      <c r="J1454" s="12"/>
      <c r="K1454" s="13" t="str">
        <f aca="false">IF(ISNUMBER(B1454),YEAR(B1454),"")</f>
        <v/>
      </c>
      <c r="L1454" s="13" t="str">
        <f aca="false">IF(ISNUMBER(B1454),MONTH(B1454),"")</f>
        <v/>
      </c>
      <c r="M1454" s="13" t="str">
        <f aca="false">IF(AND(ISNUMBER(B1454),ISNUMBER(I1454)),B1454-I1454+1,"")</f>
        <v/>
      </c>
      <c r="N1454" s="14" t="str">
        <f aca="false">IF(B1454="","",IF(M1454="","시작일 미입력",IF(M1454&lt;1,"시작일 이전(확인)",IF(M1454=1,"1일째",IF(M1454=2,"2일째",IF(M1454=3,"3일째",IF(M1454&lt;=7,"일주일 이내",IF(M1454&lt;=14,"이주일 이내","15일 이후"))))))))</f>
        <v/>
      </c>
      <c r="O1454" s="0" t="str">
        <f aca="false">IF(AND(COUNTA($A1454:$J1454)&gt;0,OR(클레임조회!$C$4="",AND(ISNUMBER($B1454),$B1454&gt;=클레임조회!$C$4)),OR(클레임조회!$C$5="",AND(ISNUMBER($B1454),$B1454&lt;=클레임조회!$C$5)),OR(클레임조회!$C$6="",$C1454=클레임조회!$C$6),OR(클레임조회!$C$7="",$D1454=클레임조회!$C$7),OR(클레임조회!$C$8="",$E1454=클레임조회!$C$8),OR(클레임조회!$C$9="",$F1454=클레임조회!$C$9),OR(클레임조회!$C$10="",ISNUMBER(SEARCH(클레임조회!$C$10,$C1454&amp;" "&amp;$F1454&amp;" "&amp;$G1454&amp;" "&amp;$H1454)))),COUNT(O$1:O1453)+1,"")</f>
        <v/>
      </c>
      <c r="P1454" s="0" t="str">
        <f aca="false">IF(AND(TRIM(C1454)&lt;&gt;"",COUNTIF(C$2:C1454,C1454)=1),MAX(P$1:P1453)+1,"")</f>
        <v/>
      </c>
      <c r="Q1454" s="0" t="str">
        <f aca="false">IF(AND(TRIM(F1454)&lt;&gt;"",COUNTIF(F$2:F1454,F1454)=1),MAX(Q$1:Q1453)+1,"")</f>
        <v/>
      </c>
    </row>
    <row r="1455" customFormat="false" ht="15" hidden="false" customHeight="false" outlineLevel="0" collapsed="false">
      <c r="A1455" s="9"/>
      <c r="B1455" s="10"/>
      <c r="C1455" s="11"/>
      <c r="D1455" s="11"/>
      <c r="E1455" s="11"/>
      <c r="F1455" s="11"/>
      <c r="G1455" s="12"/>
      <c r="H1455" s="12"/>
      <c r="I1455" s="10"/>
      <c r="J1455" s="12"/>
      <c r="K1455" s="13" t="str">
        <f aca="false">IF(ISNUMBER(B1455),YEAR(B1455),"")</f>
        <v/>
      </c>
      <c r="L1455" s="13" t="str">
        <f aca="false">IF(ISNUMBER(B1455),MONTH(B1455),"")</f>
        <v/>
      </c>
      <c r="M1455" s="13" t="str">
        <f aca="false">IF(AND(ISNUMBER(B1455),ISNUMBER(I1455)),B1455-I1455+1,"")</f>
        <v/>
      </c>
      <c r="N1455" s="14" t="str">
        <f aca="false">IF(B1455="","",IF(M1455="","시작일 미입력",IF(M1455&lt;1,"시작일 이전(확인)",IF(M1455=1,"1일째",IF(M1455=2,"2일째",IF(M1455=3,"3일째",IF(M1455&lt;=7,"일주일 이내",IF(M1455&lt;=14,"이주일 이내","15일 이후"))))))))</f>
        <v/>
      </c>
      <c r="O1455" s="0" t="str">
        <f aca="false">IF(AND(COUNTA($A1455:$J1455)&gt;0,OR(클레임조회!$C$4="",AND(ISNUMBER($B1455),$B1455&gt;=클레임조회!$C$4)),OR(클레임조회!$C$5="",AND(ISNUMBER($B1455),$B1455&lt;=클레임조회!$C$5)),OR(클레임조회!$C$6="",$C1455=클레임조회!$C$6),OR(클레임조회!$C$7="",$D1455=클레임조회!$C$7),OR(클레임조회!$C$8="",$E1455=클레임조회!$C$8),OR(클레임조회!$C$9="",$F1455=클레임조회!$C$9),OR(클레임조회!$C$10="",ISNUMBER(SEARCH(클레임조회!$C$10,$C1455&amp;" "&amp;$F1455&amp;" "&amp;$G1455&amp;" "&amp;$H1455)))),COUNT(O$1:O1454)+1,"")</f>
        <v/>
      </c>
      <c r="P1455" s="0" t="str">
        <f aca="false">IF(AND(TRIM(C1455)&lt;&gt;"",COUNTIF(C$2:C1455,C1455)=1),MAX(P$1:P1454)+1,"")</f>
        <v/>
      </c>
      <c r="Q1455" s="0" t="str">
        <f aca="false">IF(AND(TRIM(F1455)&lt;&gt;"",COUNTIF(F$2:F1455,F1455)=1),MAX(Q$1:Q1454)+1,"")</f>
        <v/>
      </c>
    </row>
    <row r="1456" customFormat="false" ht="15" hidden="false" customHeight="false" outlineLevel="0" collapsed="false">
      <c r="A1456" s="9"/>
      <c r="B1456" s="10"/>
      <c r="C1456" s="11"/>
      <c r="D1456" s="11"/>
      <c r="E1456" s="11"/>
      <c r="F1456" s="11"/>
      <c r="G1456" s="12"/>
      <c r="H1456" s="12"/>
      <c r="I1456" s="10"/>
      <c r="J1456" s="12"/>
      <c r="K1456" s="13" t="str">
        <f aca="false">IF(ISNUMBER(B1456),YEAR(B1456),"")</f>
        <v/>
      </c>
      <c r="L1456" s="13" t="str">
        <f aca="false">IF(ISNUMBER(B1456),MONTH(B1456),"")</f>
        <v/>
      </c>
      <c r="M1456" s="13" t="str">
        <f aca="false">IF(AND(ISNUMBER(B1456),ISNUMBER(I1456)),B1456-I1456+1,"")</f>
        <v/>
      </c>
      <c r="N1456" s="14" t="str">
        <f aca="false">IF(B1456="","",IF(M1456="","시작일 미입력",IF(M1456&lt;1,"시작일 이전(확인)",IF(M1456=1,"1일째",IF(M1456=2,"2일째",IF(M1456=3,"3일째",IF(M1456&lt;=7,"일주일 이내",IF(M1456&lt;=14,"이주일 이내","15일 이후"))))))))</f>
        <v/>
      </c>
      <c r="O1456" s="0" t="str">
        <f aca="false">IF(AND(COUNTA($A1456:$J1456)&gt;0,OR(클레임조회!$C$4="",AND(ISNUMBER($B1456),$B1456&gt;=클레임조회!$C$4)),OR(클레임조회!$C$5="",AND(ISNUMBER($B1456),$B1456&lt;=클레임조회!$C$5)),OR(클레임조회!$C$6="",$C1456=클레임조회!$C$6),OR(클레임조회!$C$7="",$D1456=클레임조회!$C$7),OR(클레임조회!$C$8="",$E1456=클레임조회!$C$8),OR(클레임조회!$C$9="",$F1456=클레임조회!$C$9),OR(클레임조회!$C$10="",ISNUMBER(SEARCH(클레임조회!$C$10,$C1456&amp;" "&amp;$F1456&amp;" "&amp;$G1456&amp;" "&amp;$H1456)))),COUNT(O$1:O1455)+1,"")</f>
        <v/>
      </c>
      <c r="P1456" s="0" t="str">
        <f aca="false">IF(AND(TRIM(C1456)&lt;&gt;"",COUNTIF(C$2:C1456,C1456)=1),MAX(P$1:P1455)+1,"")</f>
        <v/>
      </c>
      <c r="Q1456" s="0" t="str">
        <f aca="false">IF(AND(TRIM(F1456)&lt;&gt;"",COUNTIF(F$2:F1456,F1456)=1),MAX(Q$1:Q1455)+1,"")</f>
        <v/>
      </c>
    </row>
    <row r="1457" customFormat="false" ht="15" hidden="false" customHeight="false" outlineLevel="0" collapsed="false">
      <c r="A1457" s="9"/>
      <c r="B1457" s="10"/>
      <c r="C1457" s="11"/>
      <c r="D1457" s="11"/>
      <c r="E1457" s="11"/>
      <c r="F1457" s="11"/>
      <c r="G1457" s="12"/>
      <c r="H1457" s="12"/>
      <c r="I1457" s="10"/>
      <c r="J1457" s="12"/>
      <c r="K1457" s="13" t="str">
        <f aca="false">IF(ISNUMBER(B1457),YEAR(B1457),"")</f>
        <v/>
      </c>
      <c r="L1457" s="13" t="str">
        <f aca="false">IF(ISNUMBER(B1457),MONTH(B1457),"")</f>
        <v/>
      </c>
      <c r="M1457" s="13" t="str">
        <f aca="false">IF(AND(ISNUMBER(B1457),ISNUMBER(I1457)),B1457-I1457+1,"")</f>
        <v/>
      </c>
      <c r="N1457" s="14" t="str">
        <f aca="false">IF(B1457="","",IF(M1457="","시작일 미입력",IF(M1457&lt;1,"시작일 이전(확인)",IF(M1457=1,"1일째",IF(M1457=2,"2일째",IF(M1457=3,"3일째",IF(M1457&lt;=7,"일주일 이내",IF(M1457&lt;=14,"이주일 이내","15일 이후"))))))))</f>
        <v/>
      </c>
      <c r="O1457" s="0" t="str">
        <f aca="false">IF(AND(COUNTA($A1457:$J1457)&gt;0,OR(클레임조회!$C$4="",AND(ISNUMBER($B1457),$B1457&gt;=클레임조회!$C$4)),OR(클레임조회!$C$5="",AND(ISNUMBER($B1457),$B1457&lt;=클레임조회!$C$5)),OR(클레임조회!$C$6="",$C1457=클레임조회!$C$6),OR(클레임조회!$C$7="",$D1457=클레임조회!$C$7),OR(클레임조회!$C$8="",$E1457=클레임조회!$C$8),OR(클레임조회!$C$9="",$F1457=클레임조회!$C$9),OR(클레임조회!$C$10="",ISNUMBER(SEARCH(클레임조회!$C$10,$C1457&amp;" "&amp;$F1457&amp;" "&amp;$G1457&amp;" "&amp;$H1457)))),COUNT(O$1:O1456)+1,"")</f>
        <v/>
      </c>
      <c r="P1457" s="0" t="str">
        <f aca="false">IF(AND(TRIM(C1457)&lt;&gt;"",COUNTIF(C$2:C1457,C1457)=1),MAX(P$1:P1456)+1,"")</f>
        <v/>
      </c>
      <c r="Q1457" s="0" t="str">
        <f aca="false">IF(AND(TRIM(F1457)&lt;&gt;"",COUNTIF(F$2:F1457,F1457)=1),MAX(Q$1:Q1456)+1,"")</f>
        <v/>
      </c>
    </row>
    <row r="1458" customFormat="false" ht="15" hidden="false" customHeight="false" outlineLevel="0" collapsed="false">
      <c r="A1458" s="9"/>
      <c r="B1458" s="10"/>
      <c r="C1458" s="11"/>
      <c r="D1458" s="11"/>
      <c r="E1458" s="11"/>
      <c r="F1458" s="11"/>
      <c r="G1458" s="12"/>
      <c r="H1458" s="12"/>
      <c r="I1458" s="10"/>
      <c r="J1458" s="12"/>
      <c r="K1458" s="13" t="str">
        <f aca="false">IF(ISNUMBER(B1458),YEAR(B1458),"")</f>
        <v/>
      </c>
      <c r="L1458" s="13" t="str">
        <f aca="false">IF(ISNUMBER(B1458),MONTH(B1458),"")</f>
        <v/>
      </c>
      <c r="M1458" s="13" t="str">
        <f aca="false">IF(AND(ISNUMBER(B1458),ISNUMBER(I1458)),B1458-I1458+1,"")</f>
        <v/>
      </c>
      <c r="N1458" s="14" t="str">
        <f aca="false">IF(B1458="","",IF(M1458="","시작일 미입력",IF(M1458&lt;1,"시작일 이전(확인)",IF(M1458=1,"1일째",IF(M1458=2,"2일째",IF(M1458=3,"3일째",IF(M1458&lt;=7,"일주일 이내",IF(M1458&lt;=14,"이주일 이내","15일 이후"))))))))</f>
        <v/>
      </c>
      <c r="O1458" s="0" t="str">
        <f aca="false">IF(AND(COUNTA($A1458:$J1458)&gt;0,OR(클레임조회!$C$4="",AND(ISNUMBER($B1458),$B1458&gt;=클레임조회!$C$4)),OR(클레임조회!$C$5="",AND(ISNUMBER($B1458),$B1458&lt;=클레임조회!$C$5)),OR(클레임조회!$C$6="",$C1458=클레임조회!$C$6),OR(클레임조회!$C$7="",$D1458=클레임조회!$C$7),OR(클레임조회!$C$8="",$E1458=클레임조회!$C$8),OR(클레임조회!$C$9="",$F1458=클레임조회!$C$9),OR(클레임조회!$C$10="",ISNUMBER(SEARCH(클레임조회!$C$10,$C1458&amp;" "&amp;$F1458&amp;" "&amp;$G1458&amp;" "&amp;$H1458)))),COUNT(O$1:O1457)+1,"")</f>
        <v/>
      </c>
      <c r="P1458" s="0" t="str">
        <f aca="false">IF(AND(TRIM(C1458)&lt;&gt;"",COUNTIF(C$2:C1458,C1458)=1),MAX(P$1:P1457)+1,"")</f>
        <v/>
      </c>
      <c r="Q1458" s="0" t="str">
        <f aca="false">IF(AND(TRIM(F1458)&lt;&gt;"",COUNTIF(F$2:F1458,F1458)=1),MAX(Q$1:Q1457)+1,"")</f>
        <v/>
      </c>
    </row>
    <row r="1459" customFormat="false" ht="15" hidden="false" customHeight="false" outlineLevel="0" collapsed="false">
      <c r="A1459" s="9"/>
      <c r="B1459" s="10"/>
      <c r="C1459" s="11"/>
      <c r="D1459" s="11"/>
      <c r="E1459" s="11"/>
      <c r="F1459" s="11"/>
      <c r="G1459" s="12"/>
      <c r="H1459" s="12"/>
      <c r="I1459" s="10"/>
      <c r="J1459" s="12"/>
      <c r="K1459" s="13" t="str">
        <f aca="false">IF(ISNUMBER(B1459),YEAR(B1459),"")</f>
        <v/>
      </c>
      <c r="L1459" s="13" t="str">
        <f aca="false">IF(ISNUMBER(B1459),MONTH(B1459),"")</f>
        <v/>
      </c>
      <c r="M1459" s="13" t="str">
        <f aca="false">IF(AND(ISNUMBER(B1459),ISNUMBER(I1459)),B1459-I1459+1,"")</f>
        <v/>
      </c>
      <c r="N1459" s="14" t="str">
        <f aca="false">IF(B1459="","",IF(M1459="","시작일 미입력",IF(M1459&lt;1,"시작일 이전(확인)",IF(M1459=1,"1일째",IF(M1459=2,"2일째",IF(M1459=3,"3일째",IF(M1459&lt;=7,"일주일 이내",IF(M1459&lt;=14,"이주일 이내","15일 이후"))))))))</f>
        <v/>
      </c>
      <c r="O1459" s="0" t="str">
        <f aca="false">IF(AND(COUNTA($A1459:$J1459)&gt;0,OR(클레임조회!$C$4="",AND(ISNUMBER($B1459),$B1459&gt;=클레임조회!$C$4)),OR(클레임조회!$C$5="",AND(ISNUMBER($B1459),$B1459&lt;=클레임조회!$C$5)),OR(클레임조회!$C$6="",$C1459=클레임조회!$C$6),OR(클레임조회!$C$7="",$D1459=클레임조회!$C$7),OR(클레임조회!$C$8="",$E1459=클레임조회!$C$8),OR(클레임조회!$C$9="",$F1459=클레임조회!$C$9),OR(클레임조회!$C$10="",ISNUMBER(SEARCH(클레임조회!$C$10,$C1459&amp;" "&amp;$F1459&amp;" "&amp;$G1459&amp;" "&amp;$H1459)))),COUNT(O$1:O1458)+1,"")</f>
        <v/>
      </c>
      <c r="P1459" s="0" t="str">
        <f aca="false">IF(AND(TRIM(C1459)&lt;&gt;"",COUNTIF(C$2:C1459,C1459)=1),MAX(P$1:P1458)+1,"")</f>
        <v/>
      </c>
      <c r="Q1459" s="0" t="str">
        <f aca="false">IF(AND(TRIM(F1459)&lt;&gt;"",COUNTIF(F$2:F1459,F1459)=1),MAX(Q$1:Q1458)+1,"")</f>
        <v/>
      </c>
    </row>
    <row r="1460" customFormat="false" ht="15" hidden="false" customHeight="false" outlineLevel="0" collapsed="false">
      <c r="A1460" s="9"/>
      <c r="B1460" s="10"/>
      <c r="C1460" s="11"/>
      <c r="D1460" s="11"/>
      <c r="E1460" s="11"/>
      <c r="F1460" s="11"/>
      <c r="G1460" s="12"/>
      <c r="H1460" s="12"/>
      <c r="I1460" s="10"/>
      <c r="J1460" s="12"/>
      <c r="K1460" s="13" t="str">
        <f aca="false">IF(ISNUMBER(B1460),YEAR(B1460),"")</f>
        <v/>
      </c>
      <c r="L1460" s="13" t="str">
        <f aca="false">IF(ISNUMBER(B1460),MONTH(B1460),"")</f>
        <v/>
      </c>
      <c r="M1460" s="13" t="str">
        <f aca="false">IF(AND(ISNUMBER(B1460),ISNUMBER(I1460)),B1460-I1460+1,"")</f>
        <v/>
      </c>
      <c r="N1460" s="14" t="str">
        <f aca="false">IF(B1460="","",IF(M1460="","시작일 미입력",IF(M1460&lt;1,"시작일 이전(확인)",IF(M1460=1,"1일째",IF(M1460=2,"2일째",IF(M1460=3,"3일째",IF(M1460&lt;=7,"일주일 이내",IF(M1460&lt;=14,"이주일 이내","15일 이후"))))))))</f>
        <v/>
      </c>
      <c r="O1460" s="0" t="str">
        <f aca="false">IF(AND(COUNTA($A1460:$J1460)&gt;0,OR(클레임조회!$C$4="",AND(ISNUMBER($B1460),$B1460&gt;=클레임조회!$C$4)),OR(클레임조회!$C$5="",AND(ISNUMBER($B1460),$B1460&lt;=클레임조회!$C$5)),OR(클레임조회!$C$6="",$C1460=클레임조회!$C$6),OR(클레임조회!$C$7="",$D1460=클레임조회!$C$7),OR(클레임조회!$C$8="",$E1460=클레임조회!$C$8),OR(클레임조회!$C$9="",$F1460=클레임조회!$C$9),OR(클레임조회!$C$10="",ISNUMBER(SEARCH(클레임조회!$C$10,$C1460&amp;" "&amp;$F1460&amp;" "&amp;$G1460&amp;" "&amp;$H1460)))),COUNT(O$1:O1459)+1,"")</f>
        <v/>
      </c>
      <c r="P1460" s="0" t="str">
        <f aca="false">IF(AND(TRIM(C1460)&lt;&gt;"",COUNTIF(C$2:C1460,C1460)=1),MAX(P$1:P1459)+1,"")</f>
        <v/>
      </c>
      <c r="Q1460" s="0" t="str">
        <f aca="false">IF(AND(TRIM(F1460)&lt;&gt;"",COUNTIF(F$2:F1460,F1460)=1),MAX(Q$1:Q1459)+1,"")</f>
        <v/>
      </c>
    </row>
    <row r="1461" customFormat="false" ht="15" hidden="false" customHeight="false" outlineLevel="0" collapsed="false">
      <c r="A1461" s="9"/>
      <c r="B1461" s="10"/>
      <c r="C1461" s="11"/>
      <c r="D1461" s="11"/>
      <c r="E1461" s="11"/>
      <c r="F1461" s="11"/>
      <c r="G1461" s="12"/>
      <c r="H1461" s="12"/>
      <c r="I1461" s="10"/>
      <c r="J1461" s="12"/>
      <c r="K1461" s="13" t="str">
        <f aca="false">IF(ISNUMBER(B1461),YEAR(B1461),"")</f>
        <v/>
      </c>
      <c r="L1461" s="13" t="str">
        <f aca="false">IF(ISNUMBER(B1461),MONTH(B1461),"")</f>
        <v/>
      </c>
      <c r="M1461" s="13" t="str">
        <f aca="false">IF(AND(ISNUMBER(B1461),ISNUMBER(I1461)),B1461-I1461+1,"")</f>
        <v/>
      </c>
      <c r="N1461" s="14" t="str">
        <f aca="false">IF(B1461="","",IF(M1461="","시작일 미입력",IF(M1461&lt;1,"시작일 이전(확인)",IF(M1461=1,"1일째",IF(M1461=2,"2일째",IF(M1461=3,"3일째",IF(M1461&lt;=7,"일주일 이내",IF(M1461&lt;=14,"이주일 이내","15일 이후"))))))))</f>
        <v/>
      </c>
      <c r="O1461" s="0" t="str">
        <f aca="false">IF(AND(COUNTA($A1461:$J1461)&gt;0,OR(클레임조회!$C$4="",AND(ISNUMBER($B1461),$B1461&gt;=클레임조회!$C$4)),OR(클레임조회!$C$5="",AND(ISNUMBER($B1461),$B1461&lt;=클레임조회!$C$5)),OR(클레임조회!$C$6="",$C1461=클레임조회!$C$6),OR(클레임조회!$C$7="",$D1461=클레임조회!$C$7),OR(클레임조회!$C$8="",$E1461=클레임조회!$C$8),OR(클레임조회!$C$9="",$F1461=클레임조회!$C$9),OR(클레임조회!$C$10="",ISNUMBER(SEARCH(클레임조회!$C$10,$C1461&amp;" "&amp;$F1461&amp;" "&amp;$G1461&amp;" "&amp;$H1461)))),COUNT(O$1:O1460)+1,"")</f>
        <v/>
      </c>
      <c r="P1461" s="0" t="str">
        <f aca="false">IF(AND(TRIM(C1461)&lt;&gt;"",COUNTIF(C$2:C1461,C1461)=1),MAX(P$1:P1460)+1,"")</f>
        <v/>
      </c>
      <c r="Q1461" s="0" t="str">
        <f aca="false">IF(AND(TRIM(F1461)&lt;&gt;"",COUNTIF(F$2:F1461,F1461)=1),MAX(Q$1:Q1460)+1,"")</f>
        <v/>
      </c>
    </row>
    <row r="1462" customFormat="false" ht="15" hidden="false" customHeight="false" outlineLevel="0" collapsed="false">
      <c r="A1462" s="9"/>
      <c r="B1462" s="10"/>
      <c r="C1462" s="11"/>
      <c r="D1462" s="11"/>
      <c r="E1462" s="11"/>
      <c r="F1462" s="11"/>
      <c r="G1462" s="12"/>
      <c r="H1462" s="12"/>
      <c r="I1462" s="10"/>
      <c r="J1462" s="12"/>
      <c r="K1462" s="13" t="str">
        <f aca="false">IF(ISNUMBER(B1462),YEAR(B1462),"")</f>
        <v/>
      </c>
      <c r="L1462" s="13" t="str">
        <f aca="false">IF(ISNUMBER(B1462),MONTH(B1462),"")</f>
        <v/>
      </c>
      <c r="M1462" s="13" t="str">
        <f aca="false">IF(AND(ISNUMBER(B1462),ISNUMBER(I1462)),B1462-I1462+1,"")</f>
        <v/>
      </c>
      <c r="N1462" s="14" t="str">
        <f aca="false">IF(B1462="","",IF(M1462="","시작일 미입력",IF(M1462&lt;1,"시작일 이전(확인)",IF(M1462=1,"1일째",IF(M1462=2,"2일째",IF(M1462=3,"3일째",IF(M1462&lt;=7,"일주일 이내",IF(M1462&lt;=14,"이주일 이내","15일 이후"))))))))</f>
        <v/>
      </c>
      <c r="O1462" s="0" t="str">
        <f aca="false">IF(AND(COUNTA($A1462:$J1462)&gt;0,OR(클레임조회!$C$4="",AND(ISNUMBER($B1462),$B1462&gt;=클레임조회!$C$4)),OR(클레임조회!$C$5="",AND(ISNUMBER($B1462),$B1462&lt;=클레임조회!$C$5)),OR(클레임조회!$C$6="",$C1462=클레임조회!$C$6),OR(클레임조회!$C$7="",$D1462=클레임조회!$C$7),OR(클레임조회!$C$8="",$E1462=클레임조회!$C$8),OR(클레임조회!$C$9="",$F1462=클레임조회!$C$9),OR(클레임조회!$C$10="",ISNUMBER(SEARCH(클레임조회!$C$10,$C1462&amp;" "&amp;$F1462&amp;" "&amp;$G1462&amp;" "&amp;$H1462)))),COUNT(O$1:O1461)+1,"")</f>
        <v/>
      </c>
      <c r="P1462" s="0" t="str">
        <f aca="false">IF(AND(TRIM(C1462)&lt;&gt;"",COUNTIF(C$2:C1462,C1462)=1),MAX(P$1:P1461)+1,"")</f>
        <v/>
      </c>
      <c r="Q1462" s="0" t="str">
        <f aca="false">IF(AND(TRIM(F1462)&lt;&gt;"",COUNTIF(F$2:F1462,F1462)=1),MAX(Q$1:Q1461)+1,"")</f>
        <v/>
      </c>
    </row>
    <row r="1463" customFormat="false" ht="15" hidden="false" customHeight="false" outlineLevel="0" collapsed="false">
      <c r="A1463" s="9"/>
      <c r="B1463" s="10"/>
      <c r="C1463" s="11"/>
      <c r="D1463" s="11"/>
      <c r="E1463" s="11"/>
      <c r="F1463" s="11"/>
      <c r="G1463" s="12"/>
      <c r="H1463" s="12"/>
      <c r="I1463" s="10"/>
      <c r="J1463" s="12"/>
      <c r="K1463" s="13" t="str">
        <f aca="false">IF(ISNUMBER(B1463),YEAR(B1463),"")</f>
        <v/>
      </c>
      <c r="L1463" s="13" t="str">
        <f aca="false">IF(ISNUMBER(B1463),MONTH(B1463),"")</f>
        <v/>
      </c>
      <c r="M1463" s="13" t="str">
        <f aca="false">IF(AND(ISNUMBER(B1463),ISNUMBER(I1463)),B1463-I1463+1,"")</f>
        <v/>
      </c>
      <c r="N1463" s="14" t="str">
        <f aca="false">IF(B1463="","",IF(M1463="","시작일 미입력",IF(M1463&lt;1,"시작일 이전(확인)",IF(M1463=1,"1일째",IF(M1463=2,"2일째",IF(M1463=3,"3일째",IF(M1463&lt;=7,"일주일 이내",IF(M1463&lt;=14,"이주일 이내","15일 이후"))))))))</f>
        <v/>
      </c>
      <c r="O1463" s="0" t="str">
        <f aca="false">IF(AND(COUNTA($A1463:$J1463)&gt;0,OR(클레임조회!$C$4="",AND(ISNUMBER($B1463),$B1463&gt;=클레임조회!$C$4)),OR(클레임조회!$C$5="",AND(ISNUMBER($B1463),$B1463&lt;=클레임조회!$C$5)),OR(클레임조회!$C$6="",$C1463=클레임조회!$C$6),OR(클레임조회!$C$7="",$D1463=클레임조회!$C$7),OR(클레임조회!$C$8="",$E1463=클레임조회!$C$8),OR(클레임조회!$C$9="",$F1463=클레임조회!$C$9),OR(클레임조회!$C$10="",ISNUMBER(SEARCH(클레임조회!$C$10,$C1463&amp;" "&amp;$F1463&amp;" "&amp;$G1463&amp;" "&amp;$H1463)))),COUNT(O$1:O1462)+1,"")</f>
        <v/>
      </c>
      <c r="P1463" s="0" t="str">
        <f aca="false">IF(AND(TRIM(C1463)&lt;&gt;"",COUNTIF(C$2:C1463,C1463)=1),MAX(P$1:P1462)+1,"")</f>
        <v/>
      </c>
      <c r="Q1463" s="0" t="str">
        <f aca="false">IF(AND(TRIM(F1463)&lt;&gt;"",COUNTIF(F$2:F1463,F1463)=1),MAX(Q$1:Q1462)+1,"")</f>
        <v/>
      </c>
    </row>
    <row r="1464" customFormat="false" ht="15" hidden="false" customHeight="false" outlineLevel="0" collapsed="false">
      <c r="A1464" s="9"/>
      <c r="B1464" s="10"/>
      <c r="C1464" s="11"/>
      <c r="D1464" s="11"/>
      <c r="E1464" s="11"/>
      <c r="F1464" s="11"/>
      <c r="G1464" s="12"/>
      <c r="H1464" s="12"/>
      <c r="I1464" s="10"/>
      <c r="J1464" s="12"/>
      <c r="K1464" s="13" t="str">
        <f aca="false">IF(ISNUMBER(B1464),YEAR(B1464),"")</f>
        <v/>
      </c>
      <c r="L1464" s="13" t="str">
        <f aca="false">IF(ISNUMBER(B1464),MONTH(B1464),"")</f>
        <v/>
      </c>
      <c r="M1464" s="13" t="str">
        <f aca="false">IF(AND(ISNUMBER(B1464),ISNUMBER(I1464)),B1464-I1464+1,"")</f>
        <v/>
      </c>
      <c r="N1464" s="14" t="str">
        <f aca="false">IF(B1464="","",IF(M1464="","시작일 미입력",IF(M1464&lt;1,"시작일 이전(확인)",IF(M1464=1,"1일째",IF(M1464=2,"2일째",IF(M1464=3,"3일째",IF(M1464&lt;=7,"일주일 이내",IF(M1464&lt;=14,"이주일 이내","15일 이후"))))))))</f>
        <v/>
      </c>
      <c r="O1464" s="0" t="str">
        <f aca="false">IF(AND(COUNTA($A1464:$J1464)&gt;0,OR(클레임조회!$C$4="",AND(ISNUMBER($B1464),$B1464&gt;=클레임조회!$C$4)),OR(클레임조회!$C$5="",AND(ISNUMBER($B1464),$B1464&lt;=클레임조회!$C$5)),OR(클레임조회!$C$6="",$C1464=클레임조회!$C$6),OR(클레임조회!$C$7="",$D1464=클레임조회!$C$7),OR(클레임조회!$C$8="",$E1464=클레임조회!$C$8),OR(클레임조회!$C$9="",$F1464=클레임조회!$C$9),OR(클레임조회!$C$10="",ISNUMBER(SEARCH(클레임조회!$C$10,$C1464&amp;" "&amp;$F1464&amp;" "&amp;$G1464&amp;" "&amp;$H1464)))),COUNT(O$1:O1463)+1,"")</f>
        <v/>
      </c>
      <c r="P1464" s="0" t="str">
        <f aca="false">IF(AND(TRIM(C1464)&lt;&gt;"",COUNTIF(C$2:C1464,C1464)=1),MAX(P$1:P1463)+1,"")</f>
        <v/>
      </c>
      <c r="Q1464" s="0" t="str">
        <f aca="false">IF(AND(TRIM(F1464)&lt;&gt;"",COUNTIF(F$2:F1464,F1464)=1),MAX(Q$1:Q1463)+1,"")</f>
        <v/>
      </c>
    </row>
    <row r="1465" customFormat="false" ht="15" hidden="false" customHeight="false" outlineLevel="0" collapsed="false">
      <c r="A1465" s="9"/>
      <c r="B1465" s="10"/>
      <c r="C1465" s="11"/>
      <c r="D1465" s="11"/>
      <c r="E1465" s="11"/>
      <c r="F1465" s="11"/>
      <c r="G1465" s="12"/>
      <c r="H1465" s="12"/>
      <c r="I1465" s="10"/>
      <c r="J1465" s="12"/>
      <c r="K1465" s="13" t="str">
        <f aca="false">IF(ISNUMBER(B1465),YEAR(B1465),"")</f>
        <v/>
      </c>
      <c r="L1465" s="13" t="str">
        <f aca="false">IF(ISNUMBER(B1465),MONTH(B1465),"")</f>
        <v/>
      </c>
      <c r="M1465" s="13" t="str">
        <f aca="false">IF(AND(ISNUMBER(B1465),ISNUMBER(I1465)),B1465-I1465+1,"")</f>
        <v/>
      </c>
      <c r="N1465" s="14" t="str">
        <f aca="false">IF(B1465="","",IF(M1465="","시작일 미입력",IF(M1465&lt;1,"시작일 이전(확인)",IF(M1465=1,"1일째",IF(M1465=2,"2일째",IF(M1465=3,"3일째",IF(M1465&lt;=7,"일주일 이내",IF(M1465&lt;=14,"이주일 이내","15일 이후"))))))))</f>
        <v/>
      </c>
      <c r="O1465" s="0" t="str">
        <f aca="false">IF(AND(COUNTA($A1465:$J1465)&gt;0,OR(클레임조회!$C$4="",AND(ISNUMBER($B1465),$B1465&gt;=클레임조회!$C$4)),OR(클레임조회!$C$5="",AND(ISNUMBER($B1465),$B1465&lt;=클레임조회!$C$5)),OR(클레임조회!$C$6="",$C1465=클레임조회!$C$6),OR(클레임조회!$C$7="",$D1465=클레임조회!$C$7),OR(클레임조회!$C$8="",$E1465=클레임조회!$C$8),OR(클레임조회!$C$9="",$F1465=클레임조회!$C$9),OR(클레임조회!$C$10="",ISNUMBER(SEARCH(클레임조회!$C$10,$C1465&amp;" "&amp;$F1465&amp;" "&amp;$G1465&amp;" "&amp;$H1465)))),COUNT(O$1:O1464)+1,"")</f>
        <v/>
      </c>
      <c r="P1465" s="0" t="str">
        <f aca="false">IF(AND(TRIM(C1465)&lt;&gt;"",COUNTIF(C$2:C1465,C1465)=1),MAX(P$1:P1464)+1,"")</f>
        <v/>
      </c>
      <c r="Q1465" s="0" t="str">
        <f aca="false">IF(AND(TRIM(F1465)&lt;&gt;"",COUNTIF(F$2:F1465,F1465)=1),MAX(Q$1:Q1464)+1,"")</f>
        <v/>
      </c>
    </row>
    <row r="1466" customFormat="false" ht="15" hidden="false" customHeight="false" outlineLevel="0" collapsed="false">
      <c r="A1466" s="9"/>
      <c r="B1466" s="10"/>
      <c r="C1466" s="11"/>
      <c r="D1466" s="11"/>
      <c r="E1466" s="11"/>
      <c r="F1466" s="11"/>
      <c r="G1466" s="12"/>
      <c r="H1466" s="12"/>
      <c r="I1466" s="10"/>
      <c r="J1466" s="12"/>
      <c r="K1466" s="13" t="str">
        <f aca="false">IF(ISNUMBER(B1466),YEAR(B1466),"")</f>
        <v/>
      </c>
      <c r="L1466" s="13" t="str">
        <f aca="false">IF(ISNUMBER(B1466),MONTH(B1466),"")</f>
        <v/>
      </c>
      <c r="M1466" s="13" t="str">
        <f aca="false">IF(AND(ISNUMBER(B1466),ISNUMBER(I1466)),B1466-I1466+1,"")</f>
        <v/>
      </c>
      <c r="N1466" s="14" t="str">
        <f aca="false">IF(B1466="","",IF(M1466="","시작일 미입력",IF(M1466&lt;1,"시작일 이전(확인)",IF(M1466=1,"1일째",IF(M1466=2,"2일째",IF(M1466=3,"3일째",IF(M1466&lt;=7,"일주일 이내",IF(M1466&lt;=14,"이주일 이내","15일 이후"))))))))</f>
        <v/>
      </c>
      <c r="O1466" s="0" t="str">
        <f aca="false">IF(AND(COUNTA($A1466:$J1466)&gt;0,OR(클레임조회!$C$4="",AND(ISNUMBER($B1466),$B1466&gt;=클레임조회!$C$4)),OR(클레임조회!$C$5="",AND(ISNUMBER($B1466),$B1466&lt;=클레임조회!$C$5)),OR(클레임조회!$C$6="",$C1466=클레임조회!$C$6),OR(클레임조회!$C$7="",$D1466=클레임조회!$C$7),OR(클레임조회!$C$8="",$E1466=클레임조회!$C$8),OR(클레임조회!$C$9="",$F1466=클레임조회!$C$9),OR(클레임조회!$C$10="",ISNUMBER(SEARCH(클레임조회!$C$10,$C1466&amp;" "&amp;$F1466&amp;" "&amp;$G1466&amp;" "&amp;$H1466)))),COUNT(O$1:O1465)+1,"")</f>
        <v/>
      </c>
      <c r="P1466" s="0" t="str">
        <f aca="false">IF(AND(TRIM(C1466)&lt;&gt;"",COUNTIF(C$2:C1466,C1466)=1),MAX(P$1:P1465)+1,"")</f>
        <v/>
      </c>
      <c r="Q1466" s="0" t="str">
        <f aca="false">IF(AND(TRIM(F1466)&lt;&gt;"",COUNTIF(F$2:F1466,F1466)=1),MAX(Q$1:Q1465)+1,"")</f>
        <v/>
      </c>
    </row>
    <row r="1467" customFormat="false" ht="15" hidden="false" customHeight="false" outlineLevel="0" collapsed="false">
      <c r="A1467" s="9"/>
      <c r="B1467" s="10"/>
      <c r="C1467" s="11"/>
      <c r="D1467" s="11"/>
      <c r="E1467" s="11"/>
      <c r="F1467" s="11"/>
      <c r="G1467" s="12"/>
      <c r="H1467" s="12"/>
      <c r="I1467" s="10"/>
      <c r="J1467" s="12"/>
      <c r="K1467" s="13" t="str">
        <f aca="false">IF(ISNUMBER(B1467),YEAR(B1467),"")</f>
        <v/>
      </c>
      <c r="L1467" s="13" t="str">
        <f aca="false">IF(ISNUMBER(B1467),MONTH(B1467),"")</f>
        <v/>
      </c>
      <c r="M1467" s="13" t="str">
        <f aca="false">IF(AND(ISNUMBER(B1467),ISNUMBER(I1467)),B1467-I1467+1,"")</f>
        <v/>
      </c>
      <c r="N1467" s="14" t="str">
        <f aca="false">IF(B1467="","",IF(M1467="","시작일 미입력",IF(M1467&lt;1,"시작일 이전(확인)",IF(M1467=1,"1일째",IF(M1467=2,"2일째",IF(M1467=3,"3일째",IF(M1467&lt;=7,"일주일 이내",IF(M1467&lt;=14,"이주일 이내","15일 이후"))))))))</f>
        <v/>
      </c>
      <c r="O1467" s="0" t="str">
        <f aca="false">IF(AND(COUNTA($A1467:$J1467)&gt;0,OR(클레임조회!$C$4="",AND(ISNUMBER($B1467),$B1467&gt;=클레임조회!$C$4)),OR(클레임조회!$C$5="",AND(ISNUMBER($B1467),$B1467&lt;=클레임조회!$C$5)),OR(클레임조회!$C$6="",$C1467=클레임조회!$C$6),OR(클레임조회!$C$7="",$D1467=클레임조회!$C$7),OR(클레임조회!$C$8="",$E1467=클레임조회!$C$8),OR(클레임조회!$C$9="",$F1467=클레임조회!$C$9),OR(클레임조회!$C$10="",ISNUMBER(SEARCH(클레임조회!$C$10,$C1467&amp;" "&amp;$F1467&amp;" "&amp;$G1467&amp;" "&amp;$H1467)))),COUNT(O$1:O1466)+1,"")</f>
        <v/>
      </c>
      <c r="P1467" s="0" t="str">
        <f aca="false">IF(AND(TRIM(C1467)&lt;&gt;"",COUNTIF(C$2:C1467,C1467)=1),MAX(P$1:P1466)+1,"")</f>
        <v/>
      </c>
      <c r="Q1467" s="0" t="str">
        <f aca="false">IF(AND(TRIM(F1467)&lt;&gt;"",COUNTIF(F$2:F1467,F1467)=1),MAX(Q$1:Q1466)+1,"")</f>
        <v/>
      </c>
    </row>
    <row r="1468" customFormat="false" ht="15" hidden="false" customHeight="false" outlineLevel="0" collapsed="false">
      <c r="A1468" s="9"/>
      <c r="B1468" s="10"/>
      <c r="C1468" s="11"/>
      <c r="D1468" s="11"/>
      <c r="E1468" s="11"/>
      <c r="F1468" s="11"/>
      <c r="G1468" s="12"/>
      <c r="H1468" s="12"/>
      <c r="I1468" s="10"/>
      <c r="J1468" s="12"/>
      <c r="K1468" s="13" t="str">
        <f aca="false">IF(ISNUMBER(B1468),YEAR(B1468),"")</f>
        <v/>
      </c>
      <c r="L1468" s="13" t="str">
        <f aca="false">IF(ISNUMBER(B1468),MONTH(B1468),"")</f>
        <v/>
      </c>
      <c r="M1468" s="13" t="str">
        <f aca="false">IF(AND(ISNUMBER(B1468),ISNUMBER(I1468)),B1468-I1468+1,"")</f>
        <v/>
      </c>
      <c r="N1468" s="14" t="str">
        <f aca="false">IF(B1468="","",IF(M1468="","시작일 미입력",IF(M1468&lt;1,"시작일 이전(확인)",IF(M1468=1,"1일째",IF(M1468=2,"2일째",IF(M1468=3,"3일째",IF(M1468&lt;=7,"일주일 이내",IF(M1468&lt;=14,"이주일 이내","15일 이후"))))))))</f>
        <v/>
      </c>
      <c r="O1468" s="0" t="str">
        <f aca="false">IF(AND(COUNTA($A1468:$J1468)&gt;0,OR(클레임조회!$C$4="",AND(ISNUMBER($B1468),$B1468&gt;=클레임조회!$C$4)),OR(클레임조회!$C$5="",AND(ISNUMBER($B1468),$B1468&lt;=클레임조회!$C$5)),OR(클레임조회!$C$6="",$C1468=클레임조회!$C$6),OR(클레임조회!$C$7="",$D1468=클레임조회!$C$7),OR(클레임조회!$C$8="",$E1468=클레임조회!$C$8),OR(클레임조회!$C$9="",$F1468=클레임조회!$C$9),OR(클레임조회!$C$10="",ISNUMBER(SEARCH(클레임조회!$C$10,$C1468&amp;" "&amp;$F1468&amp;" "&amp;$G1468&amp;" "&amp;$H1468)))),COUNT(O$1:O1467)+1,"")</f>
        <v/>
      </c>
      <c r="P1468" s="0" t="str">
        <f aca="false">IF(AND(TRIM(C1468)&lt;&gt;"",COUNTIF(C$2:C1468,C1468)=1),MAX(P$1:P1467)+1,"")</f>
        <v/>
      </c>
      <c r="Q1468" s="0" t="str">
        <f aca="false">IF(AND(TRIM(F1468)&lt;&gt;"",COUNTIF(F$2:F1468,F1468)=1),MAX(Q$1:Q1467)+1,"")</f>
        <v/>
      </c>
    </row>
    <row r="1469" customFormat="false" ht="15" hidden="false" customHeight="false" outlineLevel="0" collapsed="false">
      <c r="A1469" s="9"/>
      <c r="B1469" s="10"/>
      <c r="C1469" s="11"/>
      <c r="D1469" s="11"/>
      <c r="E1469" s="11"/>
      <c r="F1469" s="11"/>
      <c r="G1469" s="12"/>
      <c r="H1469" s="12"/>
      <c r="I1469" s="10"/>
      <c r="J1469" s="12"/>
      <c r="K1469" s="13" t="str">
        <f aca="false">IF(ISNUMBER(B1469),YEAR(B1469),"")</f>
        <v/>
      </c>
      <c r="L1469" s="13" t="str">
        <f aca="false">IF(ISNUMBER(B1469),MONTH(B1469),"")</f>
        <v/>
      </c>
      <c r="M1469" s="13" t="str">
        <f aca="false">IF(AND(ISNUMBER(B1469),ISNUMBER(I1469)),B1469-I1469+1,"")</f>
        <v/>
      </c>
      <c r="N1469" s="14" t="str">
        <f aca="false">IF(B1469="","",IF(M1469="","시작일 미입력",IF(M1469&lt;1,"시작일 이전(확인)",IF(M1469=1,"1일째",IF(M1469=2,"2일째",IF(M1469=3,"3일째",IF(M1469&lt;=7,"일주일 이내",IF(M1469&lt;=14,"이주일 이내","15일 이후"))))))))</f>
        <v/>
      </c>
      <c r="O1469" s="0" t="str">
        <f aca="false">IF(AND(COUNTA($A1469:$J1469)&gt;0,OR(클레임조회!$C$4="",AND(ISNUMBER($B1469),$B1469&gt;=클레임조회!$C$4)),OR(클레임조회!$C$5="",AND(ISNUMBER($B1469),$B1469&lt;=클레임조회!$C$5)),OR(클레임조회!$C$6="",$C1469=클레임조회!$C$6),OR(클레임조회!$C$7="",$D1469=클레임조회!$C$7),OR(클레임조회!$C$8="",$E1469=클레임조회!$C$8),OR(클레임조회!$C$9="",$F1469=클레임조회!$C$9),OR(클레임조회!$C$10="",ISNUMBER(SEARCH(클레임조회!$C$10,$C1469&amp;" "&amp;$F1469&amp;" "&amp;$G1469&amp;" "&amp;$H1469)))),COUNT(O$1:O1468)+1,"")</f>
        <v/>
      </c>
      <c r="P1469" s="0" t="str">
        <f aca="false">IF(AND(TRIM(C1469)&lt;&gt;"",COUNTIF(C$2:C1469,C1469)=1),MAX(P$1:P1468)+1,"")</f>
        <v/>
      </c>
      <c r="Q1469" s="0" t="str">
        <f aca="false">IF(AND(TRIM(F1469)&lt;&gt;"",COUNTIF(F$2:F1469,F1469)=1),MAX(Q$1:Q1468)+1,"")</f>
        <v/>
      </c>
    </row>
    <row r="1470" customFormat="false" ht="15" hidden="false" customHeight="false" outlineLevel="0" collapsed="false">
      <c r="A1470" s="9"/>
      <c r="B1470" s="10"/>
      <c r="C1470" s="11"/>
      <c r="D1470" s="11"/>
      <c r="E1470" s="11"/>
      <c r="F1470" s="11"/>
      <c r="G1470" s="12"/>
      <c r="H1470" s="12"/>
      <c r="I1470" s="10"/>
      <c r="J1470" s="12"/>
      <c r="K1470" s="13" t="str">
        <f aca="false">IF(ISNUMBER(B1470),YEAR(B1470),"")</f>
        <v/>
      </c>
      <c r="L1470" s="13" t="str">
        <f aca="false">IF(ISNUMBER(B1470),MONTH(B1470),"")</f>
        <v/>
      </c>
      <c r="M1470" s="13" t="str">
        <f aca="false">IF(AND(ISNUMBER(B1470),ISNUMBER(I1470)),B1470-I1470+1,"")</f>
        <v/>
      </c>
      <c r="N1470" s="14" t="str">
        <f aca="false">IF(B1470="","",IF(M1470="","시작일 미입력",IF(M1470&lt;1,"시작일 이전(확인)",IF(M1470=1,"1일째",IF(M1470=2,"2일째",IF(M1470=3,"3일째",IF(M1470&lt;=7,"일주일 이내",IF(M1470&lt;=14,"이주일 이내","15일 이후"))))))))</f>
        <v/>
      </c>
      <c r="O1470" s="0" t="str">
        <f aca="false">IF(AND(COUNTA($A1470:$J1470)&gt;0,OR(클레임조회!$C$4="",AND(ISNUMBER($B1470),$B1470&gt;=클레임조회!$C$4)),OR(클레임조회!$C$5="",AND(ISNUMBER($B1470),$B1470&lt;=클레임조회!$C$5)),OR(클레임조회!$C$6="",$C1470=클레임조회!$C$6),OR(클레임조회!$C$7="",$D1470=클레임조회!$C$7),OR(클레임조회!$C$8="",$E1470=클레임조회!$C$8),OR(클레임조회!$C$9="",$F1470=클레임조회!$C$9),OR(클레임조회!$C$10="",ISNUMBER(SEARCH(클레임조회!$C$10,$C1470&amp;" "&amp;$F1470&amp;" "&amp;$G1470&amp;" "&amp;$H1470)))),COUNT(O$1:O1469)+1,"")</f>
        <v/>
      </c>
      <c r="P1470" s="0" t="str">
        <f aca="false">IF(AND(TRIM(C1470)&lt;&gt;"",COUNTIF(C$2:C1470,C1470)=1),MAX(P$1:P1469)+1,"")</f>
        <v/>
      </c>
      <c r="Q1470" s="0" t="str">
        <f aca="false">IF(AND(TRIM(F1470)&lt;&gt;"",COUNTIF(F$2:F1470,F1470)=1),MAX(Q$1:Q1469)+1,"")</f>
        <v/>
      </c>
    </row>
    <row r="1471" customFormat="false" ht="15" hidden="false" customHeight="false" outlineLevel="0" collapsed="false">
      <c r="A1471" s="9"/>
      <c r="B1471" s="10"/>
      <c r="C1471" s="11"/>
      <c r="D1471" s="11"/>
      <c r="E1471" s="11"/>
      <c r="F1471" s="11"/>
      <c r="G1471" s="12"/>
      <c r="H1471" s="12"/>
      <c r="I1471" s="10"/>
      <c r="J1471" s="12"/>
      <c r="K1471" s="13" t="str">
        <f aca="false">IF(ISNUMBER(B1471),YEAR(B1471),"")</f>
        <v/>
      </c>
      <c r="L1471" s="13" t="str">
        <f aca="false">IF(ISNUMBER(B1471),MONTH(B1471),"")</f>
        <v/>
      </c>
      <c r="M1471" s="13" t="str">
        <f aca="false">IF(AND(ISNUMBER(B1471),ISNUMBER(I1471)),B1471-I1471+1,"")</f>
        <v/>
      </c>
      <c r="N1471" s="14" t="str">
        <f aca="false">IF(B1471="","",IF(M1471="","시작일 미입력",IF(M1471&lt;1,"시작일 이전(확인)",IF(M1471=1,"1일째",IF(M1471=2,"2일째",IF(M1471=3,"3일째",IF(M1471&lt;=7,"일주일 이내",IF(M1471&lt;=14,"이주일 이내","15일 이후"))))))))</f>
        <v/>
      </c>
      <c r="O1471" s="0" t="str">
        <f aca="false">IF(AND(COUNTA($A1471:$J1471)&gt;0,OR(클레임조회!$C$4="",AND(ISNUMBER($B1471),$B1471&gt;=클레임조회!$C$4)),OR(클레임조회!$C$5="",AND(ISNUMBER($B1471),$B1471&lt;=클레임조회!$C$5)),OR(클레임조회!$C$6="",$C1471=클레임조회!$C$6),OR(클레임조회!$C$7="",$D1471=클레임조회!$C$7),OR(클레임조회!$C$8="",$E1471=클레임조회!$C$8),OR(클레임조회!$C$9="",$F1471=클레임조회!$C$9),OR(클레임조회!$C$10="",ISNUMBER(SEARCH(클레임조회!$C$10,$C1471&amp;" "&amp;$F1471&amp;" "&amp;$G1471&amp;" "&amp;$H1471)))),COUNT(O$1:O1470)+1,"")</f>
        <v/>
      </c>
      <c r="P1471" s="0" t="str">
        <f aca="false">IF(AND(TRIM(C1471)&lt;&gt;"",COUNTIF(C$2:C1471,C1471)=1),MAX(P$1:P1470)+1,"")</f>
        <v/>
      </c>
      <c r="Q1471" s="0" t="str">
        <f aca="false">IF(AND(TRIM(F1471)&lt;&gt;"",COUNTIF(F$2:F1471,F1471)=1),MAX(Q$1:Q1470)+1,"")</f>
        <v/>
      </c>
    </row>
    <row r="1472" customFormat="false" ht="15" hidden="false" customHeight="false" outlineLevel="0" collapsed="false">
      <c r="A1472" s="9"/>
      <c r="B1472" s="10"/>
      <c r="C1472" s="11"/>
      <c r="D1472" s="11"/>
      <c r="E1472" s="11"/>
      <c r="F1472" s="11"/>
      <c r="G1472" s="12"/>
      <c r="H1472" s="12"/>
      <c r="I1472" s="10"/>
      <c r="J1472" s="12"/>
      <c r="K1472" s="13" t="str">
        <f aca="false">IF(ISNUMBER(B1472),YEAR(B1472),"")</f>
        <v/>
      </c>
      <c r="L1472" s="13" t="str">
        <f aca="false">IF(ISNUMBER(B1472),MONTH(B1472),"")</f>
        <v/>
      </c>
      <c r="M1472" s="13" t="str">
        <f aca="false">IF(AND(ISNUMBER(B1472),ISNUMBER(I1472)),B1472-I1472+1,"")</f>
        <v/>
      </c>
      <c r="N1472" s="14" t="str">
        <f aca="false">IF(B1472="","",IF(M1472="","시작일 미입력",IF(M1472&lt;1,"시작일 이전(확인)",IF(M1472=1,"1일째",IF(M1472=2,"2일째",IF(M1472=3,"3일째",IF(M1472&lt;=7,"일주일 이내",IF(M1472&lt;=14,"이주일 이내","15일 이후"))))))))</f>
        <v/>
      </c>
      <c r="O1472" s="0" t="str">
        <f aca="false">IF(AND(COUNTA($A1472:$J1472)&gt;0,OR(클레임조회!$C$4="",AND(ISNUMBER($B1472),$B1472&gt;=클레임조회!$C$4)),OR(클레임조회!$C$5="",AND(ISNUMBER($B1472),$B1472&lt;=클레임조회!$C$5)),OR(클레임조회!$C$6="",$C1472=클레임조회!$C$6),OR(클레임조회!$C$7="",$D1472=클레임조회!$C$7),OR(클레임조회!$C$8="",$E1472=클레임조회!$C$8),OR(클레임조회!$C$9="",$F1472=클레임조회!$C$9),OR(클레임조회!$C$10="",ISNUMBER(SEARCH(클레임조회!$C$10,$C1472&amp;" "&amp;$F1472&amp;" "&amp;$G1472&amp;" "&amp;$H1472)))),COUNT(O$1:O1471)+1,"")</f>
        <v/>
      </c>
      <c r="P1472" s="0" t="str">
        <f aca="false">IF(AND(TRIM(C1472)&lt;&gt;"",COUNTIF(C$2:C1472,C1472)=1),MAX(P$1:P1471)+1,"")</f>
        <v/>
      </c>
      <c r="Q1472" s="0" t="str">
        <f aca="false">IF(AND(TRIM(F1472)&lt;&gt;"",COUNTIF(F$2:F1472,F1472)=1),MAX(Q$1:Q1471)+1,"")</f>
        <v/>
      </c>
    </row>
    <row r="1473" customFormat="false" ht="15" hidden="false" customHeight="false" outlineLevel="0" collapsed="false">
      <c r="A1473" s="9"/>
      <c r="B1473" s="10"/>
      <c r="C1473" s="11"/>
      <c r="D1473" s="11"/>
      <c r="E1473" s="11"/>
      <c r="F1473" s="11"/>
      <c r="G1473" s="12"/>
      <c r="H1473" s="12"/>
      <c r="I1473" s="10"/>
      <c r="J1473" s="12"/>
      <c r="K1473" s="13" t="str">
        <f aca="false">IF(ISNUMBER(B1473),YEAR(B1473),"")</f>
        <v/>
      </c>
      <c r="L1473" s="13" t="str">
        <f aca="false">IF(ISNUMBER(B1473),MONTH(B1473),"")</f>
        <v/>
      </c>
      <c r="M1473" s="13" t="str">
        <f aca="false">IF(AND(ISNUMBER(B1473),ISNUMBER(I1473)),B1473-I1473+1,"")</f>
        <v/>
      </c>
      <c r="N1473" s="14" t="str">
        <f aca="false">IF(B1473="","",IF(M1473="","시작일 미입력",IF(M1473&lt;1,"시작일 이전(확인)",IF(M1473=1,"1일째",IF(M1473=2,"2일째",IF(M1473=3,"3일째",IF(M1473&lt;=7,"일주일 이내",IF(M1473&lt;=14,"이주일 이내","15일 이후"))))))))</f>
        <v/>
      </c>
      <c r="O1473" s="0" t="str">
        <f aca="false">IF(AND(COUNTA($A1473:$J1473)&gt;0,OR(클레임조회!$C$4="",AND(ISNUMBER($B1473),$B1473&gt;=클레임조회!$C$4)),OR(클레임조회!$C$5="",AND(ISNUMBER($B1473),$B1473&lt;=클레임조회!$C$5)),OR(클레임조회!$C$6="",$C1473=클레임조회!$C$6),OR(클레임조회!$C$7="",$D1473=클레임조회!$C$7),OR(클레임조회!$C$8="",$E1473=클레임조회!$C$8),OR(클레임조회!$C$9="",$F1473=클레임조회!$C$9),OR(클레임조회!$C$10="",ISNUMBER(SEARCH(클레임조회!$C$10,$C1473&amp;" "&amp;$F1473&amp;" "&amp;$G1473&amp;" "&amp;$H1473)))),COUNT(O$1:O1472)+1,"")</f>
        <v/>
      </c>
      <c r="P1473" s="0" t="str">
        <f aca="false">IF(AND(TRIM(C1473)&lt;&gt;"",COUNTIF(C$2:C1473,C1473)=1),MAX(P$1:P1472)+1,"")</f>
        <v/>
      </c>
      <c r="Q1473" s="0" t="str">
        <f aca="false">IF(AND(TRIM(F1473)&lt;&gt;"",COUNTIF(F$2:F1473,F1473)=1),MAX(Q$1:Q1472)+1,"")</f>
        <v/>
      </c>
    </row>
    <row r="1474" customFormat="false" ht="15" hidden="false" customHeight="false" outlineLevel="0" collapsed="false">
      <c r="A1474" s="9"/>
      <c r="B1474" s="10"/>
      <c r="C1474" s="11"/>
      <c r="D1474" s="11"/>
      <c r="E1474" s="11"/>
      <c r="F1474" s="11"/>
      <c r="G1474" s="12"/>
      <c r="H1474" s="12"/>
      <c r="I1474" s="10"/>
      <c r="J1474" s="12"/>
      <c r="K1474" s="13" t="str">
        <f aca="false">IF(ISNUMBER(B1474),YEAR(B1474),"")</f>
        <v/>
      </c>
      <c r="L1474" s="13" t="str">
        <f aca="false">IF(ISNUMBER(B1474),MONTH(B1474),"")</f>
        <v/>
      </c>
      <c r="M1474" s="13" t="str">
        <f aca="false">IF(AND(ISNUMBER(B1474),ISNUMBER(I1474)),B1474-I1474+1,"")</f>
        <v/>
      </c>
      <c r="N1474" s="14" t="str">
        <f aca="false">IF(B1474="","",IF(M1474="","시작일 미입력",IF(M1474&lt;1,"시작일 이전(확인)",IF(M1474=1,"1일째",IF(M1474=2,"2일째",IF(M1474=3,"3일째",IF(M1474&lt;=7,"일주일 이내",IF(M1474&lt;=14,"이주일 이내","15일 이후"))))))))</f>
        <v/>
      </c>
      <c r="O1474" s="0" t="str">
        <f aca="false">IF(AND(COUNTA($A1474:$J1474)&gt;0,OR(클레임조회!$C$4="",AND(ISNUMBER($B1474),$B1474&gt;=클레임조회!$C$4)),OR(클레임조회!$C$5="",AND(ISNUMBER($B1474),$B1474&lt;=클레임조회!$C$5)),OR(클레임조회!$C$6="",$C1474=클레임조회!$C$6),OR(클레임조회!$C$7="",$D1474=클레임조회!$C$7),OR(클레임조회!$C$8="",$E1474=클레임조회!$C$8),OR(클레임조회!$C$9="",$F1474=클레임조회!$C$9),OR(클레임조회!$C$10="",ISNUMBER(SEARCH(클레임조회!$C$10,$C1474&amp;" "&amp;$F1474&amp;" "&amp;$G1474&amp;" "&amp;$H1474)))),COUNT(O$1:O1473)+1,"")</f>
        <v/>
      </c>
      <c r="P1474" s="0" t="str">
        <f aca="false">IF(AND(TRIM(C1474)&lt;&gt;"",COUNTIF(C$2:C1474,C1474)=1),MAX(P$1:P1473)+1,"")</f>
        <v/>
      </c>
      <c r="Q1474" s="0" t="str">
        <f aca="false">IF(AND(TRIM(F1474)&lt;&gt;"",COUNTIF(F$2:F1474,F1474)=1),MAX(Q$1:Q1473)+1,"")</f>
        <v/>
      </c>
    </row>
    <row r="1475" customFormat="false" ht="15" hidden="false" customHeight="false" outlineLevel="0" collapsed="false">
      <c r="A1475" s="9"/>
      <c r="B1475" s="10"/>
      <c r="C1475" s="11"/>
      <c r="D1475" s="11"/>
      <c r="E1475" s="11"/>
      <c r="F1475" s="11"/>
      <c r="G1475" s="12"/>
      <c r="H1475" s="12"/>
      <c r="I1475" s="10"/>
      <c r="J1475" s="12"/>
      <c r="K1475" s="13" t="str">
        <f aca="false">IF(ISNUMBER(B1475),YEAR(B1475),"")</f>
        <v/>
      </c>
      <c r="L1475" s="13" t="str">
        <f aca="false">IF(ISNUMBER(B1475),MONTH(B1475),"")</f>
        <v/>
      </c>
      <c r="M1475" s="13" t="str">
        <f aca="false">IF(AND(ISNUMBER(B1475),ISNUMBER(I1475)),B1475-I1475+1,"")</f>
        <v/>
      </c>
      <c r="N1475" s="14" t="str">
        <f aca="false">IF(B1475="","",IF(M1475="","시작일 미입력",IF(M1475&lt;1,"시작일 이전(확인)",IF(M1475=1,"1일째",IF(M1475=2,"2일째",IF(M1475=3,"3일째",IF(M1475&lt;=7,"일주일 이내",IF(M1475&lt;=14,"이주일 이내","15일 이후"))))))))</f>
        <v/>
      </c>
      <c r="O1475" s="0" t="str">
        <f aca="false">IF(AND(COUNTA($A1475:$J1475)&gt;0,OR(클레임조회!$C$4="",AND(ISNUMBER($B1475),$B1475&gt;=클레임조회!$C$4)),OR(클레임조회!$C$5="",AND(ISNUMBER($B1475),$B1475&lt;=클레임조회!$C$5)),OR(클레임조회!$C$6="",$C1475=클레임조회!$C$6),OR(클레임조회!$C$7="",$D1475=클레임조회!$C$7),OR(클레임조회!$C$8="",$E1475=클레임조회!$C$8),OR(클레임조회!$C$9="",$F1475=클레임조회!$C$9),OR(클레임조회!$C$10="",ISNUMBER(SEARCH(클레임조회!$C$10,$C1475&amp;" "&amp;$F1475&amp;" "&amp;$G1475&amp;" "&amp;$H1475)))),COUNT(O$1:O1474)+1,"")</f>
        <v/>
      </c>
      <c r="P1475" s="0" t="str">
        <f aca="false">IF(AND(TRIM(C1475)&lt;&gt;"",COUNTIF(C$2:C1475,C1475)=1),MAX(P$1:P1474)+1,"")</f>
        <v/>
      </c>
      <c r="Q1475" s="0" t="str">
        <f aca="false">IF(AND(TRIM(F1475)&lt;&gt;"",COUNTIF(F$2:F1475,F1475)=1),MAX(Q$1:Q1474)+1,"")</f>
        <v/>
      </c>
    </row>
    <row r="1476" customFormat="false" ht="15" hidden="false" customHeight="false" outlineLevel="0" collapsed="false">
      <c r="A1476" s="9"/>
      <c r="B1476" s="10"/>
      <c r="C1476" s="11"/>
      <c r="D1476" s="11"/>
      <c r="E1476" s="11"/>
      <c r="F1476" s="11"/>
      <c r="G1476" s="12"/>
      <c r="H1476" s="12"/>
      <c r="I1476" s="10"/>
      <c r="J1476" s="12"/>
      <c r="K1476" s="13" t="str">
        <f aca="false">IF(ISNUMBER(B1476),YEAR(B1476),"")</f>
        <v/>
      </c>
      <c r="L1476" s="13" t="str">
        <f aca="false">IF(ISNUMBER(B1476),MONTH(B1476),"")</f>
        <v/>
      </c>
      <c r="M1476" s="13" t="str">
        <f aca="false">IF(AND(ISNUMBER(B1476),ISNUMBER(I1476)),B1476-I1476+1,"")</f>
        <v/>
      </c>
      <c r="N1476" s="14" t="str">
        <f aca="false">IF(B1476="","",IF(M1476="","시작일 미입력",IF(M1476&lt;1,"시작일 이전(확인)",IF(M1476=1,"1일째",IF(M1476=2,"2일째",IF(M1476=3,"3일째",IF(M1476&lt;=7,"일주일 이내",IF(M1476&lt;=14,"이주일 이내","15일 이후"))))))))</f>
        <v/>
      </c>
      <c r="O1476" s="0" t="str">
        <f aca="false">IF(AND(COUNTA($A1476:$J1476)&gt;0,OR(클레임조회!$C$4="",AND(ISNUMBER($B1476),$B1476&gt;=클레임조회!$C$4)),OR(클레임조회!$C$5="",AND(ISNUMBER($B1476),$B1476&lt;=클레임조회!$C$5)),OR(클레임조회!$C$6="",$C1476=클레임조회!$C$6),OR(클레임조회!$C$7="",$D1476=클레임조회!$C$7),OR(클레임조회!$C$8="",$E1476=클레임조회!$C$8),OR(클레임조회!$C$9="",$F1476=클레임조회!$C$9),OR(클레임조회!$C$10="",ISNUMBER(SEARCH(클레임조회!$C$10,$C1476&amp;" "&amp;$F1476&amp;" "&amp;$G1476&amp;" "&amp;$H1476)))),COUNT(O$1:O1475)+1,"")</f>
        <v/>
      </c>
      <c r="P1476" s="0" t="str">
        <f aca="false">IF(AND(TRIM(C1476)&lt;&gt;"",COUNTIF(C$2:C1476,C1476)=1),MAX(P$1:P1475)+1,"")</f>
        <v/>
      </c>
      <c r="Q1476" s="0" t="str">
        <f aca="false">IF(AND(TRIM(F1476)&lt;&gt;"",COUNTIF(F$2:F1476,F1476)=1),MAX(Q$1:Q1475)+1,"")</f>
        <v/>
      </c>
    </row>
    <row r="1477" customFormat="false" ht="15" hidden="false" customHeight="false" outlineLevel="0" collapsed="false">
      <c r="A1477" s="9"/>
      <c r="B1477" s="10"/>
      <c r="C1477" s="11"/>
      <c r="D1477" s="11"/>
      <c r="E1477" s="11"/>
      <c r="F1477" s="11"/>
      <c r="G1477" s="12"/>
      <c r="H1477" s="12"/>
      <c r="I1477" s="10"/>
      <c r="J1477" s="12"/>
      <c r="K1477" s="13" t="str">
        <f aca="false">IF(ISNUMBER(B1477),YEAR(B1477),"")</f>
        <v/>
      </c>
      <c r="L1477" s="13" t="str">
        <f aca="false">IF(ISNUMBER(B1477),MONTH(B1477),"")</f>
        <v/>
      </c>
      <c r="M1477" s="13" t="str">
        <f aca="false">IF(AND(ISNUMBER(B1477),ISNUMBER(I1477)),B1477-I1477+1,"")</f>
        <v/>
      </c>
      <c r="N1477" s="14" t="str">
        <f aca="false">IF(B1477="","",IF(M1477="","시작일 미입력",IF(M1477&lt;1,"시작일 이전(확인)",IF(M1477=1,"1일째",IF(M1477=2,"2일째",IF(M1477=3,"3일째",IF(M1477&lt;=7,"일주일 이내",IF(M1477&lt;=14,"이주일 이내","15일 이후"))))))))</f>
        <v/>
      </c>
      <c r="O1477" s="0" t="str">
        <f aca="false">IF(AND(COUNTA($A1477:$J1477)&gt;0,OR(클레임조회!$C$4="",AND(ISNUMBER($B1477),$B1477&gt;=클레임조회!$C$4)),OR(클레임조회!$C$5="",AND(ISNUMBER($B1477),$B1477&lt;=클레임조회!$C$5)),OR(클레임조회!$C$6="",$C1477=클레임조회!$C$6),OR(클레임조회!$C$7="",$D1477=클레임조회!$C$7),OR(클레임조회!$C$8="",$E1477=클레임조회!$C$8),OR(클레임조회!$C$9="",$F1477=클레임조회!$C$9),OR(클레임조회!$C$10="",ISNUMBER(SEARCH(클레임조회!$C$10,$C1477&amp;" "&amp;$F1477&amp;" "&amp;$G1477&amp;" "&amp;$H1477)))),COUNT(O$1:O1476)+1,"")</f>
        <v/>
      </c>
      <c r="P1477" s="0" t="str">
        <f aca="false">IF(AND(TRIM(C1477)&lt;&gt;"",COUNTIF(C$2:C1477,C1477)=1),MAX(P$1:P1476)+1,"")</f>
        <v/>
      </c>
      <c r="Q1477" s="0" t="str">
        <f aca="false">IF(AND(TRIM(F1477)&lt;&gt;"",COUNTIF(F$2:F1477,F1477)=1),MAX(Q$1:Q1476)+1,"")</f>
        <v/>
      </c>
    </row>
    <row r="1478" customFormat="false" ht="15" hidden="false" customHeight="false" outlineLevel="0" collapsed="false">
      <c r="A1478" s="9"/>
      <c r="B1478" s="10"/>
      <c r="C1478" s="11"/>
      <c r="D1478" s="11"/>
      <c r="E1478" s="11"/>
      <c r="F1478" s="11"/>
      <c r="G1478" s="12"/>
      <c r="H1478" s="12"/>
      <c r="I1478" s="10"/>
      <c r="J1478" s="12"/>
      <c r="K1478" s="13" t="str">
        <f aca="false">IF(ISNUMBER(B1478),YEAR(B1478),"")</f>
        <v/>
      </c>
      <c r="L1478" s="13" t="str">
        <f aca="false">IF(ISNUMBER(B1478),MONTH(B1478),"")</f>
        <v/>
      </c>
      <c r="M1478" s="13" t="str">
        <f aca="false">IF(AND(ISNUMBER(B1478),ISNUMBER(I1478)),B1478-I1478+1,"")</f>
        <v/>
      </c>
      <c r="N1478" s="14" t="str">
        <f aca="false">IF(B1478="","",IF(M1478="","시작일 미입력",IF(M1478&lt;1,"시작일 이전(확인)",IF(M1478=1,"1일째",IF(M1478=2,"2일째",IF(M1478=3,"3일째",IF(M1478&lt;=7,"일주일 이내",IF(M1478&lt;=14,"이주일 이내","15일 이후"))))))))</f>
        <v/>
      </c>
      <c r="O1478" s="0" t="str">
        <f aca="false">IF(AND(COUNTA($A1478:$J1478)&gt;0,OR(클레임조회!$C$4="",AND(ISNUMBER($B1478),$B1478&gt;=클레임조회!$C$4)),OR(클레임조회!$C$5="",AND(ISNUMBER($B1478),$B1478&lt;=클레임조회!$C$5)),OR(클레임조회!$C$6="",$C1478=클레임조회!$C$6),OR(클레임조회!$C$7="",$D1478=클레임조회!$C$7),OR(클레임조회!$C$8="",$E1478=클레임조회!$C$8),OR(클레임조회!$C$9="",$F1478=클레임조회!$C$9),OR(클레임조회!$C$10="",ISNUMBER(SEARCH(클레임조회!$C$10,$C1478&amp;" "&amp;$F1478&amp;" "&amp;$G1478&amp;" "&amp;$H1478)))),COUNT(O$1:O1477)+1,"")</f>
        <v/>
      </c>
      <c r="P1478" s="0" t="str">
        <f aca="false">IF(AND(TRIM(C1478)&lt;&gt;"",COUNTIF(C$2:C1478,C1478)=1),MAX(P$1:P1477)+1,"")</f>
        <v/>
      </c>
      <c r="Q1478" s="0" t="str">
        <f aca="false">IF(AND(TRIM(F1478)&lt;&gt;"",COUNTIF(F$2:F1478,F1478)=1),MAX(Q$1:Q1477)+1,"")</f>
        <v/>
      </c>
    </row>
    <row r="1479" customFormat="false" ht="15" hidden="false" customHeight="false" outlineLevel="0" collapsed="false">
      <c r="A1479" s="9"/>
      <c r="B1479" s="10"/>
      <c r="C1479" s="11"/>
      <c r="D1479" s="11"/>
      <c r="E1479" s="11"/>
      <c r="F1479" s="11"/>
      <c r="G1479" s="12"/>
      <c r="H1479" s="12"/>
      <c r="I1479" s="10"/>
      <c r="J1479" s="12"/>
      <c r="K1479" s="13" t="str">
        <f aca="false">IF(ISNUMBER(B1479),YEAR(B1479),"")</f>
        <v/>
      </c>
      <c r="L1479" s="13" t="str">
        <f aca="false">IF(ISNUMBER(B1479),MONTH(B1479),"")</f>
        <v/>
      </c>
      <c r="M1479" s="13" t="str">
        <f aca="false">IF(AND(ISNUMBER(B1479),ISNUMBER(I1479)),B1479-I1479+1,"")</f>
        <v/>
      </c>
      <c r="N1479" s="14" t="str">
        <f aca="false">IF(B1479="","",IF(M1479="","시작일 미입력",IF(M1479&lt;1,"시작일 이전(확인)",IF(M1479=1,"1일째",IF(M1479=2,"2일째",IF(M1479=3,"3일째",IF(M1479&lt;=7,"일주일 이내",IF(M1479&lt;=14,"이주일 이내","15일 이후"))))))))</f>
        <v/>
      </c>
      <c r="O1479" s="0" t="str">
        <f aca="false">IF(AND(COUNTA($A1479:$J1479)&gt;0,OR(클레임조회!$C$4="",AND(ISNUMBER($B1479),$B1479&gt;=클레임조회!$C$4)),OR(클레임조회!$C$5="",AND(ISNUMBER($B1479),$B1479&lt;=클레임조회!$C$5)),OR(클레임조회!$C$6="",$C1479=클레임조회!$C$6),OR(클레임조회!$C$7="",$D1479=클레임조회!$C$7),OR(클레임조회!$C$8="",$E1479=클레임조회!$C$8),OR(클레임조회!$C$9="",$F1479=클레임조회!$C$9),OR(클레임조회!$C$10="",ISNUMBER(SEARCH(클레임조회!$C$10,$C1479&amp;" "&amp;$F1479&amp;" "&amp;$G1479&amp;" "&amp;$H1479)))),COUNT(O$1:O1478)+1,"")</f>
        <v/>
      </c>
      <c r="P1479" s="0" t="str">
        <f aca="false">IF(AND(TRIM(C1479)&lt;&gt;"",COUNTIF(C$2:C1479,C1479)=1),MAX(P$1:P1478)+1,"")</f>
        <v/>
      </c>
      <c r="Q1479" s="0" t="str">
        <f aca="false">IF(AND(TRIM(F1479)&lt;&gt;"",COUNTIF(F$2:F1479,F1479)=1),MAX(Q$1:Q1478)+1,"")</f>
        <v/>
      </c>
    </row>
    <row r="1480" customFormat="false" ht="15" hidden="false" customHeight="false" outlineLevel="0" collapsed="false">
      <c r="A1480" s="9"/>
      <c r="B1480" s="10"/>
      <c r="C1480" s="11"/>
      <c r="D1480" s="11"/>
      <c r="E1480" s="11"/>
      <c r="F1480" s="11"/>
      <c r="G1480" s="12"/>
      <c r="H1480" s="12"/>
      <c r="I1480" s="10"/>
      <c r="J1480" s="12"/>
      <c r="K1480" s="13" t="str">
        <f aca="false">IF(ISNUMBER(B1480),YEAR(B1480),"")</f>
        <v/>
      </c>
      <c r="L1480" s="13" t="str">
        <f aca="false">IF(ISNUMBER(B1480),MONTH(B1480),"")</f>
        <v/>
      </c>
      <c r="M1480" s="13" t="str">
        <f aca="false">IF(AND(ISNUMBER(B1480),ISNUMBER(I1480)),B1480-I1480+1,"")</f>
        <v/>
      </c>
      <c r="N1480" s="14" t="str">
        <f aca="false">IF(B1480="","",IF(M1480="","시작일 미입력",IF(M1480&lt;1,"시작일 이전(확인)",IF(M1480=1,"1일째",IF(M1480=2,"2일째",IF(M1480=3,"3일째",IF(M1480&lt;=7,"일주일 이내",IF(M1480&lt;=14,"이주일 이내","15일 이후"))))))))</f>
        <v/>
      </c>
      <c r="O1480" s="0" t="str">
        <f aca="false">IF(AND(COUNTA($A1480:$J1480)&gt;0,OR(클레임조회!$C$4="",AND(ISNUMBER($B1480),$B1480&gt;=클레임조회!$C$4)),OR(클레임조회!$C$5="",AND(ISNUMBER($B1480),$B1480&lt;=클레임조회!$C$5)),OR(클레임조회!$C$6="",$C1480=클레임조회!$C$6),OR(클레임조회!$C$7="",$D1480=클레임조회!$C$7),OR(클레임조회!$C$8="",$E1480=클레임조회!$C$8),OR(클레임조회!$C$9="",$F1480=클레임조회!$C$9),OR(클레임조회!$C$10="",ISNUMBER(SEARCH(클레임조회!$C$10,$C1480&amp;" "&amp;$F1480&amp;" "&amp;$G1480&amp;" "&amp;$H1480)))),COUNT(O$1:O1479)+1,"")</f>
        <v/>
      </c>
      <c r="P1480" s="0" t="str">
        <f aca="false">IF(AND(TRIM(C1480)&lt;&gt;"",COUNTIF(C$2:C1480,C1480)=1),MAX(P$1:P1479)+1,"")</f>
        <v/>
      </c>
      <c r="Q1480" s="0" t="str">
        <f aca="false">IF(AND(TRIM(F1480)&lt;&gt;"",COUNTIF(F$2:F1480,F1480)=1),MAX(Q$1:Q1479)+1,"")</f>
        <v/>
      </c>
    </row>
    <row r="1481" customFormat="false" ht="15" hidden="false" customHeight="false" outlineLevel="0" collapsed="false">
      <c r="A1481" s="9"/>
      <c r="B1481" s="10"/>
      <c r="C1481" s="11"/>
      <c r="D1481" s="11"/>
      <c r="E1481" s="11"/>
      <c r="F1481" s="11"/>
      <c r="G1481" s="12"/>
      <c r="H1481" s="12"/>
      <c r="I1481" s="10"/>
      <c r="J1481" s="12"/>
      <c r="K1481" s="13" t="str">
        <f aca="false">IF(ISNUMBER(B1481),YEAR(B1481),"")</f>
        <v/>
      </c>
      <c r="L1481" s="13" t="str">
        <f aca="false">IF(ISNUMBER(B1481),MONTH(B1481),"")</f>
        <v/>
      </c>
      <c r="M1481" s="13" t="str">
        <f aca="false">IF(AND(ISNUMBER(B1481),ISNUMBER(I1481)),B1481-I1481+1,"")</f>
        <v/>
      </c>
      <c r="N1481" s="14" t="str">
        <f aca="false">IF(B1481="","",IF(M1481="","시작일 미입력",IF(M1481&lt;1,"시작일 이전(확인)",IF(M1481=1,"1일째",IF(M1481=2,"2일째",IF(M1481=3,"3일째",IF(M1481&lt;=7,"일주일 이내",IF(M1481&lt;=14,"이주일 이내","15일 이후"))))))))</f>
        <v/>
      </c>
      <c r="O1481" s="0" t="str">
        <f aca="false">IF(AND(COUNTA($A1481:$J1481)&gt;0,OR(클레임조회!$C$4="",AND(ISNUMBER($B1481),$B1481&gt;=클레임조회!$C$4)),OR(클레임조회!$C$5="",AND(ISNUMBER($B1481),$B1481&lt;=클레임조회!$C$5)),OR(클레임조회!$C$6="",$C1481=클레임조회!$C$6),OR(클레임조회!$C$7="",$D1481=클레임조회!$C$7),OR(클레임조회!$C$8="",$E1481=클레임조회!$C$8),OR(클레임조회!$C$9="",$F1481=클레임조회!$C$9),OR(클레임조회!$C$10="",ISNUMBER(SEARCH(클레임조회!$C$10,$C1481&amp;" "&amp;$F1481&amp;" "&amp;$G1481&amp;" "&amp;$H1481)))),COUNT(O$1:O1480)+1,"")</f>
        <v/>
      </c>
      <c r="P1481" s="0" t="str">
        <f aca="false">IF(AND(TRIM(C1481)&lt;&gt;"",COUNTIF(C$2:C1481,C1481)=1),MAX(P$1:P1480)+1,"")</f>
        <v/>
      </c>
      <c r="Q1481" s="0" t="str">
        <f aca="false">IF(AND(TRIM(F1481)&lt;&gt;"",COUNTIF(F$2:F1481,F1481)=1),MAX(Q$1:Q1480)+1,"")</f>
        <v/>
      </c>
    </row>
    <row r="1482" customFormat="false" ht="15" hidden="false" customHeight="false" outlineLevel="0" collapsed="false">
      <c r="A1482" s="9"/>
      <c r="B1482" s="10"/>
      <c r="C1482" s="11"/>
      <c r="D1482" s="11"/>
      <c r="E1482" s="11"/>
      <c r="F1482" s="11"/>
      <c r="G1482" s="12"/>
      <c r="H1482" s="12"/>
      <c r="I1482" s="10"/>
      <c r="J1482" s="12"/>
      <c r="K1482" s="13" t="str">
        <f aca="false">IF(ISNUMBER(B1482),YEAR(B1482),"")</f>
        <v/>
      </c>
      <c r="L1482" s="13" t="str">
        <f aca="false">IF(ISNUMBER(B1482),MONTH(B1482),"")</f>
        <v/>
      </c>
      <c r="M1482" s="13" t="str">
        <f aca="false">IF(AND(ISNUMBER(B1482),ISNUMBER(I1482)),B1482-I1482+1,"")</f>
        <v/>
      </c>
      <c r="N1482" s="14" t="str">
        <f aca="false">IF(B1482="","",IF(M1482="","시작일 미입력",IF(M1482&lt;1,"시작일 이전(확인)",IF(M1482=1,"1일째",IF(M1482=2,"2일째",IF(M1482=3,"3일째",IF(M1482&lt;=7,"일주일 이내",IF(M1482&lt;=14,"이주일 이내","15일 이후"))))))))</f>
        <v/>
      </c>
      <c r="O1482" s="0" t="str">
        <f aca="false">IF(AND(COUNTA($A1482:$J1482)&gt;0,OR(클레임조회!$C$4="",AND(ISNUMBER($B1482),$B1482&gt;=클레임조회!$C$4)),OR(클레임조회!$C$5="",AND(ISNUMBER($B1482),$B1482&lt;=클레임조회!$C$5)),OR(클레임조회!$C$6="",$C1482=클레임조회!$C$6),OR(클레임조회!$C$7="",$D1482=클레임조회!$C$7),OR(클레임조회!$C$8="",$E1482=클레임조회!$C$8),OR(클레임조회!$C$9="",$F1482=클레임조회!$C$9),OR(클레임조회!$C$10="",ISNUMBER(SEARCH(클레임조회!$C$10,$C1482&amp;" "&amp;$F1482&amp;" "&amp;$G1482&amp;" "&amp;$H1482)))),COUNT(O$1:O1481)+1,"")</f>
        <v/>
      </c>
      <c r="P1482" s="0" t="str">
        <f aca="false">IF(AND(TRIM(C1482)&lt;&gt;"",COUNTIF(C$2:C1482,C1482)=1),MAX(P$1:P1481)+1,"")</f>
        <v/>
      </c>
      <c r="Q1482" s="0" t="str">
        <f aca="false">IF(AND(TRIM(F1482)&lt;&gt;"",COUNTIF(F$2:F1482,F1482)=1),MAX(Q$1:Q1481)+1,"")</f>
        <v/>
      </c>
    </row>
    <row r="1483" customFormat="false" ht="15" hidden="false" customHeight="false" outlineLevel="0" collapsed="false">
      <c r="A1483" s="9"/>
      <c r="B1483" s="10"/>
      <c r="C1483" s="11"/>
      <c r="D1483" s="11"/>
      <c r="E1483" s="11"/>
      <c r="F1483" s="11"/>
      <c r="G1483" s="12"/>
      <c r="H1483" s="12"/>
      <c r="I1483" s="10"/>
      <c r="J1483" s="12"/>
      <c r="K1483" s="13" t="str">
        <f aca="false">IF(ISNUMBER(B1483),YEAR(B1483),"")</f>
        <v/>
      </c>
      <c r="L1483" s="13" t="str">
        <f aca="false">IF(ISNUMBER(B1483),MONTH(B1483),"")</f>
        <v/>
      </c>
      <c r="M1483" s="13" t="str">
        <f aca="false">IF(AND(ISNUMBER(B1483),ISNUMBER(I1483)),B1483-I1483+1,"")</f>
        <v/>
      </c>
      <c r="N1483" s="14" t="str">
        <f aca="false">IF(B1483="","",IF(M1483="","시작일 미입력",IF(M1483&lt;1,"시작일 이전(확인)",IF(M1483=1,"1일째",IF(M1483=2,"2일째",IF(M1483=3,"3일째",IF(M1483&lt;=7,"일주일 이내",IF(M1483&lt;=14,"이주일 이내","15일 이후"))))))))</f>
        <v/>
      </c>
      <c r="O1483" s="0" t="str">
        <f aca="false">IF(AND(COUNTA($A1483:$J1483)&gt;0,OR(클레임조회!$C$4="",AND(ISNUMBER($B1483),$B1483&gt;=클레임조회!$C$4)),OR(클레임조회!$C$5="",AND(ISNUMBER($B1483),$B1483&lt;=클레임조회!$C$5)),OR(클레임조회!$C$6="",$C1483=클레임조회!$C$6),OR(클레임조회!$C$7="",$D1483=클레임조회!$C$7),OR(클레임조회!$C$8="",$E1483=클레임조회!$C$8),OR(클레임조회!$C$9="",$F1483=클레임조회!$C$9),OR(클레임조회!$C$10="",ISNUMBER(SEARCH(클레임조회!$C$10,$C1483&amp;" "&amp;$F1483&amp;" "&amp;$G1483&amp;" "&amp;$H1483)))),COUNT(O$1:O1482)+1,"")</f>
        <v/>
      </c>
      <c r="P1483" s="0" t="str">
        <f aca="false">IF(AND(TRIM(C1483)&lt;&gt;"",COUNTIF(C$2:C1483,C1483)=1),MAX(P$1:P1482)+1,"")</f>
        <v/>
      </c>
      <c r="Q1483" s="0" t="str">
        <f aca="false">IF(AND(TRIM(F1483)&lt;&gt;"",COUNTIF(F$2:F1483,F1483)=1),MAX(Q$1:Q1482)+1,"")</f>
        <v/>
      </c>
    </row>
    <row r="1484" customFormat="false" ht="15" hidden="false" customHeight="false" outlineLevel="0" collapsed="false">
      <c r="A1484" s="9"/>
      <c r="B1484" s="10"/>
      <c r="C1484" s="11"/>
      <c r="D1484" s="11"/>
      <c r="E1484" s="11"/>
      <c r="F1484" s="11"/>
      <c r="G1484" s="12"/>
      <c r="H1484" s="12"/>
      <c r="I1484" s="10"/>
      <c r="J1484" s="12"/>
      <c r="K1484" s="13" t="str">
        <f aca="false">IF(ISNUMBER(B1484),YEAR(B1484),"")</f>
        <v/>
      </c>
      <c r="L1484" s="13" t="str">
        <f aca="false">IF(ISNUMBER(B1484),MONTH(B1484),"")</f>
        <v/>
      </c>
      <c r="M1484" s="13" t="str">
        <f aca="false">IF(AND(ISNUMBER(B1484),ISNUMBER(I1484)),B1484-I1484+1,"")</f>
        <v/>
      </c>
      <c r="N1484" s="14" t="str">
        <f aca="false">IF(B1484="","",IF(M1484="","시작일 미입력",IF(M1484&lt;1,"시작일 이전(확인)",IF(M1484=1,"1일째",IF(M1484=2,"2일째",IF(M1484=3,"3일째",IF(M1484&lt;=7,"일주일 이내",IF(M1484&lt;=14,"이주일 이내","15일 이후"))))))))</f>
        <v/>
      </c>
      <c r="O1484" s="0" t="str">
        <f aca="false">IF(AND(COUNTA($A1484:$J1484)&gt;0,OR(클레임조회!$C$4="",AND(ISNUMBER($B1484),$B1484&gt;=클레임조회!$C$4)),OR(클레임조회!$C$5="",AND(ISNUMBER($B1484),$B1484&lt;=클레임조회!$C$5)),OR(클레임조회!$C$6="",$C1484=클레임조회!$C$6),OR(클레임조회!$C$7="",$D1484=클레임조회!$C$7),OR(클레임조회!$C$8="",$E1484=클레임조회!$C$8),OR(클레임조회!$C$9="",$F1484=클레임조회!$C$9),OR(클레임조회!$C$10="",ISNUMBER(SEARCH(클레임조회!$C$10,$C1484&amp;" "&amp;$F1484&amp;" "&amp;$G1484&amp;" "&amp;$H1484)))),COUNT(O$1:O1483)+1,"")</f>
        <v/>
      </c>
      <c r="P1484" s="0" t="str">
        <f aca="false">IF(AND(TRIM(C1484)&lt;&gt;"",COUNTIF(C$2:C1484,C1484)=1),MAX(P$1:P1483)+1,"")</f>
        <v/>
      </c>
      <c r="Q1484" s="0" t="str">
        <f aca="false">IF(AND(TRIM(F1484)&lt;&gt;"",COUNTIF(F$2:F1484,F1484)=1),MAX(Q$1:Q1483)+1,"")</f>
        <v/>
      </c>
    </row>
    <row r="1485" customFormat="false" ht="15" hidden="false" customHeight="false" outlineLevel="0" collapsed="false">
      <c r="A1485" s="9"/>
      <c r="B1485" s="10"/>
      <c r="C1485" s="11"/>
      <c r="D1485" s="11"/>
      <c r="E1485" s="11"/>
      <c r="F1485" s="11"/>
      <c r="G1485" s="12"/>
      <c r="H1485" s="12"/>
      <c r="I1485" s="10"/>
      <c r="J1485" s="12"/>
      <c r="K1485" s="13" t="str">
        <f aca="false">IF(ISNUMBER(B1485),YEAR(B1485),"")</f>
        <v/>
      </c>
      <c r="L1485" s="13" t="str">
        <f aca="false">IF(ISNUMBER(B1485),MONTH(B1485),"")</f>
        <v/>
      </c>
      <c r="M1485" s="13" t="str">
        <f aca="false">IF(AND(ISNUMBER(B1485),ISNUMBER(I1485)),B1485-I1485+1,"")</f>
        <v/>
      </c>
      <c r="N1485" s="14" t="str">
        <f aca="false">IF(B1485="","",IF(M1485="","시작일 미입력",IF(M1485&lt;1,"시작일 이전(확인)",IF(M1485=1,"1일째",IF(M1485=2,"2일째",IF(M1485=3,"3일째",IF(M1485&lt;=7,"일주일 이내",IF(M1485&lt;=14,"이주일 이내","15일 이후"))))))))</f>
        <v/>
      </c>
      <c r="O1485" s="0" t="str">
        <f aca="false">IF(AND(COUNTA($A1485:$J1485)&gt;0,OR(클레임조회!$C$4="",AND(ISNUMBER($B1485),$B1485&gt;=클레임조회!$C$4)),OR(클레임조회!$C$5="",AND(ISNUMBER($B1485),$B1485&lt;=클레임조회!$C$5)),OR(클레임조회!$C$6="",$C1485=클레임조회!$C$6),OR(클레임조회!$C$7="",$D1485=클레임조회!$C$7),OR(클레임조회!$C$8="",$E1485=클레임조회!$C$8),OR(클레임조회!$C$9="",$F1485=클레임조회!$C$9),OR(클레임조회!$C$10="",ISNUMBER(SEARCH(클레임조회!$C$10,$C1485&amp;" "&amp;$F1485&amp;" "&amp;$G1485&amp;" "&amp;$H1485)))),COUNT(O$1:O1484)+1,"")</f>
        <v/>
      </c>
      <c r="P1485" s="0" t="str">
        <f aca="false">IF(AND(TRIM(C1485)&lt;&gt;"",COUNTIF(C$2:C1485,C1485)=1),MAX(P$1:P1484)+1,"")</f>
        <v/>
      </c>
      <c r="Q1485" s="0" t="str">
        <f aca="false">IF(AND(TRIM(F1485)&lt;&gt;"",COUNTIF(F$2:F1485,F1485)=1),MAX(Q$1:Q1484)+1,"")</f>
        <v/>
      </c>
    </row>
    <row r="1486" customFormat="false" ht="15" hidden="false" customHeight="false" outlineLevel="0" collapsed="false">
      <c r="A1486" s="9"/>
      <c r="B1486" s="10"/>
      <c r="C1486" s="11"/>
      <c r="D1486" s="11"/>
      <c r="E1486" s="11"/>
      <c r="F1486" s="11"/>
      <c r="G1486" s="12"/>
      <c r="H1486" s="12"/>
      <c r="I1486" s="10"/>
      <c r="J1486" s="12"/>
      <c r="K1486" s="13" t="str">
        <f aca="false">IF(ISNUMBER(B1486),YEAR(B1486),"")</f>
        <v/>
      </c>
      <c r="L1486" s="13" t="str">
        <f aca="false">IF(ISNUMBER(B1486),MONTH(B1486),"")</f>
        <v/>
      </c>
      <c r="M1486" s="13" t="str">
        <f aca="false">IF(AND(ISNUMBER(B1486),ISNUMBER(I1486)),B1486-I1486+1,"")</f>
        <v/>
      </c>
      <c r="N1486" s="14" t="str">
        <f aca="false">IF(B1486="","",IF(M1486="","시작일 미입력",IF(M1486&lt;1,"시작일 이전(확인)",IF(M1486=1,"1일째",IF(M1486=2,"2일째",IF(M1486=3,"3일째",IF(M1486&lt;=7,"일주일 이내",IF(M1486&lt;=14,"이주일 이내","15일 이후"))))))))</f>
        <v/>
      </c>
      <c r="O1486" s="0" t="str">
        <f aca="false">IF(AND(COUNTA($A1486:$J1486)&gt;0,OR(클레임조회!$C$4="",AND(ISNUMBER($B1486),$B1486&gt;=클레임조회!$C$4)),OR(클레임조회!$C$5="",AND(ISNUMBER($B1486),$B1486&lt;=클레임조회!$C$5)),OR(클레임조회!$C$6="",$C1486=클레임조회!$C$6),OR(클레임조회!$C$7="",$D1486=클레임조회!$C$7),OR(클레임조회!$C$8="",$E1486=클레임조회!$C$8),OR(클레임조회!$C$9="",$F1486=클레임조회!$C$9),OR(클레임조회!$C$10="",ISNUMBER(SEARCH(클레임조회!$C$10,$C1486&amp;" "&amp;$F1486&amp;" "&amp;$G1486&amp;" "&amp;$H1486)))),COUNT(O$1:O1485)+1,"")</f>
        <v/>
      </c>
      <c r="P1486" s="0" t="str">
        <f aca="false">IF(AND(TRIM(C1486)&lt;&gt;"",COUNTIF(C$2:C1486,C1486)=1),MAX(P$1:P1485)+1,"")</f>
        <v/>
      </c>
      <c r="Q1486" s="0" t="str">
        <f aca="false">IF(AND(TRIM(F1486)&lt;&gt;"",COUNTIF(F$2:F1486,F1486)=1),MAX(Q$1:Q1485)+1,"")</f>
        <v/>
      </c>
    </row>
    <row r="1487" customFormat="false" ht="15" hidden="false" customHeight="false" outlineLevel="0" collapsed="false">
      <c r="A1487" s="9"/>
      <c r="B1487" s="10"/>
      <c r="C1487" s="11"/>
      <c r="D1487" s="11"/>
      <c r="E1487" s="11"/>
      <c r="F1487" s="11"/>
      <c r="G1487" s="12"/>
      <c r="H1487" s="12"/>
      <c r="I1487" s="10"/>
      <c r="J1487" s="12"/>
      <c r="K1487" s="13" t="str">
        <f aca="false">IF(ISNUMBER(B1487),YEAR(B1487),"")</f>
        <v/>
      </c>
      <c r="L1487" s="13" t="str">
        <f aca="false">IF(ISNUMBER(B1487),MONTH(B1487),"")</f>
        <v/>
      </c>
      <c r="M1487" s="13" t="str">
        <f aca="false">IF(AND(ISNUMBER(B1487),ISNUMBER(I1487)),B1487-I1487+1,"")</f>
        <v/>
      </c>
      <c r="N1487" s="14" t="str">
        <f aca="false">IF(B1487="","",IF(M1487="","시작일 미입력",IF(M1487&lt;1,"시작일 이전(확인)",IF(M1487=1,"1일째",IF(M1487=2,"2일째",IF(M1487=3,"3일째",IF(M1487&lt;=7,"일주일 이내",IF(M1487&lt;=14,"이주일 이내","15일 이후"))))))))</f>
        <v/>
      </c>
      <c r="O1487" s="0" t="str">
        <f aca="false">IF(AND(COUNTA($A1487:$J1487)&gt;0,OR(클레임조회!$C$4="",AND(ISNUMBER($B1487),$B1487&gt;=클레임조회!$C$4)),OR(클레임조회!$C$5="",AND(ISNUMBER($B1487),$B1487&lt;=클레임조회!$C$5)),OR(클레임조회!$C$6="",$C1487=클레임조회!$C$6),OR(클레임조회!$C$7="",$D1487=클레임조회!$C$7),OR(클레임조회!$C$8="",$E1487=클레임조회!$C$8),OR(클레임조회!$C$9="",$F1487=클레임조회!$C$9),OR(클레임조회!$C$10="",ISNUMBER(SEARCH(클레임조회!$C$10,$C1487&amp;" "&amp;$F1487&amp;" "&amp;$G1487&amp;" "&amp;$H1487)))),COUNT(O$1:O1486)+1,"")</f>
        <v/>
      </c>
      <c r="P1487" s="0" t="str">
        <f aca="false">IF(AND(TRIM(C1487)&lt;&gt;"",COUNTIF(C$2:C1487,C1487)=1),MAX(P$1:P1486)+1,"")</f>
        <v/>
      </c>
      <c r="Q1487" s="0" t="str">
        <f aca="false">IF(AND(TRIM(F1487)&lt;&gt;"",COUNTIF(F$2:F1487,F1487)=1),MAX(Q$1:Q1486)+1,"")</f>
        <v/>
      </c>
    </row>
    <row r="1488" customFormat="false" ht="15" hidden="false" customHeight="false" outlineLevel="0" collapsed="false">
      <c r="A1488" s="9"/>
      <c r="B1488" s="10"/>
      <c r="C1488" s="11"/>
      <c r="D1488" s="11"/>
      <c r="E1488" s="11"/>
      <c r="F1488" s="11"/>
      <c r="G1488" s="12"/>
      <c r="H1488" s="12"/>
      <c r="I1488" s="10"/>
      <c r="J1488" s="12"/>
      <c r="K1488" s="13" t="str">
        <f aca="false">IF(ISNUMBER(B1488),YEAR(B1488),"")</f>
        <v/>
      </c>
      <c r="L1488" s="13" t="str">
        <f aca="false">IF(ISNUMBER(B1488),MONTH(B1488),"")</f>
        <v/>
      </c>
      <c r="M1488" s="13" t="str">
        <f aca="false">IF(AND(ISNUMBER(B1488),ISNUMBER(I1488)),B1488-I1488+1,"")</f>
        <v/>
      </c>
      <c r="N1488" s="14" t="str">
        <f aca="false">IF(B1488="","",IF(M1488="","시작일 미입력",IF(M1488&lt;1,"시작일 이전(확인)",IF(M1488=1,"1일째",IF(M1488=2,"2일째",IF(M1488=3,"3일째",IF(M1488&lt;=7,"일주일 이내",IF(M1488&lt;=14,"이주일 이내","15일 이후"))))))))</f>
        <v/>
      </c>
      <c r="O1488" s="0" t="str">
        <f aca="false">IF(AND(COUNTA($A1488:$J1488)&gt;0,OR(클레임조회!$C$4="",AND(ISNUMBER($B1488),$B1488&gt;=클레임조회!$C$4)),OR(클레임조회!$C$5="",AND(ISNUMBER($B1488),$B1488&lt;=클레임조회!$C$5)),OR(클레임조회!$C$6="",$C1488=클레임조회!$C$6),OR(클레임조회!$C$7="",$D1488=클레임조회!$C$7),OR(클레임조회!$C$8="",$E1488=클레임조회!$C$8),OR(클레임조회!$C$9="",$F1488=클레임조회!$C$9),OR(클레임조회!$C$10="",ISNUMBER(SEARCH(클레임조회!$C$10,$C1488&amp;" "&amp;$F1488&amp;" "&amp;$G1488&amp;" "&amp;$H1488)))),COUNT(O$1:O1487)+1,"")</f>
        <v/>
      </c>
      <c r="P1488" s="0" t="str">
        <f aca="false">IF(AND(TRIM(C1488)&lt;&gt;"",COUNTIF(C$2:C1488,C1488)=1),MAX(P$1:P1487)+1,"")</f>
        <v/>
      </c>
      <c r="Q1488" s="0" t="str">
        <f aca="false">IF(AND(TRIM(F1488)&lt;&gt;"",COUNTIF(F$2:F1488,F1488)=1),MAX(Q$1:Q1487)+1,"")</f>
        <v/>
      </c>
    </row>
    <row r="1489" customFormat="false" ht="15" hidden="false" customHeight="false" outlineLevel="0" collapsed="false">
      <c r="A1489" s="9"/>
      <c r="B1489" s="10"/>
      <c r="C1489" s="11"/>
      <c r="D1489" s="11"/>
      <c r="E1489" s="11"/>
      <c r="F1489" s="11"/>
      <c r="G1489" s="12"/>
      <c r="H1489" s="12"/>
      <c r="I1489" s="10"/>
      <c r="J1489" s="12"/>
      <c r="K1489" s="13" t="str">
        <f aca="false">IF(ISNUMBER(B1489),YEAR(B1489),"")</f>
        <v/>
      </c>
      <c r="L1489" s="13" t="str">
        <f aca="false">IF(ISNUMBER(B1489),MONTH(B1489),"")</f>
        <v/>
      </c>
      <c r="M1489" s="13" t="str">
        <f aca="false">IF(AND(ISNUMBER(B1489),ISNUMBER(I1489)),B1489-I1489+1,"")</f>
        <v/>
      </c>
      <c r="N1489" s="14" t="str">
        <f aca="false">IF(B1489="","",IF(M1489="","시작일 미입력",IF(M1489&lt;1,"시작일 이전(확인)",IF(M1489=1,"1일째",IF(M1489=2,"2일째",IF(M1489=3,"3일째",IF(M1489&lt;=7,"일주일 이내",IF(M1489&lt;=14,"이주일 이내","15일 이후"))))))))</f>
        <v/>
      </c>
      <c r="O1489" s="0" t="str">
        <f aca="false">IF(AND(COUNTA($A1489:$J1489)&gt;0,OR(클레임조회!$C$4="",AND(ISNUMBER($B1489),$B1489&gt;=클레임조회!$C$4)),OR(클레임조회!$C$5="",AND(ISNUMBER($B1489),$B1489&lt;=클레임조회!$C$5)),OR(클레임조회!$C$6="",$C1489=클레임조회!$C$6),OR(클레임조회!$C$7="",$D1489=클레임조회!$C$7),OR(클레임조회!$C$8="",$E1489=클레임조회!$C$8),OR(클레임조회!$C$9="",$F1489=클레임조회!$C$9),OR(클레임조회!$C$10="",ISNUMBER(SEARCH(클레임조회!$C$10,$C1489&amp;" "&amp;$F1489&amp;" "&amp;$G1489&amp;" "&amp;$H1489)))),COUNT(O$1:O1488)+1,"")</f>
        <v/>
      </c>
      <c r="P1489" s="0" t="str">
        <f aca="false">IF(AND(TRIM(C1489)&lt;&gt;"",COUNTIF(C$2:C1489,C1489)=1),MAX(P$1:P1488)+1,"")</f>
        <v/>
      </c>
      <c r="Q1489" s="0" t="str">
        <f aca="false">IF(AND(TRIM(F1489)&lt;&gt;"",COUNTIF(F$2:F1489,F1489)=1),MAX(Q$1:Q1488)+1,"")</f>
        <v/>
      </c>
    </row>
    <row r="1490" customFormat="false" ht="15" hidden="false" customHeight="false" outlineLevel="0" collapsed="false">
      <c r="A1490" s="9"/>
      <c r="B1490" s="10"/>
      <c r="C1490" s="11"/>
      <c r="D1490" s="11"/>
      <c r="E1490" s="11"/>
      <c r="F1490" s="11"/>
      <c r="G1490" s="12"/>
      <c r="H1490" s="12"/>
      <c r="I1490" s="10"/>
      <c r="J1490" s="12"/>
      <c r="K1490" s="13" t="str">
        <f aca="false">IF(ISNUMBER(B1490),YEAR(B1490),"")</f>
        <v/>
      </c>
      <c r="L1490" s="13" t="str">
        <f aca="false">IF(ISNUMBER(B1490),MONTH(B1490),"")</f>
        <v/>
      </c>
      <c r="M1490" s="13" t="str">
        <f aca="false">IF(AND(ISNUMBER(B1490),ISNUMBER(I1490)),B1490-I1490+1,"")</f>
        <v/>
      </c>
      <c r="N1490" s="14" t="str">
        <f aca="false">IF(B1490="","",IF(M1490="","시작일 미입력",IF(M1490&lt;1,"시작일 이전(확인)",IF(M1490=1,"1일째",IF(M1490=2,"2일째",IF(M1490=3,"3일째",IF(M1490&lt;=7,"일주일 이내",IF(M1490&lt;=14,"이주일 이내","15일 이후"))))))))</f>
        <v/>
      </c>
      <c r="O1490" s="0" t="str">
        <f aca="false">IF(AND(COUNTA($A1490:$J1490)&gt;0,OR(클레임조회!$C$4="",AND(ISNUMBER($B1490),$B1490&gt;=클레임조회!$C$4)),OR(클레임조회!$C$5="",AND(ISNUMBER($B1490),$B1490&lt;=클레임조회!$C$5)),OR(클레임조회!$C$6="",$C1490=클레임조회!$C$6),OR(클레임조회!$C$7="",$D1490=클레임조회!$C$7),OR(클레임조회!$C$8="",$E1490=클레임조회!$C$8),OR(클레임조회!$C$9="",$F1490=클레임조회!$C$9),OR(클레임조회!$C$10="",ISNUMBER(SEARCH(클레임조회!$C$10,$C1490&amp;" "&amp;$F1490&amp;" "&amp;$G1490&amp;" "&amp;$H1490)))),COUNT(O$1:O1489)+1,"")</f>
        <v/>
      </c>
      <c r="P1490" s="0" t="str">
        <f aca="false">IF(AND(TRIM(C1490)&lt;&gt;"",COUNTIF(C$2:C1490,C1490)=1),MAX(P$1:P1489)+1,"")</f>
        <v/>
      </c>
      <c r="Q1490" s="0" t="str">
        <f aca="false">IF(AND(TRIM(F1490)&lt;&gt;"",COUNTIF(F$2:F1490,F1490)=1),MAX(Q$1:Q1489)+1,"")</f>
        <v/>
      </c>
    </row>
    <row r="1491" customFormat="false" ht="15" hidden="false" customHeight="false" outlineLevel="0" collapsed="false">
      <c r="A1491" s="9"/>
      <c r="B1491" s="10"/>
      <c r="C1491" s="11"/>
      <c r="D1491" s="11"/>
      <c r="E1491" s="11"/>
      <c r="F1491" s="11"/>
      <c r="G1491" s="12"/>
      <c r="H1491" s="12"/>
      <c r="I1491" s="10"/>
      <c r="J1491" s="12"/>
      <c r="K1491" s="13" t="str">
        <f aca="false">IF(ISNUMBER(B1491),YEAR(B1491),"")</f>
        <v/>
      </c>
      <c r="L1491" s="13" t="str">
        <f aca="false">IF(ISNUMBER(B1491),MONTH(B1491),"")</f>
        <v/>
      </c>
      <c r="M1491" s="13" t="str">
        <f aca="false">IF(AND(ISNUMBER(B1491),ISNUMBER(I1491)),B1491-I1491+1,"")</f>
        <v/>
      </c>
      <c r="N1491" s="14" t="str">
        <f aca="false">IF(B1491="","",IF(M1491="","시작일 미입력",IF(M1491&lt;1,"시작일 이전(확인)",IF(M1491=1,"1일째",IF(M1491=2,"2일째",IF(M1491=3,"3일째",IF(M1491&lt;=7,"일주일 이내",IF(M1491&lt;=14,"이주일 이내","15일 이후"))))))))</f>
        <v/>
      </c>
      <c r="O1491" s="0" t="str">
        <f aca="false">IF(AND(COUNTA($A1491:$J1491)&gt;0,OR(클레임조회!$C$4="",AND(ISNUMBER($B1491),$B1491&gt;=클레임조회!$C$4)),OR(클레임조회!$C$5="",AND(ISNUMBER($B1491),$B1491&lt;=클레임조회!$C$5)),OR(클레임조회!$C$6="",$C1491=클레임조회!$C$6),OR(클레임조회!$C$7="",$D1491=클레임조회!$C$7),OR(클레임조회!$C$8="",$E1491=클레임조회!$C$8),OR(클레임조회!$C$9="",$F1491=클레임조회!$C$9),OR(클레임조회!$C$10="",ISNUMBER(SEARCH(클레임조회!$C$10,$C1491&amp;" "&amp;$F1491&amp;" "&amp;$G1491&amp;" "&amp;$H1491)))),COUNT(O$1:O1490)+1,"")</f>
        <v/>
      </c>
      <c r="P1491" s="0" t="str">
        <f aca="false">IF(AND(TRIM(C1491)&lt;&gt;"",COUNTIF(C$2:C1491,C1491)=1),MAX(P$1:P1490)+1,"")</f>
        <v/>
      </c>
      <c r="Q1491" s="0" t="str">
        <f aca="false">IF(AND(TRIM(F1491)&lt;&gt;"",COUNTIF(F$2:F1491,F1491)=1),MAX(Q$1:Q1490)+1,"")</f>
        <v/>
      </c>
    </row>
    <row r="1492" customFormat="false" ht="15" hidden="false" customHeight="false" outlineLevel="0" collapsed="false">
      <c r="A1492" s="9"/>
      <c r="B1492" s="10"/>
      <c r="C1492" s="11"/>
      <c r="D1492" s="11"/>
      <c r="E1492" s="11"/>
      <c r="F1492" s="11"/>
      <c r="G1492" s="12"/>
      <c r="H1492" s="12"/>
      <c r="I1492" s="10"/>
      <c r="J1492" s="12"/>
      <c r="K1492" s="13" t="str">
        <f aca="false">IF(ISNUMBER(B1492),YEAR(B1492),"")</f>
        <v/>
      </c>
      <c r="L1492" s="13" t="str">
        <f aca="false">IF(ISNUMBER(B1492),MONTH(B1492),"")</f>
        <v/>
      </c>
      <c r="M1492" s="13" t="str">
        <f aca="false">IF(AND(ISNUMBER(B1492),ISNUMBER(I1492)),B1492-I1492+1,"")</f>
        <v/>
      </c>
      <c r="N1492" s="14" t="str">
        <f aca="false">IF(B1492="","",IF(M1492="","시작일 미입력",IF(M1492&lt;1,"시작일 이전(확인)",IF(M1492=1,"1일째",IF(M1492=2,"2일째",IF(M1492=3,"3일째",IF(M1492&lt;=7,"일주일 이내",IF(M1492&lt;=14,"이주일 이내","15일 이후"))))))))</f>
        <v/>
      </c>
      <c r="O1492" s="0" t="str">
        <f aca="false">IF(AND(COUNTA($A1492:$J1492)&gt;0,OR(클레임조회!$C$4="",AND(ISNUMBER($B1492),$B1492&gt;=클레임조회!$C$4)),OR(클레임조회!$C$5="",AND(ISNUMBER($B1492),$B1492&lt;=클레임조회!$C$5)),OR(클레임조회!$C$6="",$C1492=클레임조회!$C$6),OR(클레임조회!$C$7="",$D1492=클레임조회!$C$7),OR(클레임조회!$C$8="",$E1492=클레임조회!$C$8),OR(클레임조회!$C$9="",$F1492=클레임조회!$C$9),OR(클레임조회!$C$10="",ISNUMBER(SEARCH(클레임조회!$C$10,$C1492&amp;" "&amp;$F1492&amp;" "&amp;$G1492&amp;" "&amp;$H1492)))),COUNT(O$1:O1491)+1,"")</f>
        <v/>
      </c>
      <c r="P1492" s="0" t="str">
        <f aca="false">IF(AND(TRIM(C1492)&lt;&gt;"",COUNTIF(C$2:C1492,C1492)=1),MAX(P$1:P1491)+1,"")</f>
        <v/>
      </c>
      <c r="Q1492" s="0" t="str">
        <f aca="false">IF(AND(TRIM(F1492)&lt;&gt;"",COUNTIF(F$2:F1492,F1492)=1),MAX(Q$1:Q1491)+1,"")</f>
        <v/>
      </c>
    </row>
    <row r="1493" customFormat="false" ht="15" hidden="false" customHeight="false" outlineLevel="0" collapsed="false">
      <c r="A1493" s="9"/>
      <c r="B1493" s="10"/>
      <c r="C1493" s="11"/>
      <c r="D1493" s="11"/>
      <c r="E1493" s="11"/>
      <c r="F1493" s="11"/>
      <c r="G1493" s="12"/>
      <c r="H1493" s="12"/>
      <c r="I1493" s="10"/>
      <c r="J1493" s="12"/>
      <c r="K1493" s="13" t="str">
        <f aca="false">IF(ISNUMBER(B1493),YEAR(B1493),"")</f>
        <v/>
      </c>
      <c r="L1493" s="13" t="str">
        <f aca="false">IF(ISNUMBER(B1493),MONTH(B1493),"")</f>
        <v/>
      </c>
      <c r="M1493" s="13" t="str">
        <f aca="false">IF(AND(ISNUMBER(B1493),ISNUMBER(I1493)),B1493-I1493+1,"")</f>
        <v/>
      </c>
      <c r="N1493" s="14" t="str">
        <f aca="false">IF(B1493="","",IF(M1493="","시작일 미입력",IF(M1493&lt;1,"시작일 이전(확인)",IF(M1493=1,"1일째",IF(M1493=2,"2일째",IF(M1493=3,"3일째",IF(M1493&lt;=7,"일주일 이내",IF(M1493&lt;=14,"이주일 이내","15일 이후"))))))))</f>
        <v/>
      </c>
      <c r="O1493" s="0" t="str">
        <f aca="false">IF(AND(COUNTA($A1493:$J1493)&gt;0,OR(클레임조회!$C$4="",AND(ISNUMBER($B1493),$B1493&gt;=클레임조회!$C$4)),OR(클레임조회!$C$5="",AND(ISNUMBER($B1493),$B1493&lt;=클레임조회!$C$5)),OR(클레임조회!$C$6="",$C1493=클레임조회!$C$6),OR(클레임조회!$C$7="",$D1493=클레임조회!$C$7),OR(클레임조회!$C$8="",$E1493=클레임조회!$C$8),OR(클레임조회!$C$9="",$F1493=클레임조회!$C$9),OR(클레임조회!$C$10="",ISNUMBER(SEARCH(클레임조회!$C$10,$C1493&amp;" "&amp;$F1493&amp;" "&amp;$G1493&amp;" "&amp;$H1493)))),COUNT(O$1:O1492)+1,"")</f>
        <v/>
      </c>
      <c r="P1493" s="0" t="str">
        <f aca="false">IF(AND(TRIM(C1493)&lt;&gt;"",COUNTIF(C$2:C1493,C1493)=1),MAX(P$1:P1492)+1,"")</f>
        <v/>
      </c>
      <c r="Q1493" s="0" t="str">
        <f aca="false">IF(AND(TRIM(F1493)&lt;&gt;"",COUNTIF(F$2:F1493,F1493)=1),MAX(Q$1:Q1492)+1,"")</f>
        <v/>
      </c>
    </row>
    <row r="1494" customFormat="false" ht="15" hidden="false" customHeight="false" outlineLevel="0" collapsed="false">
      <c r="A1494" s="9"/>
      <c r="B1494" s="10"/>
      <c r="C1494" s="11"/>
      <c r="D1494" s="11"/>
      <c r="E1494" s="11"/>
      <c r="F1494" s="11"/>
      <c r="G1494" s="12"/>
      <c r="H1494" s="12"/>
      <c r="I1494" s="10"/>
      <c r="J1494" s="12"/>
      <c r="K1494" s="13" t="str">
        <f aca="false">IF(ISNUMBER(B1494),YEAR(B1494),"")</f>
        <v/>
      </c>
      <c r="L1494" s="13" t="str">
        <f aca="false">IF(ISNUMBER(B1494),MONTH(B1494),"")</f>
        <v/>
      </c>
      <c r="M1494" s="13" t="str">
        <f aca="false">IF(AND(ISNUMBER(B1494),ISNUMBER(I1494)),B1494-I1494+1,"")</f>
        <v/>
      </c>
      <c r="N1494" s="14" t="str">
        <f aca="false">IF(B1494="","",IF(M1494="","시작일 미입력",IF(M1494&lt;1,"시작일 이전(확인)",IF(M1494=1,"1일째",IF(M1494=2,"2일째",IF(M1494=3,"3일째",IF(M1494&lt;=7,"일주일 이내",IF(M1494&lt;=14,"이주일 이내","15일 이후"))))))))</f>
        <v/>
      </c>
      <c r="O1494" s="0" t="str">
        <f aca="false">IF(AND(COUNTA($A1494:$J1494)&gt;0,OR(클레임조회!$C$4="",AND(ISNUMBER($B1494),$B1494&gt;=클레임조회!$C$4)),OR(클레임조회!$C$5="",AND(ISNUMBER($B1494),$B1494&lt;=클레임조회!$C$5)),OR(클레임조회!$C$6="",$C1494=클레임조회!$C$6),OR(클레임조회!$C$7="",$D1494=클레임조회!$C$7),OR(클레임조회!$C$8="",$E1494=클레임조회!$C$8),OR(클레임조회!$C$9="",$F1494=클레임조회!$C$9),OR(클레임조회!$C$10="",ISNUMBER(SEARCH(클레임조회!$C$10,$C1494&amp;" "&amp;$F1494&amp;" "&amp;$G1494&amp;" "&amp;$H1494)))),COUNT(O$1:O1493)+1,"")</f>
        <v/>
      </c>
      <c r="P1494" s="0" t="str">
        <f aca="false">IF(AND(TRIM(C1494)&lt;&gt;"",COUNTIF(C$2:C1494,C1494)=1),MAX(P$1:P1493)+1,"")</f>
        <v/>
      </c>
      <c r="Q1494" s="0" t="str">
        <f aca="false">IF(AND(TRIM(F1494)&lt;&gt;"",COUNTIF(F$2:F1494,F1494)=1),MAX(Q$1:Q1493)+1,"")</f>
        <v/>
      </c>
    </row>
    <row r="1495" customFormat="false" ht="15" hidden="false" customHeight="false" outlineLevel="0" collapsed="false">
      <c r="A1495" s="9"/>
      <c r="B1495" s="10"/>
      <c r="C1495" s="11"/>
      <c r="D1495" s="11"/>
      <c r="E1495" s="11"/>
      <c r="F1495" s="11"/>
      <c r="G1495" s="12"/>
      <c r="H1495" s="12"/>
      <c r="I1495" s="10"/>
      <c r="J1495" s="12"/>
      <c r="K1495" s="13" t="str">
        <f aca="false">IF(ISNUMBER(B1495),YEAR(B1495),"")</f>
        <v/>
      </c>
      <c r="L1495" s="13" t="str">
        <f aca="false">IF(ISNUMBER(B1495),MONTH(B1495),"")</f>
        <v/>
      </c>
      <c r="M1495" s="13" t="str">
        <f aca="false">IF(AND(ISNUMBER(B1495),ISNUMBER(I1495)),B1495-I1495+1,"")</f>
        <v/>
      </c>
      <c r="N1495" s="14" t="str">
        <f aca="false">IF(B1495="","",IF(M1495="","시작일 미입력",IF(M1495&lt;1,"시작일 이전(확인)",IF(M1495=1,"1일째",IF(M1495=2,"2일째",IF(M1495=3,"3일째",IF(M1495&lt;=7,"일주일 이내",IF(M1495&lt;=14,"이주일 이내","15일 이후"))))))))</f>
        <v/>
      </c>
      <c r="O1495" s="0" t="str">
        <f aca="false">IF(AND(COUNTA($A1495:$J1495)&gt;0,OR(클레임조회!$C$4="",AND(ISNUMBER($B1495),$B1495&gt;=클레임조회!$C$4)),OR(클레임조회!$C$5="",AND(ISNUMBER($B1495),$B1495&lt;=클레임조회!$C$5)),OR(클레임조회!$C$6="",$C1495=클레임조회!$C$6),OR(클레임조회!$C$7="",$D1495=클레임조회!$C$7),OR(클레임조회!$C$8="",$E1495=클레임조회!$C$8),OR(클레임조회!$C$9="",$F1495=클레임조회!$C$9),OR(클레임조회!$C$10="",ISNUMBER(SEARCH(클레임조회!$C$10,$C1495&amp;" "&amp;$F1495&amp;" "&amp;$G1495&amp;" "&amp;$H1495)))),COUNT(O$1:O1494)+1,"")</f>
        <v/>
      </c>
      <c r="P1495" s="0" t="str">
        <f aca="false">IF(AND(TRIM(C1495)&lt;&gt;"",COUNTIF(C$2:C1495,C1495)=1),MAX(P$1:P1494)+1,"")</f>
        <v/>
      </c>
      <c r="Q1495" s="0" t="str">
        <f aca="false">IF(AND(TRIM(F1495)&lt;&gt;"",COUNTIF(F$2:F1495,F1495)=1),MAX(Q$1:Q1494)+1,"")</f>
        <v/>
      </c>
    </row>
    <row r="1496" customFormat="false" ht="15" hidden="false" customHeight="false" outlineLevel="0" collapsed="false">
      <c r="A1496" s="9"/>
      <c r="B1496" s="10"/>
      <c r="C1496" s="11"/>
      <c r="D1496" s="11"/>
      <c r="E1496" s="11"/>
      <c r="F1496" s="11"/>
      <c r="G1496" s="12"/>
      <c r="H1496" s="12"/>
      <c r="I1496" s="10"/>
      <c r="J1496" s="12"/>
      <c r="K1496" s="13" t="str">
        <f aca="false">IF(ISNUMBER(B1496),YEAR(B1496),"")</f>
        <v/>
      </c>
      <c r="L1496" s="13" t="str">
        <f aca="false">IF(ISNUMBER(B1496),MONTH(B1496),"")</f>
        <v/>
      </c>
      <c r="M1496" s="13" t="str">
        <f aca="false">IF(AND(ISNUMBER(B1496),ISNUMBER(I1496)),B1496-I1496+1,"")</f>
        <v/>
      </c>
      <c r="N1496" s="14" t="str">
        <f aca="false">IF(B1496="","",IF(M1496="","시작일 미입력",IF(M1496&lt;1,"시작일 이전(확인)",IF(M1496=1,"1일째",IF(M1496=2,"2일째",IF(M1496=3,"3일째",IF(M1496&lt;=7,"일주일 이내",IF(M1496&lt;=14,"이주일 이내","15일 이후"))))))))</f>
        <v/>
      </c>
      <c r="O1496" s="0" t="str">
        <f aca="false">IF(AND(COUNTA($A1496:$J1496)&gt;0,OR(클레임조회!$C$4="",AND(ISNUMBER($B1496),$B1496&gt;=클레임조회!$C$4)),OR(클레임조회!$C$5="",AND(ISNUMBER($B1496),$B1496&lt;=클레임조회!$C$5)),OR(클레임조회!$C$6="",$C1496=클레임조회!$C$6),OR(클레임조회!$C$7="",$D1496=클레임조회!$C$7),OR(클레임조회!$C$8="",$E1496=클레임조회!$C$8),OR(클레임조회!$C$9="",$F1496=클레임조회!$C$9),OR(클레임조회!$C$10="",ISNUMBER(SEARCH(클레임조회!$C$10,$C1496&amp;" "&amp;$F1496&amp;" "&amp;$G1496&amp;" "&amp;$H1496)))),COUNT(O$1:O1495)+1,"")</f>
        <v/>
      </c>
      <c r="P1496" s="0" t="str">
        <f aca="false">IF(AND(TRIM(C1496)&lt;&gt;"",COUNTIF(C$2:C1496,C1496)=1),MAX(P$1:P1495)+1,"")</f>
        <v/>
      </c>
      <c r="Q1496" s="0" t="str">
        <f aca="false">IF(AND(TRIM(F1496)&lt;&gt;"",COUNTIF(F$2:F1496,F1496)=1),MAX(Q$1:Q1495)+1,"")</f>
        <v/>
      </c>
    </row>
    <row r="1497" customFormat="false" ht="15" hidden="false" customHeight="false" outlineLevel="0" collapsed="false">
      <c r="A1497" s="9"/>
      <c r="B1497" s="10"/>
      <c r="C1497" s="11"/>
      <c r="D1497" s="11"/>
      <c r="E1497" s="11"/>
      <c r="F1497" s="11"/>
      <c r="G1497" s="12"/>
      <c r="H1497" s="12"/>
      <c r="I1497" s="10"/>
      <c r="J1497" s="12"/>
      <c r="K1497" s="13" t="str">
        <f aca="false">IF(ISNUMBER(B1497),YEAR(B1497),"")</f>
        <v/>
      </c>
      <c r="L1497" s="13" t="str">
        <f aca="false">IF(ISNUMBER(B1497),MONTH(B1497),"")</f>
        <v/>
      </c>
      <c r="M1497" s="13" t="str">
        <f aca="false">IF(AND(ISNUMBER(B1497),ISNUMBER(I1497)),B1497-I1497+1,"")</f>
        <v/>
      </c>
      <c r="N1497" s="14" t="str">
        <f aca="false">IF(B1497="","",IF(M1497="","시작일 미입력",IF(M1497&lt;1,"시작일 이전(확인)",IF(M1497=1,"1일째",IF(M1497=2,"2일째",IF(M1497=3,"3일째",IF(M1497&lt;=7,"일주일 이내",IF(M1497&lt;=14,"이주일 이내","15일 이후"))))))))</f>
        <v/>
      </c>
      <c r="O1497" s="0" t="str">
        <f aca="false">IF(AND(COUNTA($A1497:$J1497)&gt;0,OR(클레임조회!$C$4="",AND(ISNUMBER($B1497),$B1497&gt;=클레임조회!$C$4)),OR(클레임조회!$C$5="",AND(ISNUMBER($B1497),$B1497&lt;=클레임조회!$C$5)),OR(클레임조회!$C$6="",$C1497=클레임조회!$C$6),OR(클레임조회!$C$7="",$D1497=클레임조회!$C$7),OR(클레임조회!$C$8="",$E1497=클레임조회!$C$8),OR(클레임조회!$C$9="",$F1497=클레임조회!$C$9),OR(클레임조회!$C$10="",ISNUMBER(SEARCH(클레임조회!$C$10,$C1497&amp;" "&amp;$F1497&amp;" "&amp;$G1497&amp;" "&amp;$H1497)))),COUNT(O$1:O1496)+1,"")</f>
        <v/>
      </c>
      <c r="P1497" s="0" t="str">
        <f aca="false">IF(AND(TRIM(C1497)&lt;&gt;"",COUNTIF(C$2:C1497,C1497)=1),MAX(P$1:P1496)+1,"")</f>
        <v/>
      </c>
      <c r="Q1497" s="0" t="str">
        <f aca="false">IF(AND(TRIM(F1497)&lt;&gt;"",COUNTIF(F$2:F1497,F1497)=1),MAX(Q$1:Q1496)+1,"")</f>
        <v/>
      </c>
    </row>
    <row r="1498" customFormat="false" ht="15" hidden="false" customHeight="false" outlineLevel="0" collapsed="false">
      <c r="A1498" s="9"/>
      <c r="B1498" s="10"/>
      <c r="C1498" s="11"/>
      <c r="D1498" s="11"/>
      <c r="E1498" s="11"/>
      <c r="F1498" s="11"/>
      <c r="G1498" s="12"/>
      <c r="H1498" s="12"/>
      <c r="I1498" s="10"/>
      <c r="J1498" s="12"/>
      <c r="K1498" s="13" t="str">
        <f aca="false">IF(ISNUMBER(B1498),YEAR(B1498),"")</f>
        <v/>
      </c>
      <c r="L1498" s="13" t="str">
        <f aca="false">IF(ISNUMBER(B1498),MONTH(B1498),"")</f>
        <v/>
      </c>
      <c r="M1498" s="13" t="str">
        <f aca="false">IF(AND(ISNUMBER(B1498),ISNUMBER(I1498)),B1498-I1498+1,"")</f>
        <v/>
      </c>
      <c r="N1498" s="14" t="str">
        <f aca="false">IF(B1498="","",IF(M1498="","시작일 미입력",IF(M1498&lt;1,"시작일 이전(확인)",IF(M1498=1,"1일째",IF(M1498=2,"2일째",IF(M1498=3,"3일째",IF(M1498&lt;=7,"일주일 이내",IF(M1498&lt;=14,"이주일 이내","15일 이후"))))))))</f>
        <v/>
      </c>
      <c r="O1498" s="0" t="str">
        <f aca="false">IF(AND(COUNTA($A1498:$J1498)&gt;0,OR(클레임조회!$C$4="",AND(ISNUMBER($B1498),$B1498&gt;=클레임조회!$C$4)),OR(클레임조회!$C$5="",AND(ISNUMBER($B1498),$B1498&lt;=클레임조회!$C$5)),OR(클레임조회!$C$6="",$C1498=클레임조회!$C$6),OR(클레임조회!$C$7="",$D1498=클레임조회!$C$7),OR(클레임조회!$C$8="",$E1498=클레임조회!$C$8),OR(클레임조회!$C$9="",$F1498=클레임조회!$C$9),OR(클레임조회!$C$10="",ISNUMBER(SEARCH(클레임조회!$C$10,$C1498&amp;" "&amp;$F1498&amp;" "&amp;$G1498&amp;" "&amp;$H1498)))),COUNT(O$1:O1497)+1,"")</f>
        <v/>
      </c>
      <c r="P1498" s="0" t="str">
        <f aca="false">IF(AND(TRIM(C1498)&lt;&gt;"",COUNTIF(C$2:C1498,C1498)=1),MAX(P$1:P1497)+1,"")</f>
        <v/>
      </c>
      <c r="Q1498" s="0" t="str">
        <f aca="false">IF(AND(TRIM(F1498)&lt;&gt;"",COUNTIF(F$2:F1498,F1498)=1),MAX(Q$1:Q1497)+1,"")</f>
        <v/>
      </c>
    </row>
    <row r="1499" customFormat="false" ht="15" hidden="false" customHeight="false" outlineLevel="0" collapsed="false">
      <c r="A1499" s="9"/>
      <c r="B1499" s="10"/>
      <c r="C1499" s="11"/>
      <c r="D1499" s="11"/>
      <c r="E1499" s="11"/>
      <c r="F1499" s="11"/>
      <c r="G1499" s="12"/>
      <c r="H1499" s="12"/>
      <c r="I1499" s="10"/>
      <c r="J1499" s="12"/>
      <c r="K1499" s="13" t="str">
        <f aca="false">IF(ISNUMBER(B1499),YEAR(B1499),"")</f>
        <v/>
      </c>
      <c r="L1499" s="13" t="str">
        <f aca="false">IF(ISNUMBER(B1499),MONTH(B1499),"")</f>
        <v/>
      </c>
      <c r="M1499" s="13" t="str">
        <f aca="false">IF(AND(ISNUMBER(B1499),ISNUMBER(I1499)),B1499-I1499+1,"")</f>
        <v/>
      </c>
      <c r="N1499" s="14" t="str">
        <f aca="false">IF(B1499="","",IF(M1499="","시작일 미입력",IF(M1499&lt;1,"시작일 이전(확인)",IF(M1499=1,"1일째",IF(M1499=2,"2일째",IF(M1499=3,"3일째",IF(M1499&lt;=7,"일주일 이내",IF(M1499&lt;=14,"이주일 이내","15일 이후"))))))))</f>
        <v/>
      </c>
      <c r="O1499" s="0" t="str">
        <f aca="false">IF(AND(COUNTA($A1499:$J1499)&gt;0,OR(클레임조회!$C$4="",AND(ISNUMBER($B1499),$B1499&gt;=클레임조회!$C$4)),OR(클레임조회!$C$5="",AND(ISNUMBER($B1499),$B1499&lt;=클레임조회!$C$5)),OR(클레임조회!$C$6="",$C1499=클레임조회!$C$6),OR(클레임조회!$C$7="",$D1499=클레임조회!$C$7),OR(클레임조회!$C$8="",$E1499=클레임조회!$C$8),OR(클레임조회!$C$9="",$F1499=클레임조회!$C$9),OR(클레임조회!$C$10="",ISNUMBER(SEARCH(클레임조회!$C$10,$C1499&amp;" "&amp;$F1499&amp;" "&amp;$G1499&amp;" "&amp;$H1499)))),COUNT(O$1:O1498)+1,"")</f>
        <v/>
      </c>
      <c r="P1499" s="0" t="str">
        <f aca="false">IF(AND(TRIM(C1499)&lt;&gt;"",COUNTIF(C$2:C1499,C1499)=1),MAX(P$1:P1498)+1,"")</f>
        <v/>
      </c>
      <c r="Q1499" s="0" t="str">
        <f aca="false">IF(AND(TRIM(F1499)&lt;&gt;"",COUNTIF(F$2:F1499,F1499)=1),MAX(Q$1:Q1498)+1,"")</f>
        <v/>
      </c>
    </row>
    <row r="1500" customFormat="false" ht="15" hidden="false" customHeight="false" outlineLevel="0" collapsed="false">
      <c r="A1500" s="9"/>
      <c r="B1500" s="10"/>
      <c r="C1500" s="11"/>
      <c r="D1500" s="11"/>
      <c r="E1500" s="11"/>
      <c r="F1500" s="11"/>
      <c r="G1500" s="12"/>
      <c r="H1500" s="12"/>
      <c r="I1500" s="10"/>
      <c r="J1500" s="12"/>
      <c r="K1500" s="13" t="str">
        <f aca="false">IF(ISNUMBER(B1500),YEAR(B1500),"")</f>
        <v/>
      </c>
      <c r="L1500" s="13" t="str">
        <f aca="false">IF(ISNUMBER(B1500),MONTH(B1500),"")</f>
        <v/>
      </c>
      <c r="M1500" s="13" t="str">
        <f aca="false">IF(AND(ISNUMBER(B1500),ISNUMBER(I1500)),B1500-I1500+1,"")</f>
        <v/>
      </c>
      <c r="N1500" s="14" t="str">
        <f aca="false">IF(B1500="","",IF(M1500="","시작일 미입력",IF(M1500&lt;1,"시작일 이전(확인)",IF(M1500=1,"1일째",IF(M1500=2,"2일째",IF(M1500=3,"3일째",IF(M1500&lt;=7,"일주일 이내",IF(M1500&lt;=14,"이주일 이내","15일 이후"))))))))</f>
        <v/>
      </c>
      <c r="O1500" s="0" t="str">
        <f aca="false">IF(AND(COUNTA($A1500:$J1500)&gt;0,OR(클레임조회!$C$4="",AND(ISNUMBER($B1500),$B1500&gt;=클레임조회!$C$4)),OR(클레임조회!$C$5="",AND(ISNUMBER($B1500),$B1500&lt;=클레임조회!$C$5)),OR(클레임조회!$C$6="",$C1500=클레임조회!$C$6),OR(클레임조회!$C$7="",$D1500=클레임조회!$C$7),OR(클레임조회!$C$8="",$E1500=클레임조회!$C$8),OR(클레임조회!$C$9="",$F1500=클레임조회!$C$9),OR(클레임조회!$C$10="",ISNUMBER(SEARCH(클레임조회!$C$10,$C1500&amp;" "&amp;$F1500&amp;" "&amp;$G1500&amp;" "&amp;$H1500)))),COUNT(O$1:O1499)+1,"")</f>
        <v/>
      </c>
      <c r="P1500" s="0" t="str">
        <f aca="false">IF(AND(TRIM(C1500)&lt;&gt;"",COUNTIF(C$2:C1500,C1500)=1),MAX(P$1:P1499)+1,"")</f>
        <v/>
      </c>
      <c r="Q1500" s="0" t="str">
        <f aca="false">IF(AND(TRIM(F1500)&lt;&gt;"",COUNTIF(F$2:F1500,F1500)=1),MAX(Q$1:Q1499)+1,"")</f>
        <v/>
      </c>
    </row>
    <row r="1501" customFormat="false" ht="15" hidden="false" customHeight="false" outlineLevel="0" collapsed="false">
      <c r="A1501" s="9"/>
      <c r="B1501" s="10"/>
      <c r="C1501" s="11"/>
      <c r="D1501" s="11"/>
      <c r="E1501" s="11"/>
      <c r="F1501" s="11"/>
      <c r="G1501" s="12"/>
      <c r="H1501" s="12"/>
      <c r="I1501" s="10"/>
      <c r="J1501" s="12"/>
      <c r="K1501" s="13" t="str">
        <f aca="false">IF(ISNUMBER(B1501),YEAR(B1501),"")</f>
        <v/>
      </c>
      <c r="L1501" s="13" t="str">
        <f aca="false">IF(ISNUMBER(B1501),MONTH(B1501),"")</f>
        <v/>
      </c>
      <c r="M1501" s="13" t="str">
        <f aca="false">IF(AND(ISNUMBER(B1501),ISNUMBER(I1501)),B1501-I1501+1,"")</f>
        <v/>
      </c>
      <c r="N1501" s="14" t="str">
        <f aca="false">IF(B1501="","",IF(M1501="","시작일 미입력",IF(M1501&lt;1,"시작일 이전(확인)",IF(M1501=1,"1일째",IF(M1501=2,"2일째",IF(M1501=3,"3일째",IF(M1501&lt;=7,"일주일 이내",IF(M1501&lt;=14,"이주일 이내","15일 이후"))))))))</f>
        <v/>
      </c>
      <c r="O1501" s="0" t="str">
        <f aca="false">IF(AND(COUNTA($A1501:$J1501)&gt;0,OR(클레임조회!$C$4="",AND(ISNUMBER($B1501),$B1501&gt;=클레임조회!$C$4)),OR(클레임조회!$C$5="",AND(ISNUMBER($B1501),$B1501&lt;=클레임조회!$C$5)),OR(클레임조회!$C$6="",$C1501=클레임조회!$C$6),OR(클레임조회!$C$7="",$D1501=클레임조회!$C$7),OR(클레임조회!$C$8="",$E1501=클레임조회!$C$8),OR(클레임조회!$C$9="",$F1501=클레임조회!$C$9),OR(클레임조회!$C$10="",ISNUMBER(SEARCH(클레임조회!$C$10,$C1501&amp;" "&amp;$F1501&amp;" "&amp;$G1501&amp;" "&amp;$H1501)))),COUNT(O$1:O1500)+1,"")</f>
        <v/>
      </c>
      <c r="P1501" s="0" t="str">
        <f aca="false">IF(AND(TRIM(C1501)&lt;&gt;"",COUNTIF(C$2:C1501,C1501)=1),MAX(P$1:P1500)+1,"")</f>
        <v/>
      </c>
      <c r="Q1501" s="0" t="str">
        <f aca="false">IF(AND(TRIM(F1501)&lt;&gt;"",COUNTIF(F$2:F1501,F1501)=1),MAX(Q$1:Q1500)+1,"")</f>
        <v/>
      </c>
    </row>
    <row r="1502" customFormat="false" ht="15" hidden="false" customHeight="false" outlineLevel="0" collapsed="false">
      <c r="A1502" s="9"/>
      <c r="B1502" s="10"/>
      <c r="C1502" s="11"/>
      <c r="D1502" s="11"/>
      <c r="E1502" s="11"/>
      <c r="F1502" s="11"/>
      <c r="G1502" s="12"/>
      <c r="H1502" s="12"/>
      <c r="I1502" s="10"/>
      <c r="J1502" s="12"/>
      <c r="K1502" s="13" t="str">
        <f aca="false">IF(ISNUMBER(B1502),YEAR(B1502),"")</f>
        <v/>
      </c>
      <c r="L1502" s="13" t="str">
        <f aca="false">IF(ISNUMBER(B1502),MONTH(B1502),"")</f>
        <v/>
      </c>
      <c r="M1502" s="13" t="str">
        <f aca="false">IF(AND(ISNUMBER(B1502),ISNUMBER(I1502)),B1502-I1502+1,"")</f>
        <v/>
      </c>
      <c r="N1502" s="14" t="str">
        <f aca="false">IF(B1502="","",IF(M1502="","시작일 미입력",IF(M1502&lt;1,"시작일 이전(확인)",IF(M1502=1,"1일째",IF(M1502=2,"2일째",IF(M1502=3,"3일째",IF(M1502&lt;=7,"일주일 이내",IF(M1502&lt;=14,"이주일 이내","15일 이후"))))))))</f>
        <v/>
      </c>
      <c r="O1502" s="0" t="str">
        <f aca="false">IF(AND(COUNTA($A1502:$J1502)&gt;0,OR(클레임조회!$C$4="",AND(ISNUMBER($B1502),$B1502&gt;=클레임조회!$C$4)),OR(클레임조회!$C$5="",AND(ISNUMBER($B1502),$B1502&lt;=클레임조회!$C$5)),OR(클레임조회!$C$6="",$C1502=클레임조회!$C$6),OR(클레임조회!$C$7="",$D1502=클레임조회!$C$7),OR(클레임조회!$C$8="",$E1502=클레임조회!$C$8),OR(클레임조회!$C$9="",$F1502=클레임조회!$C$9),OR(클레임조회!$C$10="",ISNUMBER(SEARCH(클레임조회!$C$10,$C1502&amp;" "&amp;$F1502&amp;" "&amp;$G1502&amp;" "&amp;$H1502)))),COUNT(O$1:O1501)+1,"")</f>
        <v/>
      </c>
      <c r="P1502" s="0" t="str">
        <f aca="false">IF(AND(TRIM(C1502)&lt;&gt;"",COUNTIF(C$2:C1502,C1502)=1),MAX(P$1:P1501)+1,"")</f>
        <v/>
      </c>
      <c r="Q1502" s="0" t="str">
        <f aca="false">IF(AND(TRIM(F1502)&lt;&gt;"",COUNTIF(F$2:F1502,F1502)=1),MAX(Q$1:Q1501)+1,"")</f>
        <v/>
      </c>
    </row>
    <row r="1503" customFormat="false" ht="15" hidden="false" customHeight="false" outlineLevel="0" collapsed="false">
      <c r="A1503" s="9"/>
      <c r="B1503" s="10"/>
      <c r="C1503" s="11"/>
      <c r="D1503" s="11"/>
      <c r="E1503" s="11"/>
      <c r="F1503" s="11"/>
      <c r="G1503" s="12"/>
      <c r="H1503" s="12"/>
      <c r="I1503" s="10"/>
      <c r="J1503" s="12"/>
      <c r="K1503" s="13" t="str">
        <f aca="false">IF(ISNUMBER(B1503),YEAR(B1503),"")</f>
        <v/>
      </c>
      <c r="L1503" s="13" t="str">
        <f aca="false">IF(ISNUMBER(B1503),MONTH(B1503),"")</f>
        <v/>
      </c>
      <c r="M1503" s="13" t="str">
        <f aca="false">IF(AND(ISNUMBER(B1503),ISNUMBER(I1503)),B1503-I1503+1,"")</f>
        <v/>
      </c>
      <c r="N1503" s="14" t="str">
        <f aca="false">IF(B1503="","",IF(M1503="","시작일 미입력",IF(M1503&lt;1,"시작일 이전(확인)",IF(M1503=1,"1일째",IF(M1503=2,"2일째",IF(M1503=3,"3일째",IF(M1503&lt;=7,"일주일 이내",IF(M1503&lt;=14,"이주일 이내","15일 이후"))))))))</f>
        <v/>
      </c>
      <c r="O1503" s="0" t="str">
        <f aca="false">IF(AND(COUNTA($A1503:$J1503)&gt;0,OR(클레임조회!$C$4="",AND(ISNUMBER($B1503),$B1503&gt;=클레임조회!$C$4)),OR(클레임조회!$C$5="",AND(ISNUMBER($B1503),$B1503&lt;=클레임조회!$C$5)),OR(클레임조회!$C$6="",$C1503=클레임조회!$C$6),OR(클레임조회!$C$7="",$D1503=클레임조회!$C$7),OR(클레임조회!$C$8="",$E1503=클레임조회!$C$8),OR(클레임조회!$C$9="",$F1503=클레임조회!$C$9),OR(클레임조회!$C$10="",ISNUMBER(SEARCH(클레임조회!$C$10,$C1503&amp;" "&amp;$F1503&amp;" "&amp;$G1503&amp;" "&amp;$H1503)))),COUNT(O$1:O1502)+1,"")</f>
        <v/>
      </c>
      <c r="P1503" s="0" t="str">
        <f aca="false">IF(AND(TRIM(C1503)&lt;&gt;"",COUNTIF(C$2:C1503,C1503)=1),MAX(P$1:P1502)+1,"")</f>
        <v/>
      </c>
      <c r="Q1503" s="0" t="str">
        <f aca="false">IF(AND(TRIM(F1503)&lt;&gt;"",COUNTIF(F$2:F1503,F1503)=1),MAX(Q$1:Q1502)+1,"")</f>
        <v/>
      </c>
    </row>
    <row r="1504" customFormat="false" ht="15" hidden="false" customHeight="false" outlineLevel="0" collapsed="false">
      <c r="A1504" s="9"/>
      <c r="B1504" s="10"/>
      <c r="C1504" s="11"/>
      <c r="D1504" s="11"/>
      <c r="E1504" s="11"/>
      <c r="F1504" s="11"/>
      <c r="G1504" s="12"/>
      <c r="H1504" s="12"/>
      <c r="I1504" s="10"/>
      <c r="J1504" s="12"/>
      <c r="K1504" s="13" t="str">
        <f aca="false">IF(ISNUMBER(B1504),YEAR(B1504),"")</f>
        <v/>
      </c>
      <c r="L1504" s="13" t="str">
        <f aca="false">IF(ISNUMBER(B1504),MONTH(B1504),"")</f>
        <v/>
      </c>
      <c r="M1504" s="13" t="str">
        <f aca="false">IF(AND(ISNUMBER(B1504),ISNUMBER(I1504)),B1504-I1504+1,"")</f>
        <v/>
      </c>
      <c r="N1504" s="14" t="str">
        <f aca="false">IF(B1504="","",IF(M1504="","시작일 미입력",IF(M1504&lt;1,"시작일 이전(확인)",IF(M1504=1,"1일째",IF(M1504=2,"2일째",IF(M1504=3,"3일째",IF(M1504&lt;=7,"일주일 이내",IF(M1504&lt;=14,"이주일 이내","15일 이후"))))))))</f>
        <v/>
      </c>
      <c r="O1504" s="0" t="str">
        <f aca="false">IF(AND(COUNTA($A1504:$J1504)&gt;0,OR(클레임조회!$C$4="",AND(ISNUMBER($B1504),$B1504&gt;=클레임조회!$C$4)),OR(클레임조회!$C$5="",AND(ISNUMBER($B1504),$B1504&lt;=클레임조회!$C$5)),OR(클레임조회!$C$6="",$C1504=클레임조회!$C$6),OR(클레임조회!$C$7="",$D1504=클레임조회!$C$7),OR(클레임조회!$C$8="",$E1504=클레임조회!$C$8),OR(클레임조회!$C$9="",$F1504=클레임조회!$C$9),OR(클레임조회!$C$10="",ISNUMBER(SEARCH(클레임조회!$C$10,$C1504&amp;" "&amp;$F1504&amp;" "&amp;$G1504&amp;" "&amp;$H1504)))),COUNT(O$1:O1503)+1,"")</f>
        <v/>
      </c>
      <c r="P1504" s="0" t="str">
        <f aca="false">IF(AND(TRIM(C1504)&lt;&gt;"",COUNTIF(C$2:C1504,C1504)=1),MAX(P$1:P1503)+1,"")</f>
        <v/>
      </c>
      <c r="Q1504" s="0" t="str">
        <f aca="false">IF(AND(TRIM(F1504)&lt;&gt;"",COUNTIF(F$2:F1504,F1504)=1),MAX(Q$1:Q1503)+1,"")</f>
        <v/>
      </c>
    </row>
    <row r="1505" customFormat="false" ht="15" hidden="false" customHeight="false" outlineLevel="0" collapsed="false">
      <c r="A1505" s="9"/>
      <c r="B1505" s="10"/>
      <c r="C1505" s="11"/>
      <c r="D1505" s="11"/>
      <c r="E1505" s="11"/>
      <c r="F1505" s="11"/>
      <c r="G1505" s="12"/>
      <c r="H1505" s="12"/>
      <c r="I1505" s="10"/>
      <c r="J1505" s="12"/>
      <c r="K1505" s="13" t="str">
        <f aca="false">IF(ISNUMBER(B1505),YEAR(B1505),"")</f>
        <v/>
      </c>
      <c r="L1505" s="13" t="str">
        <f aca="false">IF(ISNUMBER(B1505),MONTH(B1505),"")</f>
        <v/>
      </c>
      <c r="M1505" s="13" t="str">
        <f aca="false">IF(AND(ISNUMBER(B1505),ISNUMBER(I1505)),B1505-I1505+1,"")</f>
        <v/>
      </c>
      <c r="N1505" s="14" t="str">
        <f aca="false">IF(B1505="","",IF(M1505="","시작일 미입력",IF(M1505&lt;1,"시작일 이전(확인)",IF(M1505=1,"1일째",IF(M1505=2,"2일째",IF(M1505=3,"3일째",IF(M1505&lt;=7,"일주일 이내",IF(M1505&lt;=14,"이주일 이내","15일 이후"))))))))</f>
        <v/>
      </c>
      <c r="O1505" s="0" t="str">
        <f aca="false">IF(AND(COUNTA($A1505:$J1505)&gt;0,OR(클레임조회!$C$4="",AND(ISNUMBER($B1505),$B1505&gt;=클레임조회!$C$4)),OR(클레임조회!$C$5="",AND(ISNUMBER($B1505),$B1505&lt;=클레임조회!$C$5)),OR(클레임조회!$C$6="",$C1505=클레임조회!$C$6),OR(클레임조회!$C$7="",$D1505=클레임조회!$C$7),OR(클레임조회!$C$8="",$E1505=클레임조회!$C$8),OR(클레임조회!$C$9="",$F1505=클레임조회!$C$9),OR(클레임조회!$C$10="",ISNUMBER(SEARCH(클레임조회!$C$10,$C1505&amp;" "&amp;$F1505&amp;" "&amp;$G1505&amp;" "&amp;$H1505)))),COUNT(O$1:O1504)+1,"")</f>
        <v/>
      </c>
      <c r="P1505" s="0" t="str">
        <f aca="false">IF(AND(TRIM(C1505)&lt;&gt;"",COUNTIF(C$2:C1505,C1505)=1),MAX(P$1:P1504)+1,"")</f>
        <v/>
      </c>
      <c r="Q1505" s="0" t="str">
        <f aca="false">IF(AND(TRIM(F1505)&lt;&gt;"",COUNTIF(F$2:F1505,F1505)=1),MAX(Q$1:Q1504)+1,"")</f>
        <v/>
      </c>
    </row>
    <row r="1506" customFormat="false" ht="15" hidden="false" customHeight="false" outlineLevel="0" collapsed="false">
      <c r="A1506" s="9"/>
      <c r="B1506" s="10"/>
      <c r="C1506" s="11"/>
      <c r="D1506" s="11"/>
      <c r="E1506" s="11"/>
      <c r="F1506" s="11"/>
      <c r="G1506" s="12"/>
      <c r="H1506" s="12"/>
      <c r="I1506" s="10"/>
      <c r="J1506" s="12"/>
      <c r="K1506" s="13" t="str">
        <f aca="false">IF(ISNUMBER(B1506),YEAR(B1506),"")</f>
        <v/>
      </c>
      <c r="L1506" s="13" t="str">
        <f aca="false">IF(ISNUMBER(B1506),MONTH(B1506),"")</f>
        <v/>
      </c>
      <c r="M1506" s="13" t="str">
        <f aca="false">IF(AND(ISNUMBER(B1506),ISNUMBER(I1506)),B1506-I1506+1,"")</f>
        <v/>
      </c>
      <c r="N1506" s="14" t="str">
        <f aca="false">IF(B1506="","",IF(M1506="","시작일 미입력",IF(M1506&lt;1,"시작일 이전(확인)",IF(M1506=1,"1일째",IF(M1506=2,"2일째",IF(M1506=3,"3일째",IF(M1506&lt;=7,"일주일 이내",IF(M1506&lt;=14,"이주일 이내","15일 이후"))))))))</f>
        <v/>
      </c>
      <c r="O1506" s="0" t="str">
        <f aca="false">IF(AND(COUNTA($A1506:$J1506)&gt;0,OR(클레임조회!$C$4="",AND(ISNUMBER($B1506),$B1506&gt;=클레임조회!$C$4)),OR(클레임조회!$C$5="",AND(ISNUMBER($B1506),$B1506&lt;=클레임조회!$C$5)),OR(클레임조회!$C$6="",$C1506=클레임조회!$C$6),OR(클레임조회!$C$7="",$D1506=클레임조회!$C$7),OR(클레임조회!$C$8="",$E1506=클레임조회!$C$8),OR(클레임조회!$C$9="",$F1506=클레임조회!$C$9),OR(클레임조회!$C$10="",ISNUMBER(SEARCH(클레임조회!$C$10,$C1506&amp;" "&amp;$F1506&amp;" "&amp;$G1506&amp;" "&amp;$H1506)))),COUNT(O$1:O1505)+1,"")</f>
        <v/>
      </c>
      <c r="P1506" s="0" t="str">
        <f aca="false">IF(AND(TRIM(C1506)&lt;&gt;"",COUNTIF(C$2:C1506,C1506)=1),MAX(P$1:P1505)+1,"")</f>
        <v/>
      </c>
      <c r="Q1506" s="0" t="str">
        <f aca="false">IF(AND(TRIM(F1506)&lt;&gt;"",COUNTIF(F$2:F1506,F1506)=1),MAX(Q$1:Q1505)+1,"")</f>
        <v/>
      </c>
    </row>
    <row r="1507" customFormat="false" ht="15" hidden="false" customHeight="false" outlineLevel="0" collapsed="false">
      <c r="A1507" s="9"/>
      <c r="B1507" s="10"/>
      <c r="C1507" s="11"/>
      <c r="D1507" s="11"/>
      <c r="E1507" s="11"/>
      <c r="F1507" s="11"/>
      <c r="G1507" s="12"/>
      <c r="H1507" s="12"/>
      <c r="I1507" s="10"/>
      <c r="J1507" s="12"/>
      <c r="K1507" s="13" t="str">
        <f aca="false">IF(ISNUMBER(B1507),YEAR(B1507),"")</f>
        <v/>
      </c>
      <c r="L1507" s="13" t="str">
        <f aca="false">IF(ISNUMBER(B1507),MONTH(B1507),"")</f>
        <v/>
      </c>
      <c r="M1507" s="13" t="str">
        <f aca="false">IF(AND(ISNUMBER(B1507),ISNUMBER(I1507)),B1507-I1507+1,"")</f>
        <v/>
      </c>
      <c r="N1507" s="14" t="str">
        <f aca="false">IF(B1507="","",IF(M1507="","시작일 미입력",IF(M1507&lt;1,"시작일 이전(확인)",IF(M1507=1,"1일째",IF(M1507=2,"2일째",IF(M1507=3,"3일째",IF(M1507&lt;=7,"일주일 이내",IF(M1507&lt;=14,"이주일 이내","15일 이후"))))))))</f>
        <v/>
      </c>
      <c r="O1507" s="0" t="str">
        <f aca="false">IF(AND(COUNTA($A1507:$J1507)&gt;0,OR(클레임조회!$C$4="",AND(ISNUMBER($B1507),$B1507&gt;=클레임조회!$C$4)),OR(클레임조회!$C$5="",AND(ISNUMBER($B1507),$B1507&lt;=클레임조회!$C$5)),OR(클레임조회!$C$6="",$C1507=클레임조회!$C$6),OR(클레임조회!$C$7="",$D1507=클레임조회!$C$7),OR(클레임조회!$C$8="",$E1507=클레임조회!$C$8),OR(클레임조회!$C$9="",$F1507=클레임조회!$C$9),OR(클레임조회!$C$10="",ISNUMBER(SEARCH(클레임조회!$C$10,$C1507&amp;" "&amp;$F1507&amp;" "&amp;$G1507&amp;" "&amp;$H1507)))),COUNT(O$1:O1506)+1,"")</f>
        <v/>
      </c>
      <c r="P1507" s="0" t="str">
        <f aca="false">IF(AND(TRIM(C1507)&lt;&gt;"",COUNTIF(C$2:C1507,C1507)=1),MAX(P$1:P1506)+1,"")</f>
        <v/>
      </c>
      <c r="Q1507" s="0" t="str">
        <f aca="false">IF(AND(TRIM(F1507)&lt;&gt;"",COUNTIF(F$2:F1507,F1507)=1),MAX(Q$1:Q1506)+1,"")</f>
        <v/>
      </c>
    </row>
    <row r="1508" customFormat="false" ht="15" hidden="false" customHeight="false" outlineLevel="0" collapsed="false">
      <c r="A1508" s="9"/>
      <c r="B1508" s="10"/>
      <c r="C1508" s="11"/>
      <c r="D1508" s="11"/>
      <c r="E1508" s="11"/>
      <c r="F1508" s="11"/>
      <c r="G1508" s="12"/>
      <c r="H1508" s="12"/>
      <c r="I1508" s="10"/>
      <c r="J1508" s="12"/>
      <c r="K1508" s="13" t="str">
        <f aca="false">IF(ISNUMBER(B1508),YEAR(B1508),"")</f>
        <v/>
      </c>
      <c r="L1508" s="13" t="str">
        <f aca="false">IF(ISNUMBER(B1508),MONTH(B1508),"")</f>
        <v/>
      </c>
      <c r="M1508" s="13" t="str">
        <f aca="false">IF(AND(ISNUMBER(B1508),ISNUMBER(I1508)),B1508-I1508+1,"")</f>
        <v/>
      </c>
      <c r="N1508" s="14" t="str">
        <f aca="false">IF(B1508="","",IF(M1508="","시작일 미입력",IF(M1508&lt;1,"시작일 이전(확인)",IF(M1508=1,"1일째",IF(M1508=2,"2일째",IF(M1508=3,"3일째",IF(M1508&lt;=7,"일주일 이내",IF(M1508&lt;=14,"이주일 이내","15일 이후"))))))))</f>
        <v/>
      </c>
      <c r="O1508" s="0" t="str">
        <f aca="false">IF(AND(COUNTA($A1508:$J1508)&gt;0,OR(클레임조회!$C$4="",AND(ISNUMBER($B1508),$B1508&gt;=클레임조회!$C$4)),OR(클레임조회!$C$5="",AND(ISNUMBER($B1508),$B1508&lt;=클레임조회!$C$5)),OR(클레임조회!$C$6="",$C1508=클레임조회!$C$6),OR(클레임조회!$C$7="",$D1508=클레임조회!$C$7),OR(클레임조회!$C$8="",$E1508=클레임조회!$C$8),OR(클레임조회!$C$9="",$F1508=클레임조회!$C$9),OR(클레임조회!$C$10="",ISNUMBER(SEARCH(클레임조회!$C$10,$C1508&amp;" "&amp;$F1508&amp;" "&amp;$G1508&amp;" "&amp;$H1508)))),COUNT(O$1:O1507)+1,"")</f>
        <v/>
      </c>
      <c r="P1508" s="0" t="str">
        <f aca="false">IF(AND(TRIM(C1508)&lt;&gt;"",COUNTIF(C$2:C1508,C1508)=1),MAX(P$1:P1507)+1,"")</f>
        <v/>
      </c>
      <c r="Q1508" s="0" t="str">
        <f aca="false">IF(AND(TRIM(F1508)&lt;&gt;"",COUNTIF(F$2:F1508,F1508)=1),MAX(Q$1:Q1507)+1,"")</f>
        <v/>
      </c>
    </row>
    <row r="1509" customFormat="false" ht="15" hidden="false" customHeight="false" outlineLevel="0" collapsed="false">
      <c r="A1509" s="9"/>
      <c r="B1509" s="10"/>
      <c r="C1509" s="11"/>
      <c r="D1509" s="11"/>
      <c r="E1509" s="11"/>
      <c r="F1509" s="11"/>
      <c r="G1509" s="12"/>
      <c r="H1509" s="12"/>
      <c r="I1509" s="10"/>
      <c r="J1509" s="12"/>
      <c r="K1509" s="13" t="str">
        <f aca="false">IF(ISNUMBER(B1509),YEAR(B1509),"")</f>
        <v/>
      </c>
      <c r="L1509" s="13" t="str">
        <f aca="false">IF(ISNUMBER(B1509),MONTH(B1509),"")</f>
        <v/>
      </c>
      <c r="M1509" s="13" t="str">
        <f aca="false">IF(AND(ISNUMBER(B1509),ISNUMBER(I1509)),B1509-I1509+1,"")</f>
        <v/>
      </c>
      <c r="N1509" s="14" t="str">
        <f aca="false">IF(B1509="","",IF(M1509="","시작일 미입력",IF(M1509&lt;1,"시작일 이전(확인)",IF(M1509=1,"1일째",IF(M1509=2,"2일째",IF(M1509=3,"3일째",IF(M1509&lt;=7,"일주일 이내",IF(M1509&lt;=14,"이주일 이내","15일 이후"))))))))</f>
        <v/>
      </c>
      <c r="O1509" s="0" t="str">
        <f aca="false">IF(AND(COUNTA($A1509:$J1509)&gt;0,OR(클레임조회!$C$4="",AND(ISNUMBER($B1509),$B1509&gt;=클레임조회!$C$4)),OR(클레임조회!$C$5="",AND(ISNUMBER($B1509),$B1509&lt;=클레임조회!$C$5)),OR(클레임조회!$C$6="",$C1509=클레임조회!$C$6),OR(클레임조회!$C$7="",$D1509=클레임조회!$C$7),OR(클레임조회!$C$8="",$E1509=클레임조회!$C$8),OR(클레임조회!$C$9="",$F1509=클레임조회!$C$9),OR(클레임조회!$C$10="",ISNUMBER(SEARCH(클레임조회!$C$10,$C1509&amp;" "&amp;$F1509&amp;" "&amp;$G1509&amp;" "&amp;$H1509)))),COUNT(O$1:O1508)+1,"")</f>
        <v/>
      </c>
      <c r="P1509" s="0" t="str">
        <f aca="false">IF(AND(TRIM(C1509)&lt;&gt;"",COUNTIF(C$2:C1509,C1509)=1),MAX(P$1:P1508)+1,"")</f>
        <v/>
      </c>
      <c r="Q1509" s="0" t="str">
        <f aca="false">IF(AND(TRIM(F1509)&lt;&gt;"",COUNTIF(F$2:F1509,F1509)=1),MAX(Q$1:Q1508)+1,"")</f>
        <v/>
      </c>
    </row>
    <row r="1510" customFormat="false" ht="15" hidden="false" customHeight="false" outlineLevel="0" collapsed="false">
      <c r="A1510" s="9"/>
      <c r="B1510" s="10"/>
      <c r="C1510" s="11"/>
      <c r="D1510" s="11"/>
      <c r="E1510" s="11"/>
      <c r="F1510" s="11"/>
      <c r="G1510" s="12"/>
      <c r="H1510" s="12"/>
      <c r="I1510" s="10"/>
      <c r="J1510" s="12"/>
      <c r="K1510" s="13" t="str">
        <f aca="false">IF(ISNUMBER(B1510),YEAR(B1510),"")</f>
        <v/>
      </c>
      <c r="L1510" s="13" t="str">
        <f aca="false">IF(ISNUMBER(B1510),MONTH(B1510),"")</f>
        <v/>
      </c>
      <c r="M1510" s="13" t="str">
        <f aca="false">IF(AND(ISNUMBER(B1510),ISNUMBER(I1510)),B1510-I1510+1,"")</f>
        <v/>
      </c>
      <c r="N1510" s="14" t="str">
        <f aca="false">IF(B1510="","",IF(M1510="","시작일 미입력",IF(M1510&lt;1,"시작일 이전(확인)",IF(M1510=1,"1일째",IF(M1510=2,"2일째",IF(M1510=3,"3일째",IF(M1510&lt;=7,"일주일 이내",IF(M1510&lt;=14,"이주일 이내","15일 이후"))))))))</f>
        <v/>
      </c>
      <c r="O1510" s="0" t="str">
        <f aca="false">IF(AND(COUNTA($A1510:$J1510)&gt;0,OR(클레임조회!$C$4="",AND(ISNUMBER($B1510),$B1510&gt;=클레임조회!$C$4)),OR(클레임조회!$C$5="",AND(ISNUMBER($B1510),$B1510&lt;=클레임조회!$C$5)),OR(클레임조회!$C$6="",$C1510=클레임조회!$C$6),OR(클레임조회!$C$7="",$D1510=클레임조회!$C$7),OR(클레임조회!$C$8="",$E1510=클레임조회!$C$8),OR(클레임조회!$C$9="",$F1510=클레임조회!$C$9),OR(클레임조회!$C$10="",ISNUMBER(SEARCH(클레임조회!$C$10,$C1510&amp;" "&amp;$F1510&amp;" "&amp;$G1510&amp;" "&amp;$H1510)))),COUNT(O$1:O1509)+1,"")</f>
        <v/>
      </c>
      <c r="P1510" s="0" t="str">
        <f aca="false">IF(AND(TRIM(C1510)&lt;&gt;"",COUNTIF(C$2:C1510,C1510)=1),MAX(P$1:P1509)+1,"")</f>
        <v/>
      </c>
      <c r="Q1510" s="0" t="str">
        <f aca="false">IF(AND(TRIM(F1510)&lt;&gt;"",COUNTIF(F$2:F1510,F1510)=1),MAX(Q$1:Q1509)+1,"")</f>
        <v/>
      </c>
    </row>
    <row r="1511" customFormat="false" ht="15" hidden="false" customHeight="false" outlineLevel="0" collapsed="false">
      <c r="A1511" s="9"/>
      <c r="B1511" s="10"/>
      <c r="C1511" s="11"/>
      <c r="D1511" s="11"/>
      <c r="E1511" s="11"/>
      <c r="F1511" s="11"/>
      <c r="G1511" s="12"/>
      <c r="H1511" s="12"/>
      <c r="I1511" s="10"/>
      <c r="J1511" s="12"/>
      <c r="K1511" s="13" t="str">
        <f aca="false">IF(ISNUMBER(B1511),YEAR(B1511),"")</f>
        <v/>
      </c>
      <c r="L1511" s="13" t="str">
        <f aca="false">IF(ISNUMBER(B1511),MONTH(B1511),"")</f>
        <v/>
      </c>
      <c r="M1511" s="13" t="str">
        <f aca="false">IF(AND(ISNUMBER(B1511),ISNUMBER(I1511)),B1511-I1511+1,"")</f>
        <v/>
      </c>
      <c r="N1511" s="14" t="str">
        <f aca="false">IF(B1511="","",IF(M1511="","시작일 미입력",IF(M1511&lt;1,"시작일 이전(확인)",IF(M1511=1,"1일째",IF(M1511=2,"2일째",IF(M1511=3,"3일째",IF(M1511&lt;=7,"일주일 이내",IF(M1511&lt;=14,"이주일 이내","15일 이후"))))))))</f>
        <v/>
      </c>
      <c r="O1511" s="0" t="str">
        <f aca="false">IF(AND(COUNTA($A1511:$J1511)&gt;0,OR(클레임조회!$C$4="",AND(ISNUMBER($B1511),$B1511&gt;=클레임조회!$C$4)),OR(클레임조회!$C$5="",AND(ISNUMBER($B1511),$B1511&lt;=클레임조회!$C$5)),OR(클레임조회!$C$6="",$C1511=클레임조회!$C$6),OR(클레임조회!$C$7="",$D1511=클레임조회!$C$7),OR(클레임조회!$C$8="",$E1511=클레임조회!$C$8),OR(클레임조회!$C$9="",$F1511=클레임조회!$C$9),OR(클레임조회!$C$10="",ISNUMBER(SEARCH(클레임조회!$C$10,$C1511&amp;" "&amp;$F1511&amp;" "&amp;$G1511&amp;" "&amp;$H1511)))),COUNT(O$1:O1510)+1,"")</f>
        <v/>
      </c>
      <c r="P1511" s="0" t="str">
        <f aca="false">IF(AND(TRIM(C1511)&lt;&gt;"",COUNTIF(C$2:C1511,C1511)=1),MAX(P$1:P1510)+1,"")</f>
        <v/>
      </c>
      <c r="Q1511" s="0" t="str">
        <f aca="false">IF(AND(TRIM(F1511)&lt;&gt;"",COUNTIF(F$2:F1511,F1511)=1),MAX(Q$1:Q1510)+1,"")</f>
        <v/>
      </c>
    </row>
    <row r="1512" customFormat="false" ht="15" hidden="false" customHeight="false" outlineLevel="0" collapsed="false">
      <c r="A1512" s="9"/>
      <c r="B1512" s="10"/>
      <c r="C1512" s="11"/>
      <c r="D1512" s="11"/>
      <c r="E1512" s="11"/>
      <c r="F1512" s="11"/>
      <c r="G1512" s="12"/>
      <c r="H1512" s="12"/>
      <c r="I1512" s="10"/>
      <c r="J1512" s="12"/>
      <c r="K1512" s="13" t="str">
        <f aca="false">IF(ISNUMBER(B1512),YEAR(B1512),"")</f>
        <v/>
      </c>
      <c r="L1512" s="13" t="str">
        <f aca="false">IF(ISNUMBER(B1512),MONTH(B1512),"")</f>
        <v/>
      </c>
      <c r="M1512" s="13" t="str">
        <f aca="false">IF(AND(ISNUMBER(B1512),ISNUMBER(I1512)),B1512-I1512+1,"")</f>
        <v/>
      </c>
      <c r="N1512" s="14" t="str">
        <f aca="false">IF(B1512="","",IF(M1512="","시작일 미입력",IF(M1512&lt;1,"시작일 이전(확인)",IF(M1512=1,"1일째",IF(M1512=2,"2일째",IF(M1512=3,"3일째",IF(M1512&lt;=7,"일주일 이내",IF(M1512&lt;=14,"이주일 이내","15일 이후"))))))))</f>
        <v/>
      </c>
      <c r="O1512" s="0" t="str">
        <f aca="false">IF(AND(COUNTA($A1512:$J1512)&gt;0,OR(클레임조회!$C$4="",AND(ISNUMBER($B1512),$B1512&gt;=클레임조회!$C$4)),OR(클레임조회!$C$5="",AND(ISNUMBER($B1512),$B1512&lt;=클레임조회!$C$5)),OR(클레임조회!$C$6="",$C1512=클레임조회!$C$6),OR(클레임조회!$C$7="",$D1512=클레임조회!$C$7),OR(클레임조회!$C$8="",$E1512=클레임조회!$C$8),OR(클레임조회!$C$9="",$F1512=클레임조회!$C$9),OR(클레임조회!$C$10="",ISNUMBER(SEARCH(클레임조회!$C$10,$C1512&amp;" "&amp;$F1512&amp;" "&amp;$G1512&amp;" "&amp;$H1512)))),COUNT(O$1:O1511)+1,"")</f>
        <v/>
      </c>
      <c r="P1512" s="0" t="str">
        <f aca="false">IF(AND(TRIM(C1512)&lt;&gt;"",COUNTIF(C$2:C1512,C1512)=1),MAX(P$1:P1511)+1,"")</f>
        <v/>
      </c>
      <c r="Q1512" s="0" t="str">
        <f aca="false">IF(AND(TRIM(F1512)&lt;&gt;"",COUNTIF(F$2:F1512,F1512)=1),MAX(Q$1:Q1511)+1,"")</f>
        <v/>
      </c>
    </row>
    <row r="1513" customFormat="false" ht="15" hidden="false" customHeight="false" outlineLevel="0" collapsed="false">
      <c r="A1513" s="9"/>
      <c r="B1513" s="10"/>
      <c r="C1513" s="11"/>
      <c r="D1513" s="11"/>
      <c r="E1513" s="11"/>
      <c r="F1513" s="11"/>
      <c r="G1513" s="12"/>
      <c r="H1513" s="12"/>
      <c r="I1513" s="10"/>
      <c r="J1513" s="12"/>
      <c r="K1513" s="13" t="str">
        <f aca="false">IF(ISNUMBER(B1513),YEAR(B1513),"")</f>
        <v/>
      </c>
      <c r="L1513" s="13" t="str">
        <f aca="false">IF(ISNUMBER(B1513),MONTH(B1513),"")</f>
        <v/>
      </c>
      <c r="M1513" s="13" t="str">
        <f aca="false">IF(AND(ISNUMBER(B1513),ISNUMBER(I1513)),B1513-I1513+1,"")</f>
        <v/>
      </c>
      <c r="N1513" s="14" t="str">
        <f aca="false">IF(B1513="","",IF(M1513="","시작일 미입력",IF(M1513&lt;1,"시작일 이전(확인)",IF(M1513=1,"1일째",IF(M1513=2,"2일째",IF(M1513=3,"3일째",IF(M1513&lt;=7,"일주일 이내",IF(M1513&lt;=14,"이주일 이내","15일 이후"))))))))</f>
        <v/>
      </c>
      <c r="O1513" s="0" t="str">
        <f aca="false">IF(AND(COUNTA($A1513:$J1513)&gt;0,OR(클레임조회!$C$4="",AND(ISNUMBER($B1513),$B1513&gt;=클레임조회!$C$4)),OR(클레임조회!$C$5="",AND(ISNUMBER($B1513),$B1513&lt;=클레임조회!$C$5)),OR(클레임조회!$C$6="",$C1513=클레임조회!$C$6),OR(클레임조회!$C$7="",$D1513=클레임조회!$C$7),OR(클레임조회!$C$8="",$E1513=클레임조회!$C$8),OR(클레임조회!$C$9="",$F1513=클레임조회!$C$9),OR(클레임조회!$C$10="",ISNUMBER(SEARCH(클레임조회!$C$10,$C1513&amp;" "&amp;$F1513&amp;" "&amp;$G1513&amp;" "&amp;$H1513)))),COUNT(O$1:O1512)+1,"")</f>
        <v/>
      </c>
      <c r="P1513" s="0" t="str">
        <f aca="false">IF(AND(TRIM(C1513)&lt;&gt;"",COUNTIF(C$2:C1513,C1513)=1),MAX(P$1:P1512)+1,"")</f>
        <v/>
      </c>
      <c r="Q1513" s="0" t="str">
        <f aca="false">IF(AND(TRIM(F1513)&lt;&gt;"",COUNTIF(F$2:F1513,F1513)=1),MAX(Q$1:Q1512)+1,"")</f>
        <v/>
      </c>
    </row>
    <row r="1514" customFormat="false" ht="15" hidden="false" customHeight="false" outlineLevel="0" collapsed="false">
      <c r="A1514" s="9"/>
      <c r="B1514" s="10"/>
      <c r="C1514" s="11"/>
      <c r="D1514" s="11"/>
      <c r="E1514" s="11"/>
      <c r="F1514" s="11"/>
      <c r="G1514" s="12"/>
      <c r="H1514" s="12"/>
      <c r="I1514" s="10"/>
      <c r="J1514" s="12"/>
      <c r="K1514" s="13" t="str">
        <f aca="false">IF(ISNUMBER(B1514),YEAR(B1514),"")</f>
        <v/>
      </c>
      <c r="L1514" s="13" t="str">
        <f aca="false">IF(ISNUMBER(B1514),MONTH(B1514),"")</f>
        <v/>
      </c>
      <c r="M1514" s="13" t="str">
        <f aca="false">IF(AND(ISNUMBER(B1514),ISNUMBER(I1514)),B1514-I1514+1,"")</f>
        <v/>
      </c>
      <c r="N1514" s="14" t="str">
        <f aca="false">IF(B1514="","",IF(M1514="","시작일 미입력",IF(M1514&lt;1,"시작일 이전(확인)",IF(M1514=1,"1일째",IF(M1514=2,"2일째",IF(M1514=3,"3일째",IF(M1514&lt;=7,"일주일 이내",IF(M1514&lt;=14,"이주일 이내","15일 이후"))))))))</f>
        <v/>
      </c>
      <c r="O1514" s="0" t="str">
        <f aca="false">IF(AND(COUNTA($A1514:$J1514)&gt;0,OR(클레임조회!$C$4="",AND(ISNUMBER($B1514),$B1514&gt;=클레임조회!$C$4)),OR(클레임조회!$C$5="",AND(ISNUMBER($B1514),$B1514&lt;=클레임조회!$C$5)),OR(클레임조회!$C$6="",$C1514=클레임조회!$C$6),OR(클레임조회!$C$7="",$D1514=클레임조회!$C$7),OR(클레임조회!$C$8="",$E1514=클레임조회!$C$8),OR(클레임조회!$C$9="",$F1514=클레임조회!$C$9),OR(클레임조회!$C$10="",ISNUMBER(SEARCH(클레임조회!$C$10,$C1514&amp;" "&amp;$F1514&amp;" "&amp;$G1514&amp;" "&amp;$H1514)))),COUNT(O$1:O1513)+1,"")</f>
        <v/>
      </c>
      <c r="P1514" s="0" t="str">
        <f aca="false">IF(AND(TRIM(C1514)&lt;&gt;"",COUNTIF(C$2:C1514,C1514)=1),MAX(P$1:P1513)+1,"")</f>
        <v/>
      </c>
      <c r="Q1514" s="0" t="str">
        <f aca="false">IF(AND(TRIM(F1514)&lt;&gt;"",COUNTIF(F$2:F1514,F1514)=1),MAX(Q$1:Q1513)+1,"")</f>
        <v/>
      </c>
    </row>
    <row r="1515" customFormat="false" ht="15" hidden="false" customHeight="false" outlineLevel="0" collapsed="false">
      <c r="A1515" s="9"/>
      <c r="B1515" s="10"/>
      <c r="C1515" s="11"/>
      <c r="D1515" s="11"/>
      <c r="E1515" s="11"/>
      <c r="F1515" s="11"/>
      <c r="G1515" s="12"/>
      <c r="H1515" s="12"/>
      <c r="I1515" s="10"/>
      <c r="J1515" s="12"/>
      <c r="K1515" s="13" t="str">
        <f aca="false">IF(ISNUMBER(B1515),YEAR(B1515),"")</f>
        <v/>
      </c>
      <c r="L1515" s="13" t="str">
        <f aca="false">IF(ISNUMBER(B1515),MONTH(B1515),"")</f>
        <v/>
      </c>
      <c r="M1515" s="13" t="str">
        <f aca="false">IF(AND(ISNUMBER(B1515),ISNUMBER(I1515)),B1515-I1515+1,"")</f>
        <v/>
      </c>
      <c r="N1515" s="14" t="str">
        <f aca="false">IF(B1515="","",IF(M1515="","시작일 미입력",IF(M1515&lt;1,"시작일 이전(확인)",IF(M1515=1,"1일째",IF(M1515=2,"2일째",IF(M1515=3,"3일째",IF(M1515&lt;=7,"일주일 이내",IF(M1515&lt;=14,"이주일 이내","15일 이후"))))))))</f>
        <v/>
      </c>
      <c r="O1515" s="0" t="str">
        <f aca="false">IF(AND(COUNTA($A1515:$J1515)&gt;0,OR(클레임조회!$C$4="",AND(ISNUMBER($B1515),$B1515&gt;=클레임조회!$C$4)),OR(클레임조회!$C$5="",AND(ISNUMBER($B1515),$B1515&lt;=클레임조회!$C$5)),OR(클레임조회!$C$6="",$C1515=클레임조회!$C$6),OR(클레임조회!$C$7="",$D1515=클레임조회!$C$7),OR(클레임조회!$C$8="",$E1515=클레임조회!$C$8),OR(클레임조회!$C$9="",$F1515=클레임조회!$C$9),OR(클레임조회!$C$10="",ISNUMBER(SEARCH(클레임조회!$C$10,$C1515&amp;" "&amp;$F1515&amp;" "&amp;$G1515&amp;" "&amp;$H1515)))),COUNT(O$1:O1514)+1,"")</f>
        <v/>
      </c>
      <c r="P1515" s="0" t="str">
        <f aca="false">IF(AND(TRIM(C1515)&lt;&gt;"",COUNTIF(C$2:C1515,C1515)=1),MAX(P$1:P1514)+1,"")</f>
        <v/>
      </c>
      <c r="Q1515" s="0" t="str">
        <f aca="false">IF(AND(TRIM(F1515)&lt;&gt;"",COUNTIF(F$2:F1515,F1515)=1),MAX(Q$1:Q1514)+1,"")</f>
        <v/>
      </c>
    </row>
    <row r="1516" customFormat="false" ht="15" hidden="false" customHeight="false" outlineLevel="0" collapsed="false">
      <c r="A1516" s="9"/>
      <c r="B1516" s="10"/>
      <c r="C1516" s="11"/>
      <c r="D1516" s="11"/>
      <c r="E1516" s="11"/>
      <c r="F1516" s="11"/>
      <c r="G1516" s="12"/>
      <c r="H1516" s="12"/>
      <c r="I1516" s="10"/>
      <c r="J1516" s="12"/>
      <c r="K1516" s="13" t="str">
        <f aca="false">IF(ISNUMBER(B1516),YEAR(B1516),"")</f>
        <v/>
      </c>
      <c r="L1516" s="13" t="str">
        <f aca="false">IF(ISNUMBER(B1516),MONTH(B1516),"")</f>
        <v/>
      </c>
      <c r="M1516" s="13" t="str">
        <f aca="false">IF(AND(ISNUMBER(B1516),ISNUMBER(I1516)),B1516-I1516+1,"")</f>
        <v/>
      </c>
      <c r="N1516" s="14" t="str">
        <f aca="false">IF(B1516="","",IF(M1516="","시작일 미입력",IF(M1516&lt;1,"시작일 이전(확인)",IF(M1516=1,"1일째",IF(M1516=2,"2일째",IF(M1516=3,"3일째",IF(M1516&lt;=7,"일주일 이내",IF(M1516&lt;=14,"이주일 이내","15일 이후"))))))))</f>
        <v/>
      </c>
      <c r="O1516" s="0" t="str">
        <f aca="false">IF(AND(COUNTA($A1516:$J1516)&gt;0,OR(클레임조회!$C$4="",AND(ISNUMBER($B1516),$B1516&gt;=클레임조회!$C$4)),OR(클레임조회!$C$5="",AND(ISNUMBER($B1516),$B1516&lt;=클레임조회!$C$5)),OR(클레임조회!$C$6="",$C1516=클레임조회!$C$6),OR(클레임조회!$C$7="",$D1516=클레임조회!$C$7),OR(클레임조회!$C$8="",$E1516=클레임조회!$C$8),OR(클레임조회!$C$9="",$F1516=클레임조회!$C$9),OR(클레임조회!$C$10="",ISNUMBER(SEARCH(클레임조회!$C$10,$C1516&amp;" "&amp;$F1516&amp;" "&amp;$G1516&amp;" "&amp;$H1516)))),COUNT(O$1:O1515)+1,"")</f>
        <v/>
      </c>
      <c r="P1516" s="0" t="str">
        <f aca="false">IF(AND(TRIM(C1516)&lt;&gt;"",COUNTIF(C$2:C1516,C1516)=1),MAX(P$1:P1515)+1,"")</f>
        <v/>
      </c>
      <c r="Q1516" s="0" t="str">
        <f aca="false">IF(AND(TRIM(F1516)&lt;&gt;"",COUNTIF(F$2:F1516,F1516)=1),MAX(Q$1:Q1515)+1,"")</f>
        <v/>
      </c>
    </row>
    <row r="1517" customFormat="false" ht="15" hidden="false" customHeight="false" outlineLevel="0" collapsed="false">
      <c r="A1517" s="9"/>
      <c r="B1517" s="10"/>
      <c r="C1517" s="11"/>
      <c r="D1517" s="11"/>
      <c r="E1517" s="11"/>
      <c r="F1517" s="11"/>
      <c r="G1517" s="12"/>
      <c r="H1517" s="12"/>
      <c r="I1517" s="10"/>
      <c r="J1517" s="12"/>
      <c r="K1517" s="13" t="str">
        <f aca="false">IF(ISNUMBER(B1517),YEAR(B1517),"")</f>
        <v/>
      </c>
      <c r="L1517" s="13" t="str">
        <f aca="false">IF(ISNUMBER(B1517),MONTH(B1517),"")</f>
        <v/>
      </c>
      <c r="M1517" s="13" t="str">
        <f aca="false">IF(AND(ISNUMBER(B1517),ISNUMBER(I1517)),B1517-I1517+1,"")</f>
        <v/>
      </c>
      <c r="N1517" s="14" t="str">
        <f aca="false">IF(B1517="","",IF(M1517="","시작일 미입력",IF(M1517&lt;1,"시작일 이전(확인)",IF(M1517=1,"1일째",IF(M1517=2,"2일째",IF(M1517=3,"3일째",IF(M1517&lt;=7,"일주일 이내",IF(M1517&lt;=14,"이주일 이내","15일 이후"))))))))</f>
        <v/>
      </c>
      <c r="O1517" s="0" t="str">
        <f aca="false">IF(AND(COUNTA($A1517:$J1517)&gt;0,OR(클레임조회!$C$4="",AND(ISNUMBER($B1517),$B1517&gt;=클레임조회!$C$4)),OR(클레임조회!$C$5="",AND(ISNUMBER($B1517),$B1517&lt;=클레임조회!$C$5)),OR(클레임조회!$C$6="",$C1517=클레임조회!$C$6),OR(클레임조회!$C$7="",$D1517=클레임조회!$C$7),OR(클레임조회!$C$8="",$E1517=클레임조회!$C$8),OR(클레임조회!$C$9="",$F1517=클레임조회!$C$9),OR(클레임조회!$C$10="",ISNUMBER(SEARCH(클레임조회!$C$10,$C1517&amp;" "&amp;$F1517&amp;" "&amp;$G1517&amp;" "&amp;$H1517)))),COUNT(O$1:O1516)+1,"")</f>
        <v/>
      </c>
      <c r="P1517" s="0" t="str">
        <f aca="false">IF(AND(TRIM(C1517)&lt;&gt;"",COUNTIF(C$2:C1517,C1517)=1),MAX(P$1:P1516)+1,"")</f>
        <v/>
      </c>
      <c r="Q1517" s="0" t="str">
        <f aca="false">IF(AND(TRIM(F1517)&lt;&gt;"",COUNTIF(F$2:F1517,F1517)=1),MAX(Q$1:Q1516)+1,"")</f>
        <v/>
      </c>
    </row>
    <row r="1518" customFormat="false" ht="15" hidden="false" customHeight="false" outlineLevel="0" collapsed="false">
      <c r="A1518" s="9"/>
      <c r="B1518" s="10"/>
      <c r="C1518" s="11"/>
      <c r="D1518" s="11"/>
      <c r="E1518" s="11"/>
      <c r="F1518" s="11"/>
      <c r="G1518" s="12"/>
      <c r="H1518" s="12"/>
      <c r="I1518" s="10"/>
      <c r="J1518" s="12"/>
      <c r="K1518" s="13" t="str">
        <f aca="false">IF(ISNUMBER(B1518),YEAR(B1518),"")</f>
        <v/>
      </c>
      <c r="L1518" s="13" t="str">
        <f aca="false">IF(ISNUMBER(B1518),MONTH(B1518),"")</f>
        <v/>
      </c>
      <c r="M1518" s="13" t="str">
        <f aca="false">IF(AND(ISNUMBER(B1518),ISNUMBER(I1518)),B1518-I1518+1,"")</f>
        <v/>
      </c>
      <c r="N1518" s="14" t="str">
        <f aca="false">IF(B1518="","",IF(M1518="","시작일 미입력",IF(M1518&lt;1,"시작일 이전(확인)",IF(M1518=1,"1일째",IF(M1518=2,"2일째",IF(M1518=3,"3일째",IF(M1518&lt;=7,"일주일 이내",IF(M1518&lt;=14,"이주일 이내","15일 이후"))))))))</f>
        <v/>
      </c>
      <c r="O1518" s="0" t="str">
        <f aca="false">IF(AND(COUNTA($A1518:$J1518)&gt;0,OR(클레임조회!$C$4="",AND(ISNUMBER($B1518),$B1518&gt;=클레임조회!$C$4)),OR(클레임조회!$C$5="",AND(ISNUMBER($B1518),$B1518&lt;=클레임조회!$C$5)),OR(클레임조회!$C$6="",$C1518=클레임조회!$C$6),OR(클레임조회!$C$7="",$D1518=클레임조회!$C$7),OR(클레임조회!$C$8="",$E1518=클레임조회!$C$8),OR(클레임조회!$C$9="",$F1518=클레임조회!$C$9),OR(클레임조회!$C$10="",ISNUMBER(SEARCH(클레임조회!$C$10,$C1518&amp;" "&amp;$F1518&amp;" "&amp;$G1518&amp;" "&amp;$H1518)))),COUNT(O$1:O1517)+1,"")</f>
        <v/>
      </c>
      <c r="P1518" s="0" t="str">
        <f aca="false">IF(AND(TRIM(C1518)&lt;&gt;"",COUNTIF(C$2:C1518,C1518)=1),MAX(P$1:P1517)+1,"")</f>
        <v/>
      </c>
      <c r="Q1518" s="0" t="str">
        <f aca="false">IF(AND(TRIM(F1518)&lt;&gt;"",COUNTIF(F$2:F1518,F1518)=1),MAX(Q$1:Q1517)+1,"")</f>
        <v/>
      </c>
    </row>
    <row r="1519" customFormat="false" ht="15" hidden="false" customHeight="false" outlineLevel="0" collapsed="false">
      <c r="A1519" s="9"/>
      <c r="B1519" s="10"/>
      <c r="C1519" s="11"/>
      <c r="D1519" s="11"/>
      <c r="E1519" s="11"/>
      <c r="F1519" s="11"/>
      <c r="G1519" s="12"/>
      <c r="H1519" s="12"/>
      <c r="I1519" s="10"/>
      <c r="J1519" s="12"/>
      <c r="K1519" s="13" t="str">
        <f aca="false">IF(ISNUMBER(B1519),YEAR(B1519),"")</f>
        <v/>
      </c>
      <c r="L1519" s="13" t="str">
        <f aca="false">IF(ISNUMBER(B1519),MONTH(B1519),"")</f>
        <v/>
      </c>
      <c r="M1519" s="13" t="str">
        <f aca="false">IF(AND(ISNUMBER(B1519),ISNUMBER(I1519)),B1519-I1519+1,"")</f>
        <v/>
      </c>
      <c r="N1519" s="14" t="str">
        <f aca="false">IF(B1519="","",IF(M1519="","시작일 미입력",IF(M1519&lt;1,"시작일 이전(확인)",IF(M1519=1,"1일째",IF(M1519=2,"2일째",IF(M1519=3,"3일째",IF(M1519&lt;=7,"일주일 이내",IF(M1519&lt;=14,"이주일 이내","15일 이후"))))))))</f>
        <v/>
      </c>
      <c r="O1519" s="0" t="str">
        <f aca="false">IF(AND(COUNTA($A1519:$J1519)&gt;0,OR(클레임조회!$C$4="",AND(ISNUMBER($B1519),$B1519&gt;=클레임조회!$C$4)),OR(클레임조회!$C$5="",AND(ISNUMBER($B1519),$B1519&lt;=클레임조회!$C$5)),OR(클레임조회!$C$6="",$C1519=클레임조회!$C$6),OR(클레임조회!$C$7="",$D1519=클레임조회!$C$7),OR(클레임조회!$C$8="",$E1519=클레임조회!$C$8),OR(클레임조회!$C$9="",$F1519=클레임조회!$C$9),OR(클레임조회!$C$10="",ISNUMBER(SEARCH(클레임조회!$C$10,$C1519&amp;" "&amp;$F1519&amp;" "&amp;$G1519&amp;" "&amp;$H1519)))),COUNT(O$1:O1518)+1,"")</f>
        <v/>
      </c>
      <c r="P1519" s="0" t="str">
        <f aca="false">IF(AND(TRIM(C1519)&lt;&gt;"",COUNTIF(C$2:C1519,C1519)=1),MAX(P$1:P1518)+1,"")</f>
        <v/>
      </c>
      <c r="Q1519" s="0" t="str">
        <f aca="false">IF(AND(TRIM(F1519)&lt;&gt;"",COUNTIF(F$2:F1519,F1519)=1),MAX(Q$1:Q1518)+1,"")</f>
        <v/>
      </c>
    </row>
    <row r="1520" customFormat="false" ht="15" hidden="false" customHeight="false" outlineLevel="0" collapsed="false">
      <c r="A1520" s="9"/>
      <c r="B1520" s="10"/>
      <c r="C1520" s="11"/>
      <c r="D1520" s="11"/>
      <c r="E1520" s="11"/>
      <c r="F1520" s="11"/>
      <c r="G1520" s="12"/>
      <c r="H1520" s="12"/>
      <c r="I1520" s="10"/>
      <c r="J1520" s="12"/>
      <c r="K1520" s="13" t="str">
        <f aca="false">IF(ISNUMBER(B1520),YEAR(B1520),"")</f>
        <v/>
      </c>
      <c r="L1520" s="13" t="str">
        <f aca="false">IF(ISNUMBER(B1520),MONTH(B1520),"")</f>
        <v/>
      </c>
      <c r="M1520" s="13" t="str">
        <f aca="false">IF(AND(ISNUMBER(B1520),ISNUMBER(I1520)),B1520-I1520+1,"")</f>
        <v/>
      </c>
      <c r="N1520" s="14" t="str">
        <f aca="false">IF(B1520="","",IF(M1520="","시작일 미입력",IF(M1520&lt;1,"시작일 이전(확인)",IF(M1520=1,"1일째",IF(M1520=2,"2일째",IF(M1520=3,"3일째",IF(M1520&lt;=7,"일주일 이내",IF(M1520&lt;=14,"이주일 이내","15일 이후"))))))))</f>
        <v/>
      </c>
      <c r="O1520" s="0" t="str">
        <f aca="false">IF(AND(COUNTA($A1520:$J1520)&gt;0,OR(클레임조회!$C$4="",AND(ISNUMBER($B1520),$B1520&gt;=클레임조회!$C$4)),OR(클레임조회!$C$5="",AND(ISNUMBER($B1520),$B1520&lt;=클레임조회!$C$5)),OR(클레임조회!$C$6="",$C1520=클레임조회!$C$6),OR(클레임조회!$C$7="",$D1520=클레임조회!$C$7),OR(클레임조회!$C$8="",$E1520=클레임조회!$C$8),OR(클레임조회!$C$9="",$F1520=클레임조회!$C$9),OR(클레임조회!$C$10="",ISNUMBER(SEARCH(클레임조회!$C$10,$C1520&amp;" "&amp;$F1520&amp;" "&amp;$G1520&amp;" "&amp;$H1520)))),COUNT(O$1:O1519)+1,"")</f>
        <v/>
      </c>
      <c r="P1520" s="0" t="str">
        <f aca="false">IF(AND(TRIM(C1520)&lt;&gt;"",COUNTIF(C$2:C1520,C1520)=1),MAX(P$1:P1519)+1,"")</f>
        <v/>
      </c>
      <c r="Q1520" s="0" t="str">
        <f aca="false">IF(AND(TRIM(F1520)&lt;&gt;"",COUNTIF(F$2:F1520,F1520)=1),MAX(Q$1:Q1519)+1,"")</f>
        <v/>
      </c>
    </row>
    <row r="1521" customFormat="false" ht="15" hidden="false" customHeight="false" outlineLevel="0" collapsed="false">
      <c r="A1521" s="9"/>
      <c r="B1521" s="10"/>
      <c r="C1521" s="11"/>
      <c r="D1521" s="11"/>
      <c r="E1521" s="11"/>
      <c r="F1521" s="11"/>
      <c r="G1521" s="12"/>
      <c r="H1521" s="12"/>
      <c r="I1521" s="10"/>
      <c r="J1521" s="12"/>
      <c r="K1521" s="13" t="str">
        <f aca="false">IF(ISNUMBER(B1521),YEAR(B1521),"")</f>
        <v/>
      </c>
      <c r="L1521" s="13" t="str">
        <f aca="false">IF(ISNUMBER(B1521),MONTH(B1521),"")</f>
        <v/>
      </c>
      <c r="M1521" s="13" t="str">
        <f aca="false">IF(AND(ISNUMBER(B1521),ISNUMBER(I1521)),B1521-I1521+1,"")</f>
        <v/>
      </c>
      <c r="N1521" s="14" t="str">
        <f aca="false">IF(B1521="","",IF(M1521="","시작일 미입력",IF(M1521&lt;1,"시작일 이전(확인)",IF(M1521=1,"1일째",IF(M1521=2,"2일째",IF(M1521=3,"3일째",IF(M1521&lt;=7,"일주일 이내",IF(M1521&lt;=14,"이주일 이내","15일 이후"))))))))</f>
        <v/>
      </c>
      <c r="O1521" s="0" t="str">
        <f aca="false">IF(AND(COUNTA($A1521:$J1521)&gt;0,OR(클레임조회!$C$4="",AND(ISNUMBER($B1521),$B1521&gt;=클레임조회!$C$4)),OR(클레임조회!$C$5="",AND(ISNUMBER($B1521),$B1521&lt;=클레임조회!$C$5)),OR(클레임조회!$C$6="",$C1521=클레임조회!$C$6),OR(클레임조회!$C$7="",$D1521=클레임조회!$C$7),OR(클레임조회!$C$8="",$E1521=클레임조회!$C$8),OR(클레임조회!$C$9="",$F1521=클레임조회!$C$9),OR(클레임조회!$C$10="",ISNUMBER(SEARCH(클레임조회!$C$10,$C1521&amp;" "&amp;$F1521&amp;" "&amp;$G1521&amp;" "&amp;$H1521)))),COUNT(O$1:O1520)+1,"")</f>
        <v/>
      </c>
      <c r="P1521" s="0" t="str">
        <f aca="false">IF(AND(TRIM(C1521)&lt;&gt;"",COUNTIF(C$2:C1521,C1521)=1),MAX(P$1:P1520)+1,"")</f>
        <v/>
      </c>
      <c r="Q1521" s="0" t="str">
        <f aca="false">IF(AND(TRIM(F1521)&lt;&gt;"",COUNTIF(F$2:F1521,F1521)=1),MAX(Q$1:Q1520)+1,"")</f>
        <v/>
      </c>
    </row>
    <row r="1522" customFormat="false" ht="15" hidden="false" customHeight="false" outlineLevel="0" collapsed="false">
      <c r="A1522" s="9"/>
      <c r="B1522" s="10"/>
      <c r="C1522" s="11"/>
      <c r="D1522" s="11"/>
      <c r="E1522" s="11"/>
      <c r="F1522" s="11"/>
      <c r="G1522" s="12"/>
      <c r="H1522" s="12"/>
      <c r="I1522" s="10"/>
      <c r="J1522" s="12"/>
      <c r="K1522" s="13" t="str">
        <f aca="false">IF(ISNUMBER(B1522),YEAR(B1522),"")</f>
        <v/>
      </c>
      <c r="L1522" s="13" t="str">
        <f aca="false">IF(ISNUMBER(B1522),MONTH(B1522),"")</f>
        <v/>
      </c>
      <c r="M1522" s="13" t="str">
        <f aca="false">IF(AND(ISNUMBER(B1522),ISNUMBER(I1522)),B1522-I1522+1,"")</f>
        <v/>
      </c>
      <c r="N1522" s="14" t="str">
        <f aca="false">IF(B1522="","",IF(M1522="","시작일 미입력",IF(M1522&lt;1,"시작일 이전(확인)",IF(M1522=1,"1일째",IF(M1522=2,"2일째",IF(M1522=3,"3일째",IF(M1522&lt;=7,"일주일 이내",IF(M1522&lt;=14,"이주일 이내","15일 이후"))))))))</f>
        <v/>
      </c>
      <c r="O1522" s="0" t="str">
        <f aca="false">IF(AND(COUNTA($A1522:$J1522)&gt;0,OR(클레임조회!$C$4="",AND(ISNUMBER($B1522),$B1522&gt;=클레임조회!$C$4)),OR(클레임조회!$C$5="",AND(ISNUMBER($B1522),$B1522&lt;=클레임조회!$C$5)),OR(클레임조회!$C$6="",$C1522=클레임조회!$C$6),OR(클레임조회!$C$7="",$D1522=클레임조회!$C$7),OR(클레임조회!$C$8="",$E1522=클레임조회!$C$8),OR(클레임조회!$C$9="",$F1522=클레임조회!$C$9),OR(클레임조회!$C$10="",ISNUMBER(SEARCH(클레임조회!$C$10,$C1522&amp;" "&amp;$F1522&amp;" "&amp;$G1522&amp;" "&amp;$H1522)))),COUNT(O$1:O1521)+1,"")</f>
        <v/>
      </c>
      <c r="P1522" s="0" t="str">
        <f aca="false">IF(AND(TRIM(C1522)&lt;&gt;"",COUNTIF(C$2:C1522,C1522)=1),MAX(P$1:P1521)+1,"")</f>
        <v/>
      </c>
      <c r="Q1522" s="0" t="str">
        <f aca="false">IF(AND(TRIM(F1522)&lt;&gt;"",COUNTIF(F$2:F1522,F1522)=1),MAX(Q$1:Q1521)+1,"")</f>
        <v/>
      </c>
    </row>
    <row r="1523" customFormat="false" ht="15" hidden="false" customHeight="false" outlineLevel="0" collapsed="false">
      <c r="A1523" s="9"/>
      <c r="B1523" s="10"/>
      <c r="C1523" s="11"/>
      <c r="D1523" s="11"/>
      <c r="E1523" s="11"/>
      <c r="F1523" s="11"/>
      <c r="G1523" s="12"/>
      <c r="H1523" s="12"/>
      <c r="I1523" s="10"/>
      <c r="J1523" s="12"/>
      <c r="K1523" s="13" t="str">
        <f aca="false">IF(ISNUMBER(B1523),YEAR(B1523),"")</f>
        <v/>
      </c>
      <c r="L1523" s="13" t="str">
        <f aca="false">IF(ISNUMBER(B1523),MONTH(B1523),"")</f>
        <v/>
      </c>
      <c r="M1523" s="13" t="str">
        <f aca="false">IF(AND(ISNUMBER(B1523),ISNUMBER(I1523)),B1523-I1523+1,"")</f>
        <v/>
      </c>
      <c r="N1523" s="14" t="str">
        <f aca="false">IF(B1523="","",IF(M1523="","시작일 미입력",IF(M1523&lt;1,"시작일 이전(확인)",IF(M1523=1,"1일째",IF(M1523=2,"2일째",IF(M1523=3,"3일째",IF(M1523&lt;=7,"일주일 이내",IF(M1523&lt;=14,"이주일 이내","15일 이후"))))))))</f>
        <v/>
      </c>
      <c r="O1523" s="0" t="str">
        <f aca="false">IF(AND(COUNTA($A1523:$J1523)&gt;0,OR(클레임조회!$C$4="",AND(ISNUMBER($B1523),$B1523&gt;=클레임조회!$C$4)),OR(클레임조회!$C$5="",AND(ISNUMBER($B1523),$B1523&lt;=클레임조회!$C$5)),OR(클레임조회!$C$6="",$C1523=클레임조회!$C$6),OR(클레임조회!$C$7="",$D1523=클레임조회!$C$7),OR(클레임조회!$C$8="",$E1523=클레임조회!$C$8),OR(클레임조회!$C$9="",$F1523=클레임조회!$C$9),OR(클레임조회!$C$10="",ISNUMBER(SEARCH(클레임조회!$C$10,$C1523&amp;" "&amp;$F1523&amp;" "&amp;$G1523&amp;" "&amp;$H1523)))),COUNT(O$1:O1522)+1,"")</f>
        <v/>
      </c>
      <c r="P1523" s="0" t="str">
        <f aca="false">IF(AND(TRIM(C1523)&lt;&gt;"",COUNTIF(C$2:C1523,C1523)=1),MAX(P$1:P1522)+1,"")</f>
        <v/>
      </c>
      <c r="Q1523" s="0" t="str">
        <f aca="false">IF(AND(TRIM(F1523)&lt;&gt;"",COUNTIF(F$2:F1523,F1523)=1),MAX(Q$1:Q1522)+1,"")</f>
        <v/>
      </c>
    </row>
    <row r="1524" customFormat="false" ht="15" hidden="false" customHeight="false" outlineLevel="0" collapsed="false">
      <c r="A1524" s="9"/>
      <c r="B1524" s="10"/>
      <c r="C1524" s="11"/>
      <c r="D1524" s="11"/>
      <c r="E1524" s="11"/>
      <c r="F1524" s="11"/>
      <c r="G1524" s="12"/>
      <c r="H1524" s="12"/>
      <c r="I1524" s="10"/>
      <c r="J1524" s="12"/>
      <c r="K1524" s="13" t="str">
        <f aca="false">IF(ISNUMBER(B1524),YEAR(B1524),"")</f>
        <v/>
      </c>
      <c r="L1524" s="13" t="str">
        <f aca="false">IF(ISNUMBER(B1524),MONTH(B1524),"")</f>
        <v/>
      </c>
      <c r="M1524" s="13" t="str">
        <f aca="false">IF(AND(ISNUMBER(B1524),ISNUMBER(I1524)),B1524-I1524+1,"")</f>
        <v/>
      </c>
      <c r="N1524" s="14" t="str">
        <f aca="false">IF(B1524="","",IF(M1524="","시작일 미입력",IF(M1524&lt;1,"시작일 이전(확인)",IF(M1524=1,"1일째",IF(M1524=2,"2일째",IF(M1524=3,"3일째",IF(M1524&lt;=7,"일주일 이내",IF(M1524&lt;=14,"이주일 이내","15일 이후"))))))))</f>
        <v/>
      </c>
      <c r="O1524" s="0" t="str">
        <f aca="false">IF(AND(COUNTA($A1524:$J1524)&gt;0,OR(클레임조회!$C$4="",AND(ISNUMBER($B1524),$B1524&gt;=클레임조회!$C$4)),OR(클레임조회!$C$5="",AND(ISNUMBER($B1524),$B1524&lt;=클레임조회!$C$5)),OR(클레임조회!$C$6="",$C1524=클레임조회!$C$6),OR(클레임조회!$C$7="",$D1524=클레임조회!$C$7),OR(클레임조회!$C$8="",$E1524=클레임조회!$C$8),OR(클레임조회!$C$9="",$F1524=클레임조회!$C$9),OR(클레임조회!$C$10="",ISNUMBER(SEARCH(클레임조회!$C$10,$C1524&amp;" "&amp;$F1524&amp;" "&amp;$G1524&amp;" "&amp;$H1524)))),COUNT(O$1:O1523)+1,"")</f>
        <v/>
      </c>
      <c r="P1524" s="0" t="str">
        <f aca="false">IF(AND(TRIM(C1524)&lt;&gt;"",COUNTIF(C$2:C1524,C1524)=1),MAX(P$1:P1523)+1,"")</f>
        <v/>
      </c>
      <c r="Q1524" s="0" t="str">
        <f aca="false">IF(AND(TRIM(F1524)&lt;&gt;"",COUNTIF(F$2:F1524,F1524)=1),MAX(Q$1:Q1523)+1,"")</f>
        <v/>
      </c>
    </row>
    <row r="1525" customFormat="false" ht="15" hidden="false" customHeight="false" outlineLevel="0" collapsed="false">
      <c r="A1525" s="9"/>
      <c r="B1525" s="10"/>
      <c r="C1525" s="11"/>
      <c r="D1525" s="11"/>
      <c r="E1525" s="11"/>
      <c r="F1525" s="11"/>
      <c r="G1525" s="12"/>
      <c r="H1525" s="12"/>
      <c r="I1525" s="10"/>
      <c r="J1525" s="12"/>
      <c r="K1525" s="13" t="str">
        <f aca="false">IF(ISNUMBER(B1525),YEAR(B1525),"")</f>
        <v/>
      </c>
      <c r="L1525" s="13" t="str">
        <f aca="false">IF(ISNUMBER(B1525),MONTH(B1525),"")</f>
        <v/>
      </c>
      <c r="M1525" s="13" t="str">
        <f aca="false">IF(AND(ISNUMBER(B1525),ISNUMBER(I1525)),B1525-I1525+1,"")</f>
        <v/>
      </c>
      <c r="N1525" s="14" t="str">
        <f aca="false">IF(B1525="","",IF(M1525="","시작일 미입력",IF(M1525&lt;1,"시작일 이전(확인)",IF(M1525=1,"1일째",IF(M1525=2,"2일째",IF(M1525=3,"3일째",IF(M1525&lt;=7,"일주일 이내",IF(M1525&lt;=14,"이주일 이내","15일 이후"))))))))</f>
        <v/>
      </c>
      <c r="O1525" s="0" t="str">
        <f aca="false">IF(AND(COUNTA($A1525:$J1525)&gt;0,OR(클레임조회!$C$4="",AND(ISNUMBER($B1525),$B1525&gt;=클레임조회!$C$4)),OR(클레임조회!$C$5="",AND(ISNUMBER($B1525),$B1525&lt;=클레임조회!$C$5)),OR(클레임조회!$C$6="",$C1525=클레임조회!$C$6),OR(클레임조회!$C$7="",$D1525=클레임조회!$C$7),OR(클레임조회!$C$8="",$E1525=클레임조회!$C$8),OR(클레임조회!$C$9="",$F1525=클레임조회!$C$9),OR(클레임조회!$C$10="",ISNUMBER(SEARCH(클레임조회!$C$10,$C1525&amp;" "&amp;$F1525&amp;" "&amp;$G1525&amp;" "&amp;$H1525)))),COUNT(O$1:O1524)+1,"")</f>
        <v/>
      </c>
      <c r="P1525" s="0" t="str">
        <f aca="false">IF(AND(TRIM(C1525)&lt;&gt;"",COUNTIF(C$2:C1525,C1525)=1),MAX(P$1:P1524)+1,"")</f>
        <v/>
      </c>
      <c r="Q1525" s="0" t="str">
        <f aca="false">IF(AND(TRIM(F1525)&lt;&gt;"",COUNTIF(F$2:F1525,F1525)=1),MAX(Q$1:Q1524)+1,"")</f>
        <v/>
      </c>
    </row>
    <row r="1526" customFormat="false" ht="15" hidden="false" customHeight="false" outlineLevel="0" collapsed="false">
      <c r="A1526" s="9"/>
      <c r="B1526" s="10"/>
      <c r="C1526" s="11"/>
      <c r="D1526" s="11"/>
      <c r="E1526" s="11"/>
      <c r="F1526" s="11"/>
      <c r="G1526" s="12"/>
      <c r="H1526" s="12"/>
      <c r="I1526" s="10"/>
      <c r="J1526" s="12"/>
      <c r="K1526" s="13" t="str">
        <f aca="false">IF(ISNUMBER(B1526),YEAR(B1526),"")</f>
        <v/>
      </c>
      <c r="L1526" s="13" t="str">
        <f aca="false">IF(ISNUMBER(B1526),MONTH(B1526),"")</f>
        <v/>
      </c>
      <c r="M1526" s="13" t="str">
        <f aca="false">IF(AND(ISNUMBER(B1526),ISNUMBER(I1526)),B1526-I1526+1,"")</f>
        <v/>
      </c>
      <c r="N1526" s="14" t="str">
        <f aca="false">IF(B1526="","",IF(M1526="","시작일 미입력",IF(M1526&lt;1,"시작일 이전(확인)",IF(M1526=1,"1일째",IF(M1526=2,"2일째",IF(M1526=3,"3일째",IF(M1526&lt;=7,"일주일 이내",IF(M1526&lt;=14,"이주일 이내","15일 이후"))))))))</f>
        <v/>
      </c>
      <c r="O1526" s="0" t="str">
        <f aca="false">IF(AND(COUNTA($A1526:$J1526)&gt;0,OR(클레임조회!$C$4="",AND(ISNUMBER($B1526),$B1526&gt;=클레임조회!$C$4)),OR(클레임조회!$C$5="",AND(ISNUMBER($B1526),$B1526&lt;=클레임조회!$C$5)),OR(클레임조회!$C$6="",$C1526=클레임조회!$C$6),OR(클레임조회!$C$7="",$D1526=클레임조회!$C$7),OR(클레임조회!$C$8="",$E1526=클레임조회!$C$8),OR(클레임조회!$C$9="",$F1526=클레임조회!$C$9),OR(클레임조회!$C$10="",ISNUMBER(SEARCH(클레임조회!$C$10,$C1526&amp;" "&amp;$F1526&amp;" "&amp;$G1526&amp;" "&amp;$H1526)))),COUNT(O$1:O1525)+1,"")</f>
        <v/>
      </c>
      <c r="P1526" s="0" t="str">
        <f aca="false">IF(AND(TRIM(C1526)&lt;&gt;"",COUNTIF(C$2:C1526,C1526)=1),MAX(P$1:P1525)+1,"")</f>
        <v/>
      </c>
      <c r="Q1526" s="0" t="str">
        <f aca="false">IF(AND(TRIM(F1526)&lt;&gt;"",COUNTIF(F$2:F1526,F1526)=1),MAX(Q$1:Q1525)+1,"")</f>
        <v/>
      </c>
    </row>
    <row r="1527" customFormat="false" ht="15" hidden="false" customHeight="false" outlineLevel="0" collapsed="false">
      <c r="A1527" s="9"/>
      <c r="B1527" s="10"/>
      <c r="C1527" s="11"/>
      <c r="D1527" s="11"/>
      <c r="E1527" s="11"/>
      <c r="F1527" s="11"/>
      <c r="G1527" s="12"/>
      <c r="H1527" s="12"/>
      <c r="I1527" s="10"/>
      <c r="J1527" s="12"/>
      <c r="K1527" s="13" t="str">
        <f aca="false">IF(ISNUMBER(B1527),YEAR(B1527),"")</f>
        <v/>
      </c>
      <c r="L1527" s="13" t="str">
        <f aca="false">IF(ISNUMBER(B1527),MONTH(B1527),"")</f>
        <v/>
      </c>
      <c r="M1527" s="13" t="str">
        <f aca="false">IF(AND(ISNUMBER(B1527),ISNUMBER(I1527)),B1527-I1527+1,"")</f>
        <v/>
      </c>
      <c r="N1527" s="14" t="str">
        <f aca="false">IF(B1527="","",IF(M1527="","시작일 미입력",IF(M1527&lt;1,"시작일 이전(확인)",IF(M1527=1,"1일째",IF(M1527=2,"2일째",IF(M1527=3,"3일째",IF(M1527&lt;=7,"일주일 이내",IF(M1527&lt;=14,"이주일 이내","15일 이후"))))))))</f>
        <v/>
      </c>
      <c r="O1527" s="0" t="str">
        <f aca="false">IF(AND(COUNTA($A1527:$J1527)&gt;0,OR(클레임조회!$C$4="",AND(ISNUMBER($B1527),$B1527&gt;=클레임조회!$C$4)),OR(클레임조회!$C$5="",AND(ISNUMBER($B1527),$B1527&lt;=클레임조회!$C$5)),OR(클레임조회!$C$6="",$C1527=클레임조회!$C$6),OR(클레임조회!$C$7="",$D1527=클레임조회!$C$7),OR(클레임조회!$C$8="",$E1527=클레임조회!$C$8),OR(클레임조회!$C$9="",$F1527=클레임조회!$C$9),OR(클레임조회!$C$10="",ISNUMBER(SEARCH(클레임조회!$C$10,$C1527&amp;" "&amp;$F1527&amp;" "&amp;$G1527&amp;" "&amp;$H1527)))),COUNT(O$1:O1526)+1,"")</f>
        <v/>
      </c>
      <c r="P1527" s="0" t="str">
        <f aca="false">IF(AND(TRIM(C1527)&lt;&gt;"",COUNTIF(C$2:C1527,C1527)=1),MAX(P$1:P1526)+1,"")</f>
        <v/>
      </c>
      <c r="Q1527" s="0" t="str">
        <f aca="false">IF(AND(TRIM(F1527)&lt;&gt;"",COUNTIF(F$2:F1527,F1527)=1),MAX(Q$1:Q1526)+1,"")</f>
        <v/>
      </c>
    </row>
    <row r="1528" customFormat="false" ht="15" hidden="false" customHeight="false" outlineLevel="0" collapsed="false">
      <c r="A1528" s="9"/>
      <c r="B1528" s="10"/>
      <c r="C1528" s="11"/>
      <c r="D1528" s="11"/>
      <c r="E1528" s="11"/>
      <c r="F1528" s="11"/>
      <c r="G1528" s="12"/>
      <c r="H1528" s="12"/>
      <c r="I1528" s="10"/>
      <c r="J1528" s="12"/>
      <c r="K1528" s="13" t="str">
        <f aca="false">IF(ISNUMBER(B1528),YEAR(B1528),"")</f>
        <v/>
      </c>
      <c r="L1528" s="13" t="str">
        <f aca="false">IF(ISNUMBER(B1528),MONTH(B1528),"")</f>
        <v/>
      </c>
      <c r="M1528" s="13" t="str">
        <f aca="false">IF(AND(ISNUMBER(B1528),ISNUMBER(I1528)),B1528-I1528+1,"")</f>
        <v/>
      </c>
      <c r="N1528" s="14" t="str">
        <f aca="false">IF(B1528="","",IF(M1528="","시작일 미입력",IF(M1528&lt;1,"시작일 이전(확인)",IF(M1528=1,"1일째",IF(M1528=2,"2일째",IF(M1528=3,"3일째",IF(M1528&lt;=7,"일주일 이내",IF(M1528&lt;=14,"이주일 이내","15일 이후"))))))))</f>
        <v/>
      </c>
      <c r="O1528" s="0" t="str">
        <f aca="false">IF(AND(COUNTA($A1528:$J1528)&gt;0,OR(클레임조회!$C$4="",AND(ISNUMBER($B1528),$B1528&gt;=클레임조회!$C$4)),OR(클레임조회!$C$5="",AND(ISNUMBER($B1528),$B1528&lt;=클레임조회!$C$5)),OR(클레임조회!$C$6="",$C1528=클레임조회!$C$6),OR(클레임조회!$C$7="",$D1528=클레임조회!$C$7),OR(클레임조회!$C$8="",$E1528=클레임조회!$C$8),OR(클레임조회!$C$9="",$F1528=클레임조회!$C$9),OR(클레임조회!$C$10="",ISNUMBER(SEARCH(클레임조회!$C$10,$C1528&amp;" "&amp;$F1528&amp;" "&amp;$G1528&amp;" "&amp;$H1528)))),COUNT(O$1:O1527)+1,"")</f>
        <v/>
      </c>
      <c r="P1528" s="0" t="str">
        <f aca="false">IF(AND(TRIM(C1528)&lt;&gt;"",COUNTIF(C$2:C1528,C1528)=1),MAX(P$1:P1527)+1,"")</f>
        <v/>
      </c>
      <c r="Q1528" s="0" t="str">
        <f aca="false">IF(AND(TRIM(F1528)&lt;&gt;"",COUNTIF(F$2:F1528,F1528)=1),MAX(Q$1:Q1527)+1,"")</f>
        <v/>
      </c>
    </row>
    <row r="1529" customFormat="false" ht="15" hidden="false" customHeight="false" outlineLevel="0" collapsed="false">
      <c r="A1529" s="9"/>
      <c r="B1529" s="10"/>
      <c r="C1529" s="11"/>
      <c r="D1529" s="11"/>
      <c r="E1529" s="11"/>
      <c r="F1529" s="11"/>
      <c r="G1529" s="12"/>
      <c r="H1529" s="12"/>
      <c r="I1529" s="10"/>
      <c r="J1529" s="12"/>
      <c r="K1529" s="13" t="str">
        <f aca="false">IF(ISNUMBER(B1529),YEAR(B1529),"")</f>
        <v/>
      </c>
      <c r="L1529" s="13" t="str">
        <f aca="false">IF(ISNUMBER(B1529),MONTH(B1529),"")</f>
        <v/>
      </c>
      <c r="M1529" s="13" t="str">
        <f aca="false">IF(AND(ISNUMBER(B1529),ISNUMBER(I1529)),B1529-I1529+1,"")</f>
        <v/>
      </c>
      <c r="N1529" s="14" t="str">
        <f aca="false">IF(B1529="","",IF(M1529="","시작일 미입력",IF(M1529&lt;1,"시작일 이전(확인)",IF(M1529=1,"1일째",IF(M1529=2,"2일째",IF(M1529=3,"3일째",IF(M1529&lt;=7,"일주일 이내",IF(M1529&lt;=14,"이주일 이내","15일 이후"))))))))</f>
        <v/>
      </c>
      <c r="O1529" s="0" t="str">
        <f aca="false">IF(AND(COUNTA($A1529:$J1529)&gt;0,OR(클레임조회!$C$4="",AND(ISNUMBER($B1529),$B1529&gt;=클레임조회!$C$4)),OR(클레임조회!$C$5="",AND(ISNUMBER($B1529),$B1529&lt;=클레임조회!$C$5)),OR(클레임조회!$C$6="",$C1529=클레임조회!$C$6),OR(클레임조회!$C$7="",$D1529=클레임조회!$C$7),OR(클레임조회!$C$8="",$E1529=클레임조회!$C$8),OR(클레임조회!$C$9="",$F1529=클레임조회!$C$9),OR(클레임조회!$C$10="",ISNUMBER(SEARCH(클레임조회!$C$10,$C1529&amp;" "&amp;$F1529&amp;" "&amp;$G1529&amp;" "&amp;$H1529)))),COUNT(O$1:O1528)+1,"")</f>
        <v/>
      </c>
      <c r="P1529" s="0" t="str">
        <f aca="false">IF(AND(TRIM(C1529)&lt;&gt;"",COUNTIF(C$2:C1529,C1529)=1),MAX(P$1:P1528)+1,"")</f>
        <v/>
      </c>
      <c r="Q1529" s="0" t="str">
        <f aca="false">IF(AND(TRIM(F1529)&lt;&gt;"",COUNTIF(F$2:F1529,F1529)=1),MAX(Q$1:Q1528)+1,"")</f>
        <v/>
      </c>
    </row>
    <row r="1530" customFormat="false" ht="15" hidden="false" customHeight="false" outlineLevel="0" collapsed="false">
      <c r="A1530" s="9"/>
      <c r="B1530" s="10"/>
      <c r="C1530" s="11"/>
      <c r="D1530" s="11"/>
      <c r="E1530" s="11"/>
      <c r="F1530" s="11"/>
      <c r="G1530" s="12"/>
      <c r="H1530" s="12"/>
      <c r="I1530" s="10"/>
      <c r="J1530" s="12"/>
      <c r="K1530" s="13" t="str">
        <f aca="false">IF(ISNUMBER(B1530),YEAR(B1530),"")</f>
        <v/>
      </c>
      <c r="L1530" s="13" t="str">
        <f aca="false">IF(ISNUMBER(B1530),MONTH(B1530),"")</f>
        <v/>
      </c>
      <c r="M1530" s="13" t="str">
        <f aca="false">IF(AND(ISNUMBER(B1530),ISNUMBER(I1530)),B1530-I1530+1,"")</f>
        <v/>
      </c>
      <c r="N1530" s="14" t="str">
        <f aca="false">IF(B1530="","",IF(M1530="","시작일 미입력",IF(M1530&lt;1,"시작일 이전(확인)",IF(M1530=1,"1일째",IF(M1530=2,"2일째",IF(M1530=3,"3일째",IF(M1530&lt;=7,"일주일 이내",IF(M1530&lt;=14,"이주일 이내","15일 이후"))))))))</f>
        <v/>
      </c>
      <c r="O1530" s="0" t="str">
        <f aca="false">IF(AND(COUNTA($A1530:$J1530)&gt;0,OR(클레임조회!$C$4="",AND(ISNUMBER($B1530),$B1530&gt;=클레임조회!$C$4)),OR(클레임조회!$C$5="",AND(ISNUMBER($B1530),$B1530&lt;=클레임조회!$C$5)),OR(클레임조회!$C$6="",$C1530=클레임조회!$C$6),OR(클레임조회!$C$7="",$D1530=클레임조회!$C$7),OR(클레임조회!$C$8="",$E1530=클레임조회!$C$8),OR(클레임조회!$C$9="",$F1530=클레임조회!$C$9),OR(클레임조회!$C$10="",ISNUMBER(SEARCH(클레임조회!$C$10,$C1530&amp;" "&amp;$F1530&amp;" "&amp;$G1530&amp;" "&amp;$H1530)))),COUNT(O$1:O1529)+1,"")</f>
        <v/>
      </c>
      <c r="P1530" s="0" t="str">
        <f aca="false">IF(AND(TRIM(C1530)&lt;&gt;"",COUNTIF(C$2:C1530,C1530)=1),MAX(P$1:P1529)+1,"")</f>
        <v/>
      </c>
      <c r="Q1530" s="0" t="str">
        <f aca="false">IF(AND(TRIM(F1530)&lt;&gt;"",COUNTIF(F$2:F1530,F1530)=1),MAX(Q$1:Q1529)+1,"")</f>
        <v/>
      </c>
    </row>
    <row r="1531" customFormat="false" ht="15" hidden="false" customHeight="false" outlineLevel="0" collapsed="false">
      <c r="A1531" s="9"/>
      <c r="B1531" s="10"/>
      <c r="C1531" s="11"/>
      <c r="D1531" s="11"/>
      <c r="E1531" s="11"/>
      <c r="F1531" s="11"/>
      <c r="G1531" s="12"/>
      <c r="H1531" s="12"/>
      <c r="I1531" s="10"/>
      <c r="J1531" s="12"/>
      <c r="K1531" s="13" t="str">
        <f aca="false">IF(ISNUMBER(B1531),YEAR(B1531),"")</f>
        <v/>
      </c>
      <c r="L1531" s="13" t="str">
        <f aca="false">IF(ISNUMBER(B1531),MONTH(B1531),"")</f>
        <v/>
      </c>
      <c r="M1531" s="13" t="str">
        <f aca="false">IF(AND(ISNUMBER(B1531),ISNUMBER(I1531)),B1531-I1531+1,"")</f>
        <v/>
      </c>
      <c r="N1531" s="14" t="str">
        <f aca="false">IF(B1531="","",IF(M1531="","시작일 미입력",IF(M1531&lt;1,"시작일 이전(확인)",IF(M1531=1,"1일째",IF(M1531=2,"2일째",IF(M1531=3,"3일째",IF(M1531&lt;=7,"일주일 이내",IF(M1531&lt;=14,"이주일 이내","15일 이후"))))))))</f>
        <v/>
      </c>
      <c r="O1531" s="0" t="str">
        <f aca="false">IF(AND(COUNTA($A1531:$J1531)&gt;0,OR(클레임조회!$C$4="",AND(ISNUMBER($B1531),$B1531&gt;=클레임조회!$C$4)),OR(클레임조회!$C$5="",AND(ISNUMBER($B1531),$B1531&lt;=클레임조회!$C$5)),OR(클레임조회!$C$6="",$C1531=클레임조회!$C$6),OR(클레임조회!$C$7="",$D1531=클레임조회!$C$7),OR(클레임조회!$C$8="",$E1531=클레임조회!$C$8),OR(클레임조회!$C$9="",$F1531=클레임조회!$C$9),OR(클레임조회!$C$10="",ISNUMBER(SEARCH(클레임조회!$C$10,$C1531&amp;" "&amp;$F1531&amp;" "&amp;$G1531&amp;" "&amp;$H1531)))),COUNT(O$1:O1530)+1,"")</f>
        <v/>
      </c>
      <c r="P1531" s="0" t="str">
        <f aca="false">IF(AND(TRIM(C1531)&lt;&gt;"",COUNTIF(C$2:C1531,C1531)=1),MAX(P$1:P1530)+1,"")</f>
        <v/>
      </c>
      <c r="Q1531" s="0" t="str">
        <f aca="false">IF(AND(TRIM(F1531)&lt;&gt;"",COUNTIF(F$2:F1531,F1531)=1),MAX(Q$1:Q1530)+1,"")</f>
        <v/>
      </c>
    </row>
    <row r="1532" customFormat="false" ht="15" hidden="false" customHeight="false" outlineLevel="0" collapsed="false">
      <c r="A1532" s="9"/>
      <c r="B1532" s="10"/>
      <c r="C1532" s="11"/>
      <c r="D1532" s="11"/>
      <c r="E1532" s="11"/>
      <c r="F1532" s="11"/>
      <c r="G1532" s="12"/>
      <c r="H1532" s="12"/>
      <c r="I1532" s="10"/>
      <c r="J1532" s="12"/>
      <c r="K1532" s="13" t="str">
        <f aca="false">IF(ISNUMBER(B1532),YEAR(B1532),"")</f>
        <v/>
      </c>
      <c r="L1532" s="13" t="str">
        <f aca="false">IF(ISNUMBER(B1532),MONTH(B1532),"")</f>
        <v/>
      </c>
      <c r="M1532" s="13" t="str">
        <f aca="false">IF(AND(ISNUMBER(B1532),ISNUMBER(I1532)),B1532-I1532+1,"")</f>
        <v/>
      </c>
      <c r="N1532" s="14" t="str">
        <f aca="false">IF(B1532="","",IF(M1532="","시작일 미입력",IF(M1532&lt;1,"시작일 이전(확인)",IF(M1532=1,"1일째",IF(M1532=2,"2일째",IF(M1532=3,"3일째",IF(M1532&lt;=7,"일주일 이내",IF(M1532&lt;=14,"이주일 이내","15일 이후"))))))))</f>
        <v/>
      </c>
      <c r="O1532" s="0" t="str">
        <f aca="false">IF(AND(COUNTA($A1532:$J1532)&gt;0,OR(클레임조회!$C$4="",AND(ISNUMBER($B1532),$B1532&gt;=클레임조회!$C$4)),OR(클레임조회!$C$5="",AND(ISNUMBER($B1532),$B1532&lt;=클레임조회!$C$5)),OR(클레임조회!$C$6="",$C1532=클레임조회!$C$6),OR(클레임조회!$C$7="",$D1532=클레임조회!$C$7),OR(클레임조회!$C$8="",$E1532=클레임조회!$C$8),OR(클레임조회!$C$9="",$F1532=클레임조회!$C$9),OR(클레임조회!$C$10="",ISNUMBER(SEARCH(클레임조회!$C$10,$C1532&amp;" "&amp;$F1532&amp;" "&amp;$G1532&amp;" "&amp;$H1532)))),COUNT(O$1:O1531)+1,"")</f>
        <v/>
      </c>
      <c r="P1532" s="0" t="str">
        <f aca="false">IF(AND(TRIM(C1532)&lt;&gt;"",COUNTIF(C$2:C1532,C1532)=1),MAX(P$1:P1531)+1,"")</f>
        <v/>
      </c>
      <c r="Q1532" s="0" t="str">
        <f aca="false">IF(AND(TRIM(F1532)&lt;&gt;"",COUNTIF(F$2:F1532,F1532)=1),MAX(Q$1:Q1531)+1,"")</f>
        <v/>
      </c>
    </row>
    <row r="1533" customFormat="false" ht="15" hidden="false" customHeight="false" outlineLevel="0" collapsed="false">
      <c r="A1533" s="9"/>
      <c r="B1533" s="10"/>
      <c r="C1533" s="11"/>
      <c r="D1533" s="11"/>
      <c r="E1533" s="11"/>
      <c r="F1533" s="11"/>
      <c r="G1533" s="12"/>
      <c r="H1533" s="12"/>
      <c r="I1533" s="10"/>
      <c r="J1533" s="12"/>
      <c r="K1533" s="13" t="str">
        <f aca="false">IF(ISNUMBER(B1533),YEAR(B1533),"")</f>
        <v/>
      </c>
      <c r="L1533" s="13" t="str">
        <f aca="false">IF(ISNUMBER(B1533),MONTH(B1533),"")</f>
        <v/>
      </c>
      <c r="M1533" s="13" t="str">
        <f aca="false">IF(AND(ISNUMBER(B1533),ISNUMBER(I1533)),B1533-I1533+1,"")</f>
        <v/>
      </c>
      <c r="N1533" s="14" t="str">
        <f aca="false">IF(B1533="","",IF(M1533="","시작일 미입력",IF(M1533&lt;1,"시작일 이전(확인)",IF(M1533=1,"1일째",IF(M1533=2,"2일째",IF(M1533=3,"3일째",IF(M1533&lt;=7,"일주일 이내",IF(M1533&lt;=14,"이주일 이내","15일 이후"))))))))</f>
        <v/>
      </c>
      <c r="O1533" s="0" t="str">
        <f aca="false">IF(AND(COUNTA($A1533:$J1533)&gt;0,OR(클레임조회!$C$4="",AND(ISNUMBER($B1533),$B1533&gt;=클레임조회!$C$4)),OR(클레임조회!$C$5="",AND(ISNUMBER($B1533),$B1533&lt;=클레임조회!$C$5)),OR(클레임조회!$C$6="",$C1533=클레임조회!$C$6),OR(클레임조회!$C$7="",$D1533=클레임조회!$C$7),OR(클레임조회!$C$8="",$E1533=클레임조회!$C$8),OR(클레임조회!$C$9="",$F1533=클레임조회!$C$9),OR(클레임조회!$C$10="",ISNUMBER(SEARCH(클레임조회!$C$10,$C1533&amp;" "&amp;$F1533&amp;" "&amp;$G1533&amp;" "&amp;$H1533)))),COUNT(O$1:O1532)+1,"")</f>
        <v/>
      </c>
      <c r="P1533" s="0" t="str">
        <f aca="false">IF(AND(TRIM(C1533)&lt;&gt;"",COUNTIF(C$2:C1533,C1533)=1),MAX(P$1:P1532)+1,"")</f>
        <v/>
      </c>
      <c r="Q1533" s="0" t="str">
        <f aca="false">IF(AND(TRIM(F1533)&lt;&gt;"",COUNTIF(F$2:F1533,F1533)=1),MAX(Q$1:Q1532)+1,"")</f>
        <v/>
      </c>
    </row>
    <row r="1534" customFormat="false" ht="15" hidden="false" customHeight="false" outlineLevel="0" collapsed="false">
      <c r="A1534" s="9"/>
      <c r="B1534" s="10"/>
      <c r="C1534" s="11"/>
      <c r="D1534" s="11"/>
      <c r="E1534" s="11"/>
      <c r="F1534" s="11"/>
      <c r="G1534" s="12"/>
      <c r="H1534" s="12"/>
      <c r="I1534" s="10"/>
      <c r="J1534" s="12"/>
      <c r="K1534" s="13" t="str">
        <f aca="false">IF(ISNUMBER(B1534),YEAR(B1534),"")</f>
        <v/>
      </c>
      <c r="L1534" s="13" t="str">
        <f aca="false">IF(ISNUMBER(B1534),MONTH(B1534),"")</f>
        <v/>
      </c>
      <c r="M1534" s="13" t="str">
        <f aca="false">IF(AND(ISNUMBER(B1534),ISNUMBER(I1534)),B1534-I1534+1,"")</f>
        <v/>
      </c>
      <c r="N1534" s="14" t="str">
        <f aca="false">IF(B1534="","",IF(M1534="","시작일 미입력",IF(M1534&lt;1,"시작일 이전(확인)",IF(M1534=1,"1일째",IF(M1534=2,"2일째",IF(M1534=3,"3일째",IF(M1534&lt;=7,"일주일 이내",IF(M1534&lt;=14,"이주일 이내","15일 이후"))))))))</f>
        <v/>
      </c>
      <c r="O1534" s="0" t="str">
        <f aca="false">IF(AND(COUNTA($A1534:$J1534)&gt;0,OR(클레임조회!$C$4="",AND(ISNUMBER($B1534),$B1534&gt;=클레임조회!$C$4)),OR(클레임조회!$C$5="",AND(ISNUMBER($B1534),$B1534&lt;=클레임조회!$C$5)),OR(클레임조회!$C$6="",$C1534=클레임조회!$C$6),OR(클레임조회!$C$7="",$D1534=클레임조회!$C$7),OR(클레임조회!$C$8="",$E1534=클레임조회!$C$8),OR(클레임조회!$C$9="",$F1534=클레임조회!$C$9),OR(클레임조회!$C$10="",ISNUMBER(SEARCH(클레임조회!$C$10,$C1534&amp;" "&amp;$F1534&amp;" "&amp;$G1534&amp;" "&amp;$H1534)))),COUNT(O$1:O1533)+1,"")</f>
        <v/>
      </c>
      <c r="P1534" s="0" t="str">
        <f aca="false">IF(AND(TRIM(C1534)&lt;&gt;"",COUNTIF(C$2:C1534,C1534)=1),MAX(P$1:P1533)+1,"")</f>
        <v/>
      </c>
      <c r="Q1534" s="0" t="str">
        <f aca="false">IF(AND(TRIM(F1534)&lt;&gt;"",COUNTIF(F$2:F1534,F1534)=1),MAX(Q$1:Q1533)+1,"")</f>
        <v/>
      </c>
    </row>
    <row r="1535" customFormat="false" ht="15" hidden="false" customHeight="false" outlineLevel="0" collapsed="false">
      <c r="A1535" s="9"/>
      <c r="B1535" s="10"/>
      <c r="C1535" s="11"/>
      <c r="D1535" s="11"/>
      <c r="E1535" s="11"/>
      <c r="F1535" s="11"/>
      <c r="G1535" s="12"/>
      <c r="H1535" s="12"/>
      <c r="I1535" s="10"/>
      <c r="J1535" s="12"/>
      <c r="K1535" s="13" t="str">
        <f aca="false">IF(ISNUMBER(B1535),YEAR(B1535),"")</f>
        <v/>
      </c>
      <c r="L1535" s="13" t="str">
        <f aca="false">IF(ISNUMBER(B1535),MONTH(B1535),"")</f>
        <v/>
      </c>
      <c r="M1535" s="13" t="str">
        <f aca="false">IF(AND(ISNUMBER(B1535),ISNUMBER(I1535)),B1535-I1535+1,"")</f>
        <v/>
      </c>
      <c r="N1535" s="14" t="str">
        <f aca="false">IF(B1535="","",IF(M1535="","시작일 미입력",IF(M1535&lt;1,"시작일 이전(확인)",IF(M1535=1,"1일째",IF(M1535=2,"2일째",IF(M1535=3,"3일째",IF(M1535&lt;=7,"일주일 이내",IF(M1535&lt;=14,"이주일 이내","15일 이후"))))))))</f>
        <v/>
      </c>
      <c r="O1535" s="0" t="str">
        <f aca="false">IF(AND(COUNTA($A1535:$J1535)&gt;0,OR(클레임조회!$C$4="",AND(ISNUMBER($B1535),$B1535&gt;=클레임조회!$C$4)),OR(클레임조회!$C$5="",AND(ISNUMBER($B1535),$B1535&lt;=클레임조회!$C$5)),OR(클레임조회!$C$6="",$C1535=클레임조회!$C$6),OR(클레임조회!$C$7="",$D1535=클레임조회!$C$7),OR(클레임조회!$C$8="",$E1535=클레임조회!$C$8),OR(클레임조회!$C$9="",$F1535=클레임조회!$C$9),OR(클레임조회!$C$10="",ISNUMBER(SEARCH(클레임조회!$C$10,$C1535&amp;" "&amp;$F1535&amp;" "&amp;$G1535&amp;" "&amp;$H1535)))),COUNT(O$1:O1534)+1,"")</f>
        <v/>
      </c>
      <c r="P1535" s="0" t="str">
        <f aca="false">IF(AND(TRIM(C1535)&lt;&gt;"",COUNTIF(C$2:C1535,C1535)=1),MAX(P$1:P1534)+1,"")</f>
        <v/>
      </c>
      <c r="Q1535" s="0" t="str">
        <f aca="false">IF(AND(TRIM(F1535)&lt;&gt;"",COUNTIF(F$2:F1535,F1535)=1),MAX(Q$1:Q1534)+1,"")</f>
        <v/>
      </c>
    </row>
    <row r="1536" customFormat="false" ht="15" hidden="false" customHeight="false" outlineLevel="0" collapsed="false">
      <c r="A1536" s="9"/>
      <c r="B1536" s="10"/>
      <c r="C1536" s="11"/>
      <c r="D1536" s="11"/>
      <c r="E1536" s="11"/>
      <c r="F1536" s="11"/>
      <c r="G1536" s="12"/>
      <c r="H1536" s="12"/>
      <c r="I1536" s="10"/>
      <c r="J1536" s="12"/>
      <c r="K1536" s="13" t="str">
        <f aca="false">IF(ISNUMBER(B1536),YEAR(B1536),"")</f>
        <v/>
      </c>
      <c r="L1536" s="13" t="str">
        <f aca="false">IF(ISNUMBER(B1536),MONTH(B1536),"")</f>
        <v/>
      </c>
      <c r="M1536" s="13" t="str">
        <f aca="false">IF(AND(ISNUMBER(B1536),ISNUMBER(I1536)),B1536-I1536+1,"")</f>
        <v/>
      </c>
      <c r="N1536" s="14" t="str">
        <f aca="false">IF(B1536="","",IF(M1536="","시작일 미입력",IF(M1536&lt;1,"시작일 이전(확인)",IF(M1536=1,"1일째",IF(M1536=2,"2일째",IF(M1536=3,"3일째",IF(M1536&lt;=7,"일주일 이내",IF(M1536&lt;=14,"이주일 이내","15일 이후"))))))))</f>
        <v/>
      </c>
      <c r="O1536" s="0" t="str">
        <f aca="false">IF(AND(COUNTA($A1536:$J1536)&gt;0,OR(클레임조회!$C$4="",AND(ISNUMBER($B1536),$B1536&gt;=클레임조회!$C$4)),OR(클레임조회!$C$5="",AND(ISNUMBER($B1536),$B1536&lt;=클레임조회!$C$5)),OR(클레임조회!$C$6="",$C1536=클레임조회!$C$6),OR(클레임조회!$C$7="",$D1536=클레임조회!$C$7),OR(클레임조회!$C$8="",$E1536=클레임조회!$C$8),OR(클레임조회!$C$9="",$F1536=클레임조회!$C$9),OR(클레임조회!$C$10="",ISNUMBER(SEARCH(클레임조회!$C$10,$C1536&amp;" "&amp;$F1536&amp;" "&amp;$G1536&amp;" "&amp;$H1536)))),COUNT(O$1:O1535)+1,"")</f>
        <v/>
      </c>
      <c r="P1536" s="0" t="str">
        <f aca="false">IF(AND(TRIM(C1536)&lt;&gt;"",COUNTIF(C$2:C1536,C1536)=1),MAX(P$1:P1535)+1,"")</f>
        <v/>
      </c>
      <c r="Q1536" s="0" t="str">
        <f aca="false">IF(AND(TRIM(F1536)&lt;&gt;"",COUNTIF(F$2:F1536,F1536)=1),MAX(Q$1:Q1535)+1,"")</f>
        <v/>
      </c>
    </row>
    <row r="1537" customFormat="false" ht="15" hidden="false" customHeight="false" outlineLevel="0" collapsed="false">
      <c r="A1537" s="9"/>
      <c r="B1537" s="10"/>
      <c r="C1537" s="11"/>
      <c r="D1537" s="11"/>
      <c r="E1537" s="11"/>
      <c r="F1537" s="11"/>
      <c r="G1537" s="12"/>
      <c r="H1537" s="12"/>
      <c r="I1537" s="10"/>
      <c r="J1537" s="12"/>
      <c r="K1537" s="13" t="str">
        <f aca="false">IF(ISNUMBER(B1537),YEAR(B1537),"")</f>
        <v/>
      </c>
      <c r="L1537" s="13" t="str">
        <f aca="false">IF(ISNUMBER(B1537),MONTH(B1537),"")</f>
        <v/>
      </c>
      <c r="M1537" s="13" t="str">
        <f aca="false">IF(AND(ISNUMBER(B1537),ISNUMBER(I1537)),B1537-I1537+1,"")</f>
        <v/>
      </c>
      <c r="N1537" s="14" t="str">
        <f aca="false">IF(B1537="","",IF(M1537="","시작일 미입력",IF(M1537&lt;1,"시작일 이전(확인)",IF(M1537=1,"1일째",IF(M1537=2,"2일째",IF(M1537=3,"3일째",IF(M1537&lt;=7,"일주일 이내",IF(M1537&lt;=14,"이주일 이내","15일 이후"))))))))</f>
        <v/>
      </c>
      <c r="O1537" s="0" t="str">
        <f aca="false">IF(AND(COUNTA($A1537:$J1537)&gt;0,OR(클레임조회!$C$4="",AND(ISNUMBER($B1537),$B1537&gt;=클레임조회!$C$4)),OR(클레임조회!$C$5="",AND(ISNUMBER($B1537),$B1537&lt;=클레임조회!$C$5)),OR(클레임조회!$C$6="",$C1537=클레임조회!$C$6),OR(클레임조회!$C$7="",$D1537=클레임조회!$C$7),OR(클레임조회!$C$8="",$E1537=클레임조회!$C$8),OR(클레임조회!$C$9="",$F1537=클레임조회!$C$9),OR(클레임조회!$C$10="",ISNUMBER(SEARCH(클레임조회!$C$10,$C1537&amp;" "&amp;$F1537&amp;" "&amp;$G1537&amp;" "&amp;$H1537)))),COUNT(O$1:O1536)+1,"")</f>
        <v/>
      </c>
      <c r="P1537" s="0" t="str">
        <f aca="false">IF(AND(TRIM(C1537)&lt;&gt;"",COUNTIF(C$2:C1537,C1537)=1),MAX(P$1:P1536)+1,"")</f>
        <v/>
      </c>
      <c r="Q1537" s="0" t="str">
        <f aca="false">IF(AND(TRIM(F1537)&lt;&gt;"",COUNTIF(F$2:F1537,F1537)=1),MAX(Q$1:Q1536)+1,"")</f>
        <v/>
      </c>
    </row>
    <row r="1538" customFormat="false" ht="15" hidden="false" customHeight="false" outlineLevel="0" collapsed="false">
      <c r="A1538" s="9"/>
      <c r="B1538" s="10"/>
      <c r="C1538" s="11"/>
      <c r="D1538" s="11"/>
      <c r="E1538" s="11"/>
      <c r="F1538" s="11"/>
      <c r="G1538" s="12"/>
      <c r="H1538" s="12"/>
      <c r="I1538" s="10"/>
      <c r="J1538" s="12"/>
      <c r="K1538" s="13" t="str">
        <f aca="false">IF(ISNUMBER(B1538),YEAR(B1538),"")</f>
        <v/>
      </c>
      <c r="L1538" s="13" t="str">
        <f aca="false">IF(ISNUMBER(B1538),MONTH(B1538),"")</f>
        <v/>
      </c>
      <c r="M1538" s="13" t="str">
        <f aca="false">IF(AND(ISNUMBER(B1538),ISNUMBER(I1538)),B1538-I1538+1,"")</f>
        <v/>
      </c>
      <c r="N1538" s="14" t="str">
        <f aca="false">IF(B1538="","",IF(M1538="","시작일 미입력",IF(M1538&lt;1,"시작일 이전(확인)",IF(M1538=1,"1일째",IF(M1538=2,"2일째",IF(M1538=3,"3일째",IF(M1538&lt;=7,"일주일 이내",IF(M1538&lt;=14,"이주일 이내","15일 이후"))))))))</f>
        <v/>
      </c>
      <c r="O1538" s="0" t="str">
        <f aca="false">IF(AND(COUNTA($A1538:$J1538)&gt;0,OR(클레임조회!$C$4="",AND(ISNUMBER($B1538),$B1538&gt;=클레임조회!$C$4)),OR(클레임조회!$C$5="",AND(ISNUMBER($B1538),$B1538&lt;=클레임조회!$C$5)),OR(클레임조회!$C$6="",$C1538=클레임조회!$C$6),OR(클레임조회!$C$7="",$D1538=클레임조회!$C$7),OR(클레임조회!$C$8="",$E1538=클레임조회!$C$8),OR(클레임조회!$C$9="",$F1538=클레임조회!$C$9),OR(클레임조회!$C$10="",ISNUMBER(SEARCH(클레임조회!$C$10,$C1538&amp;" "&amp;$F1538&amp;" "&amp;$G1538&amp;" "&amp;$H1538)))),COUNT(O$1:O1537)+1,"")</f>
        <v/>
      </c>
      <c r="P1538" s="0" t="str">
        <f aca="false">IF(AND(TRIM(C1538)&lt;&gt;"",COUNTIF(C$2:C1538,C1538)=1),MAX(P$1:P1537)+1,"")</f>
        <v/>
      </c>
      <c r="Q1538" s="0" t="str">
        <f aca="false">IF(AND(TRIM(F1538)&lt;&gt;"",COUNTIF(F$2:F1538,F1538)=1),MAX(Q$1:Q1537)+1,"")</f>
        <v/>
      </c>
    </row>
    <row r="1539" customFormat="false" ht="15" hidden="false" customHeight="false" outlineLevel="0" collapsed="false">
      <c r="A1539" s="9"/>
      <c r="B1539" s="10"/>
      <c r="C1539" s="11"/>
      <c r="D1539" s="11"/>
      <c r="E1539" s="11"/>
      <c r="F1539" s="11"/>
      <c r="G1539" s="12"/>
      <c r="H1539" s="12"/>
      <c r="I1539" s="10"/>
      <c r="J1539" s="12"/>
      <c r="K1539" s="13" t="str">
        <f aca="false">IF(ISNUMBER(B1539),YEAR(B1539),"")</f>
        <v/>
      </c>
      <c r="L1539" s="13" t="str">
        <f aca="false">IF(ISNUMBER(B1539),MONTH(B1539),"")</f>
        <v/>
      </c>
      <c r="M1539" s="13" t="str">
        <f aca="false">IF(AND(ISNUMBER(B1539),ISNUMBER(I1539)),B1539-I1539+1,"")</f>
        <v/>
      </c>
      <c r="N1539" s="14" t="str">
        <f aca="false">IF(B1539="","",IF(M1539="","시작일 미입력",IF(M1539&lt;1,"시작일 이전(확인)",IF(M1539=1,"1일째",IF(M1539=2,"2일째",IF(M1539=3,"3일째",IF(M1539&lt;=7,"일주일 이내",IF(M1539&lt;=14,"이주일 이내","15일 이후"))))))))</f>
        <v/>
      </c>
      <c r="O1539" s="0" t="str">
        <f aca="false">IF(AND(COUNTA($A1539:$J1539)&gt;0,OR(클레임조회!$C$4="",AND(ISNUMBER($B1539),$B1539&gt;=클레임조회!$C$4)),OR(클레임조회!$C$5="",AND(ISNUMBER($B1539),$B1539&lt;=클레임조회!$C$5)),OR(클레임조회!$C$6="",$C1539=클레임조회!$C$6),OR(클레임조회!$C$7="",$D1539=클레임조회!$C$7),OR(클레임조회!$C$8="",$E1539=클레임조회!$C$8),OR(클레임조회!$C$9="",$F1539=클레임조회!$C$9),OR(클레임조회!$C$10="",ISNUMBER(SEARCH(클레임조회!$C$10,$C1539&amp;" "&amp;$F1539&amp;" "&amp;$G1539&amp;" "&amp;$H1539)))),COUNT(O$1:O1538)+1,"")</f>
        <v/>
      </c>
      <c r="P1539" s="0" t="str">
        <f aca="false">IF(AND(TRIM(C1539)&lt;&gt;"",COUNTIF(C$2:C1539,C1539)=1),MAX(P$1:P1538)+1,"")</f>
        <v/>
      </c>
      <c r="Q1539" s="0" t="str">
        <f aca="false">IF(AND(TRIM(F1539)&lt;&gt;"",COUNTIF(F$2:F1539,F1539)=1),MAX(Q$1:Q1538)+1,"")</f>
        <v/>
      </c>
    </row>
    <row r="1540" customFormat="false" ht="15" hidden="false" customHeight="false" outlineLevel="0" collapsed="false">
      <c r="A1540" s="9"/>
      <c r="B1540" s="10"/>
      <c r="C1540" s="11"/>
      <c r="D1540" s="11"/>
      <c r="E1540" s="11"/>
      <c r="F1540" s="11"/>
      <c r="G1540" s="12"/>
      <c r="H1540" s="12"/>
      <c r="I1540" s="10"/>
      <c r="J1540" s="12"/>
      <c r="K1540" s="13" t="str">
        <f aca="false">IF(ISNUMBER(B1540),YEAR(B1540),"")</f>
        <v/>
      </c>
      <c r="L1540" s="13" t="str">
        <f aca="false">IF(ISNUMBER(B1540),MONTH(B1540),"")</f>
        <v/>
      </c>
      <c r="M1540" s="13" t="str">
        <f aca="false">IF(AND(ISNUMBER(B1540),ISNUMBER(I1540)),B1540-I1540+1,"")</f>
        <v/>
      </c>
      <c r="N1540" s="14" t="str">
        <f aca="false">IF(B1540="","",IF(M1540="","시작일 미입력",IF(M1540&lt;1,"시작일 이전(확인)",IF(M1540=1,"1일째",IF(M1540=2,"2일째",IF(M1540=3,"3일째",IF(M1540&lt;=7,"일주일 이내",IF(M1540&lt;=14,"이주일 이내","15일 이후"))))))))</f>
        <v/>
      </c>
      <c r="O1540" s="0" t="str">
        <f aca="false">IF(AND(COUNTA($A1540:$J1540)&gt;0,OR(클레임조회!$C$4="",AND(ISNUMBER($B1540),$B1540&gt;=클레임조회!$C$4)),OR(클레임조회!$C$5="",AND(ISNUMBER($B1540),$B1540&lt;=클레임조회!$C$5)),OR(클레임조회!$C$6="",$C1540=클레임조회!$C$6),OR(클레임조회!$C$7="",$D1540=클레임조회!$C$7),OR(클레임조회!$C$8="",$E1540=클레임조회!$C$8),OR(클레임조회!$C$9="",$F1540=클레임조회!$C$9),OR(클레임조회!$C$10="",ISNUMBER(SEARCH(클레임조회!$C$10,$C1540&amp;" "&amp;$F1540&amp;" "&amp;$G1540&amp;" "&amp;$H1540)))),COUNT(O$1:O1539)+1,"")</f>
        <v/>
      </c>
      <c r="P1540" s="0" t="str">
        <f aca="false">IF(AND(TRIM(C1540)&lt;&gt;"",COUNTIF(C$2:C1540,C1540)=1),MAX(P$1:P1539)+1,"")</f>
        <v/>
      </c>
      <c r="Q1540" s="0" t="str">
        <f aca="false">IF(AND(TRIM(F1540)&lt;&gt;"",COUNTIF(F$2:F1540,F1540)=1),MAX(Q$1:Q1539)+1,"")</f>
        <v/>
      </c>
    </row>
    <row r="1541" customFormat="false" ht="15" hidden="false" customHeight="false" outlineLevel="0" collapsed="false">
      <c r="A1541" s="9"/>
      <c r="B1541" s="10"/>
      <c r="C1541" s="11"/>
      <c r="D1541" s="11"/>
      <c r="E1541" s="11"/>
      <c r="F1541" s="11"/>
      <c r="G1541" s="12"/>
      <c r="H1541" s="12"/>
      <c r="I1541" s="10"/>
      <c r="J1541" s="12"/>
      <c r="K1541" s="13" t="str">
        <f aca="false">IF(ISNUMBER(B1541),YEAR(B1541),"")</f>
        <v/>
      </c>
      <c r="L1541" s="13" t="str">
        <f aca="false">IF(ISNUMBER(B1541),MONTH(B1541),"")</f>
        <v/>
      </c>
      <c r="M1541" s="13" t="str">
        <f aca="false">IF(AND(ISNUMBER(B1541),ISNUMBER(I1541)),B1541-I1541+1,"")</f>
        <v/>
      </c>
      <c r="N1541" s="14" t="str">
        <f aca="false">IF(B1541="","",IF(M1541="","시작일 미입력",IF(M1541&lt;1,"시작일 이전(확인)",IF(M1541=1,"1일째",IF(M1541=2,"2일째",IF(M1541=3,"3일째",IF(M1541&lt;=7,"일주일 이내",IF(M1541&lt;=14,"이주일 이내","15일 이후"))))))))</f>
        <v/>
      </c>
      <c r="O1541" s="0" t="str">
        <f aca="false">IF(AND(COUNTA($A1541:$J1541)&gt;0,OR(클레임조회!$C$4="",AND(ISNUMBER($B1541),$B1541&gt;=클레임조회!$C$4)),OR(클레임조회!$C$5="",AND(ISNUMBER($B1541),$B1541&lt;=클레임조회!$C$5)),OR(클레임조회!$C$6="",$C1541=클레임조회!$C$6),OR(클레임조회!$C$7="",$D1541=클레임조회!$C$7),OR(클레임조회!$C$8="",$E1541=클레임조회!$C$8),OR(클레임조회!$C$9="",$F1541=클레임조회!$C$9),OR(클레임조회!$C$10="",ISNUMBER(SEARCH(클레임조회!$C$10,$C1541&amp;" "&amp;$F1541&amp;" "&amp;$G1541&amp;" "&amp;$H1541)))),COUNT(O$1:O1540)+1,"")</f>
        <v/>
      </c>
      <c r="P1541" s="0" t="str">
        <f aca="false">IF(AND(TRIM(C1541)&lt;&gt;"",COUNTIF(C$2:C1541,C1541)=1),MAX(P$1:P1540)+1,"")</f>
        <v/>
      </c>
      <c r="Q1541" s="0" t="str">
        <f aca="false">IF(AND(TRIM(F1541)&lt;&gt;"",COUNTIF(F$2:F1541,F1541)=1),MAX(Q$1:Q1540)+1,"")</f>
        <v/>
      </c>
    </row>
    <row r="1542" customFormat="false" ht="15" hidden="false" customHeight="false" outlineLevel="0" collapsed="false">
      <c r="A1542" s="9"/>
      <c r="B1542" s="10"/>
      <c r="C1542" s="11"/>
      <c r="D1542" s="11"/>
      <c r="E1542" s="11"/>
      <c r="F1542" s="11"/>
      <c r="G1542" s="12"/>
      <c r="H1542" s="12"/>
      <c r="I1542" s="10"/>
      <c r="J1542" s="12"/>
      <c r="K1542" s="13" t="str">
        <f aca="false">IF(ISNUMBER(B1542),YEAR(B1542),"")</f>
        <v/>
      </c>
      <c r="L1542" s="13" t="str">
        <f aca="false">IF(ISNUMBER(B1542),MONTH(B1542),"")</f>
        <v/>
      </c>
      <c r="M1542" s="13" t="str">
        <f aca="false">IF(AND(ISNUMBER(B1542),ISNUMBER(I1542)),B1542-I1542+1,"")</f>
        <v/>
      </c>
      <c r="N1542" s="14" t="str">
        <f aca="false">IF(B1542="","",IF(M1542="","시작일 미입력",IF(M1542&lt;1,"시작일 이전(확인)",IF(M1542=1,"1일째",IF(M1542=2,"2일째",IF(M1542=3,"3일째",IF(M1542&lt;=7,"일주일 이내",IF(M1542&lt;=14,"이주일 이내","15일 이후"))))))))</f>
        <v/>
      </c>
      <c r="O1542" s="0" t="str">
        <f aca="false">IF(AND(COUNTA($A1542:$J1542)&gt;0,OR(클레임조회!$C$4="",AND(ISNUMBER($B1542),$B1542&gt;=클레임조회!$C$4)),OR(클레임조회!$C$5="",AND(ISNUMBER($B1542),$B1542&lt;=클레임조회!$C$5)),OR(클레임조회!$C$6="",$C1542=클레임조회!$C$6),OR(클레임조회!$C$7="",$D1542=클레임조회!$C$7),OR(클레임조회!$C$8="",$E1542=클레임조회!$C$8),OR(클레임조회!$C$9="",$F1542=클레임조회!$C$9),OR(클레임조회!$C$10="",ISNUMBER(SEARCH(클레임조회!$C$10,$C1542&amp;" "&amp;$F1542&amp;" "&amp;$G1542&amp;" "&amp;$H1542)))),COUNT(O$1:O1541)+1,"")</f>
        <v/>
      </c>
      <c r="P1542" s="0" t="str">
        <f aca="false">IF(AND(TRIM(C1542)&lt;&gt;"",COUNTIF(C$2:C1542,C1542)=1),MAX(P$1:P1541)+1,"")</f>
        <v/>
      </c>
      <c r="Q1542" s="0" t="str">
        <f aca="false">IF(AND(TRIM(F1542)&lt;&gt;"",COUNTIF(F$2:F1542,F1542)=1),MAX(Q$1:Q1541)+1,"")</f>
        <v/>
      </c>
    </row>
    <row r="1543" customFormat="false" ht="15" hidden="false" customHeight="false" outlineLevel="0" collapsed="false">
      <c r="A1543" s="9"/>
      <c r="B1543" s="10"/>
      <c r="C1543" s="11"/>
      <c r="D1543" s="11"/>
      <c r="E1543" s="11"/>
      <c r="F1543" s="11"/>
      <c r="G1543" s="12"/>
      <c r="H1543" s="12"/>
      <c r="I1543" s="10"/>
      <c r="J1543" s="12"/>
      <c r="K1543" s="13" t="str">
        <f aca="false">IF(ISNUMBER(B1543),YEAR(B1543),"")</f>
        <v/>
      </c>
      <c r="L1543" s="13" t="str">
        <f aca="false">IF(ISNUMBER(B1543),MONTH(B1543),"")</f>
        <v/>
      </c>
      <c r="M1543" s="13" t="str">
        <f aca="false">IF(AND(ISNUMBER(B1543),ISNUMBER(I1543)),B1543-I1543+1,"")</f>
        <v/>
      </c>
      <c r="N1543" s="14" t="str">
        <f aca="false">IF(B1543="","",IF(M1543="","시작일 미입력",IF(M1543&lt;1,"시작일 이전(확인)",IF(M1543=1,"1일째",IF(M1543=2,"2일째",IF(M1543=3,"3일째",IF(M1543&lt;=7,"일주일 이내",IF(M1543&lt;=14,"이주일 이내","15일 이후"))))))))</f>
        <v/>
      </c>
      <c r="O1543" s="0" t="str">
        <f aca="false">IF(AND(COUNTA($A1543:$J1543)&gt;0,OR(클레임조회!$C$4="",AND(ISNUMBER($B1543),$B1543&gt;=클레임조회!$C$4)),OR(클레임조회!$C$5="",AND(ISNUMBER($B1543),$B1543&lt;=클레임조회!$C$5)),OR(클레임조회!$C$6="",$C1543=클레임조회!$C$6),OR(클레임조회!$C$7="",$D1543=클레임조회!$C$7),OR(클레임조회!$C$8="",$E1543=클레임조회!$C$8),OR(클레임조회!$C$9="",$F1543=클레임조회!$C$9),OR(클레임조회!$C$10="",ISNUMBER(SEARCH(클레임조회!$C$10,$C1543&amp;" "&amp;$F1543&amp;" "&amp;$G1543&amp;" "&amp;$H1543)))),COUNT(O$1:O1542)+1,"")</f>
        <v/>
      </c>
      <c r="P1543" s="0" t="str">
        <f aca="false">IF(AND(TRIM(C1543)&lt;&gt;"",COUNTIF(C$2:C1543,C1543)=1),MAX(P$1:P1542)+1,"")</f>
        <v/>
      </c>
      <c r="Q1543" s="0" t="str">
        <f aca="false">IF(AND(TRIM(F1543)&lt;&gt;"",COUNTIF(F$2:F1543,F1543)=1),MAX(Q$1:Q1542)+1,"")</f>
        <v/>
      </c>
    </row>
    <row r="1544" customFormat="false" ht="15" hidden="false" customHeight="false" outlineLevel="0" collapsed="false">
      <c r="A1544" s="9"/>
      <c r="B1544" s="10"/>
      <c r="C1544" s="11"/>
      <c r="D1544" s="11"/>
      <c r="E1544" s="11"/>
      <c r="F1544" s="11"/>
      <c r="G1544" s="12"/>
      <c r="H1544" s="12"/>
      <c r="I1544" s="10"/>
      <c r="J1544" s="12"/>
      <c r="K1544" s="13" t="str">
        <f aca="false">IF(ISNUMBER(B1544),YEAR(B1544),"")</f>
        <v/>
      </c>
      <c r="L1544" s="13" t="str">
        <f aca="false">IF(ISNUMBER(B1544),MONTH(B1544),"")</f>
        <v/>
      </c>
      <c r="M1544" s="13" t="str">
        <f aca="false">IF(AND(ISNUMBER(B1544),ISNUMBER(I1544)),B1544-I1544+1,"")</f>
        <v/>
      </c>
      <c r="N1544" s="14" t="str">
        <f aca="false">IF(B1544="","",IF(M1544="","시작일 미입력",IF(M1544&lt;1,"시작일 이전(확인)",IF(M1544=1,"1일째",IF(M1544=2,"2일째",IF(M1544=3,"3일째",IF(M1544&lt;=7,"일주일 이내",IF(M1544&lt;=14,"이주일 이내","15일 이후"))))))))</f>
        <v/>
      </c>
      <c r="O1544" s="0" t="str">
        <f aca="false">IF(AND(COUNTA($A1544:$J1544)&gt;0,OR(클레임조회!$C$4="",AND(ISNUMBER($B1544),$B1544&gt;=클레임조회!$C$4)),OR(클레임조회!$C$5="",AND(ISNUMBER($B1544),$B1544&lt;=클레임조회!$C$5)),OR(클레임조회!$C$6="",$C1544=클레임조회!$C$6),OR(클레임조회!$C$7="",$D1544=클레임조회!$C$7),OR(클레임조회!$C$8="",$E1544=클레임조회!$C$8),OR(클레임조회!$C$9="",$F1544=클레임조회!$C$9),OR(클레임조회!$C$10="",ISNUMBER(SEARCH(클레임조회!$C$10,$C1544&amp;" "&amp;$F1544&amp;" "&amp;$G1544&amp;" "&amp;$H1544)))),COUNT(O$1:O1543)+1,"")</f>
        <v/>
      </c>
      <c r="P1544" s="0" t="str">
        <f aca="false">IF(AND(TRIM(C1544)&lt;&gt;"",COUNTIF(C$2:C1544,C1544)=1),MAX(P$1:P1543)+1,"")</f>
        <v/>
      </c>
      <c r="Q1544" s="0" t="str">
        <f aca="false">IF(AND(TRIM(F1544)&lt;&gt;"",COUNTIF(F$2:F1544,F1544)=1),MAX(Q$1:Q1543)+1,"")</f>
        <v/>
      </c>
    </row>
    <row r="1545" customFormat="false" ht="15" hidden="false" customHeight="false" outlineLevel="0" collapsed="false">
      <c r="A1545" s="9"/>
      <c r="B1545" s="10"/>
      <c r="C1545" s="11"/>
      <c r="D1545" s="11"/>
      <c r="E1545" s="11"/>
      <c r="F1545" s="11"/>
      <c r="G1545" s="12"/>
      <c r="H1545" s="12"/>
      <c r="I1545" s="10"/>
      <c r="J1545" s="12"/>
      <c r="K1545" s="13" t="str">
        <f aca="false">IF(ISNUMBER(B1545),YEAR(B1545),"")</f>
        <v/>
      </c>
      <c r="L1545" s="13" t="str">
        <f aca="false">IF(ISNUMBER(B1545),MONTH(B1545),"")</f>
        <v/>
      </c>
      <c r="M1545" s="13" t="str">
        <f aca="false">IF(AND(ISNUMBER(B1545),ISNUMBER(I1545)),B1545-I1545+1,"")</f>
        <v/>
      </c>
      <c r="N1545" s="14" t="str">
        <f aca="false">IF(B1545="","",IF(M1545="","시작일 미입력",IF(M1545&lt;1,"시작일 이전(확인)",IF(M1545=1,"1일째",IF(M1545=2,"2일째",IF(M1545=3,"3일째",IF(M1545&lt;=7,"일주일 이내",IF(M1545&lt;=14,"이주일 이내","15일 이후"))))))))</f>
        <v/>
      </c>
      <c r="O1545" s="0" t="str">
        <f aca="false">IF(AND(COUNTA($A1545:$J1545)&gt;0,OR(클레임조회!$C$4="",AND(ISNUMBER($B1545),$B1545&gt;=클레임조회!$C$4)),OR(클레임조회!$C$5="",AND(ISNUMBER($B1545),$B1545&lt;=클레임조회!$C$5)),OR(클레임조회!$C$6="",$C1545=클레임조회!$C$6),OR(클레임조회!$C$7="",$D1545=클레임조회!$C$7),OR(클레임조회!$C$8="",$E1545=클레임조회!$C$8),OR(클레임조회!$C$9="",$F1545=클레임조회!$C$9),OR(클레임조회!$C$10="",ISNUMBER(SEARCH(클레임조회!$C$10,$C1545&amp;" "&amp;$F1545&amp;" "&amp;$G1545&amp;" "&amp;$H1545)))),COUNT(O$1:O1544)+1,"")</f>
        <v/>
      </c>
      <c r="P1545" s="0" t="str">
        <f aca="false">IF(AND(TRIM(C1545)&lt;&gt;"",COUNTIF(C$2:C1545,C1545)=1),MAX(P$1:P1544)+1,"")</f>
        <v/>
      </c>
      <c r="Q1545" s="0" t="str">
        <f aca="false">IF(AND(TRIM(F1545)&lt;&gt;"",COUNTIF(F$2:F1545,F1545)=1),MAX(Q$1:Q1544)+1,"")</f>
        <v/>
      </c>
    </row>
    <row r="1546" customFormat="false" ht="15" hidden="false" customHeight="false" outlineLevel="0" collapsed="false">
      <c r="A1546" s="9"/>
      <c r="B1546" s="10"/>
      <c r="C1546" s="11"/>
      <c r="D1546" s="11"/>
      <c r="E1546" s="11"/>
      <c r="F1546" s="11"/>
      <c r="G1546" s="12"/>
      <c r="H1546" s="12"/>
      <c r="I1546" s="10"/>
      <c r="J1546" s="12"/>
      <c r="K1546" s="13" t="str">
        <f aca="false">IF(ISNUMBER(B1546),YEAR(B1546),"")</f>
        <v/>
      </c>
      <c r="L1546" s="13" t="str">
        <f aca="false">IF(ISNUMBER(B1546),MONTH(B1546),"")</f>
        <v/>
      </c>
      <c r="M1546" s="13" t="str">
        <f aca="false">IF(AND(ISNUMBER(B1546),ISNUMBER(I1546)),B1546-I1546+1,"")</f>
        <v/>
      </c>
      <c r="N1546" s="14" t="str">
        <f aca="false">IF(B1546="","",IF(M1546="","시작일 미입력",IF(M1546&lt;1,"시작일 이전(확인)",IF(M1546=1,"1일째",IF(M1546=2,"2일째",IF(M1546=3,"3일째",IF(M1546&lt;=7,"일주일 이내",IF(M1546&lt;=14,"이주일 이내","15일 이후"))))))))</f>
        <v/>
      </c>
      <c r="O1546" s="0" t="str">
        <f aca="false">IF(AND(COUNTA($A1546:$J1546)&gt;0,OR(클레임조회!$C$4="",AND(ISNUMBER($B1546),$B1546&gt;=클레임조회!$C$4)),OR(클레임조회!$C$5="",AND(ISNUMBER($B1546),$B1546&lt;=클레임조회!$C$5)),OR(클레임조회!$C$6="",$C1546=클레임조회!$C$6),OR(클레임조회!$C$7="",$D1546=클레임조회!$C$7),OR(클레임조회!$C$8="",$E1546=클레임조회!$C$8),OR(클레임조회!$C$9="",$F1546=클레임조회!$C$9),OR(클레임조회!$C$10="",ISNUMBER(SEARCH(클레임조회!$C$10,$C1546&amp;" "&amp;$F1546&amp;" "&amp;$G1546&amp;" "&amp;$H1546)))),COUNT(O$1:O1545)+1,"")</f>
        <v/>
      </c>
      <c r="P1546" s="0" t="str">
        <f aca="false">IF(AND(TRIM(C1546)&lt;&gt;"",COUNTIF(C$2:C1546,C1546)=1),MAX(P$1:P1545)+1,"")</f>
        <v/>
      </c>
      <c r="Q1546" s="0" t="str">
        <f aca="false">IF(AND(TRIM(F1546)&lt;&gt;"",COUNTIF(F$2:F1546,F1546)=1),MAX(Q$1:Q1545)+1,"")</f>
        <v/>
      </c>
    </row>
    <row r="1547" customFormat="false" ht="15" hidden="false" customHeight="false" outlineLevel="0" collapsed="false">
      <c r="A1547" s="9"/>
      <c r="B1547" s="10"/>
      <c r="C1547" s="11"/>
      <c r="D1547" s="11"/>
      <c r="E1547" s="11"/>
      <c r="F1547" s="11"/>
      <c r="G1547" s="12"/>
      <c r="H1547" s="12"/>
      <c r="I1547" s="10"/>
      <c r="J1547" s="12"/>
      <c r="K1547" s="13" t="str">
        <f aca="false">IF(ISNUMBER(B1547),YEAR(B1547),"")</f>
        <v/>
      </c>
      <c r="L1547" s="13" t="str">
        <f aca="false">IF(ISNUMBER(B1547),MONTH(B1547),"")</f>
        <v/>
      </c>
      <c r="M1547" s="13" t="str">
        <f aca="false">IF(AND(ISNUMBER(B1547),ISNUMBER(I1547)),B1547-I1547+1,"")</f>
        <v/>
      </c>
      <c r="N1547" s="14" t="str">
        <f aca="false">IF(B1547="","",IF(M1547="","시작일 미입력",IF(M1547&lt;1,"시작일 이전(확인)",IF(M1547=1,"1일째",IF(M1547=2,"2일째",IF(M1547=3,"3일째",IF(M1547&lt;=7,"일주일 이내",IF(M1547&lt;=14,"이주일 이내","15일 이후"))))))))</f>
        <v/>
      </c>
      <c r="O1547" s="0" t="str">
        <f aca="false">IF(AND(COUNTA($A1547:$J1547)&gt;0,OR(클레임조회!$C$4="",AND(ISNUMBER($B1547),$B1547&gt;=클레임조회!$C$4)),OR(클레임조회!$C$5="",AND(ISNUMBER($B1547),$B1547&lt;=클레임조회!$C$5)),OR(클레임조회!$C$6="",$C1547=클레임조회!$C$6),OR(클레임조회!$C$7="",$D1547=클레임조회!$C$7),OR(클레임조회!$C$8="",$E1547=클레임조회!$C$8),OR(클레임조회!$C$9="",$F1547=클레임조회!$C$9),OR(클레임조회!$C$10="",ISNUMBER(SEARCH(클레임조회!$C$10,$C1547&amp;" "&amp;$F1547&amp;" "&amp;$G1547&amp;" "&amp;$H1547)))),COUNT(O$1:O1546)+1,"")</f>
        <v/>
      </c>
      <c r="P1547" s="0" t="str">
        <f aca="false">IF(AND(TRIM(C1547)&lt;&gt;"",COUNTIF(C$2:C1547,C1547)=1),MAX(P$1:P1546)+1,"")</f>
        <v/>
      </c>
      <c r="Q1547" s="0" t="str">
        <f aca="false">IF(AND(TRIM(F1547)&lt;&gt;"",COUNTIF(F$2:F1547,F1547)=1),MAX(Q$1:Q1546)+1,"")</f>
        <v/>
      </c>
    </row>
    <row r="1548" customFormat="false" ht="15" hidden="false" customHeight="false" outlineLevel="0" collapsed="false">
      <c r="A1548" s="9"/>
      <c r="B1548" s="10"/>
      <c r="C1548" s="11"/>
      <c r="D1548" s="11"/>
      <c r="E1548" s="11"/>
      <c r="F1548" s="11"/>
      <c r="G1548" s="12"/>
      <c r="H1548" s="12"/>
      <c r="I1548" s="10"/>
      <c r="J1548" s="12"/>
      <c r="K1548" s="13" t="str">
        <f aca="false">IF(ISNUMBER(B1548),YEAR(B1548),"")</f>
        <v/>
      </c>
      <c r="L1548" s="13" t="str">
        <f aca="false">IF(ISNUMBER(B1548),MONTH(B1548),"")</f>
        <v/>
      </c>
      <c r="M1548" s="13" t="str">
        <f aca="false">IF(AND(ISNUMBER(B1548),ISNUMBER(I1548)),B1548-I1548+1,"")</f>
        <v/>
      </c>
      <c r="N1548" s="14" t="str">
        <f aca="false">IF(B1548="","",IF(M1548="","시작일 미입력",IF(M1548&lt;1,"시작일 이전(확인)",IF(M1548=1,"1일째",IF(M1548=2,"2일째",IF(M1548=3,"3일째",IF(M1548&lt;=7,"일주일 이내",IF(M1548&lt;=14,"이주일 이내","15일 이후"))))))))</f>
        <v/>
      </c>
      <c r="O1548" s="0" t="str">
        <f aca="false">IF(AND(COUNTA($A1548:$J1548)&gt;0,OR(클레임조회!$C$4="",AND(ISNUMBER($B1548),$B1548&gt;=클레임조회!$C$4)),OR(클레임조회!$C$5="",AND(ISNUMBER($B1548),$B1548&lt;=클레임조회!$C$5)),OR(클레임조회!$C$6="",$C1548=클레임조회!$C$6),OR(클레임조회!$C$7="",$D1548=클레임조회!$C$7),OR(클레임조회!$C$8="",$E1548=클레임조회!$C$8),OR(클레임조회!$C$9="",$F1548=클레임조회!$C$9),OR(클레임조회!$C$10="",ISNUMBER(SEARCH(클레임조회!$C$10,$C1548&amp;" "&amp;$F1548&amp;" "&amp;$G1548&amp;" "&amp;$H1548)))),COUNT(O$1:O1547)+1,"")</f>
        <v/>
      </c>
      <c r="P1548" s="0" t="str">
        <f aca="false">IF(AND(TRIM(C1548)&lt;&gt;"",COUNTIF(C$2:C1548,C1548)=1),MAX(P$1:P1547)+1,"")</f>
        <v/>
      </c>
      <c r="Q1548" s="0" t="str">
        <f aca="false">IF(AND(TRIM(F1548)&lt;&gt;"",COUNTIF(F$2:F1548,F1548)=1),MAX(Q$1:Q1547)+1,"")</f>
        <v/>
      </c>
    </row>
    <row r="1549" customFormat="false" ht="15" hidden="false" customHeight="false" outlineLevel="0" collapsed="false">
      <c r="A1549" s="9"/>
      <c r="B1549" s="10"/>
      <c r="C1549" s="11"/>
      <c r="D1549" s="11"/>
      <c r="E1549" s="11"/>
      <c r="F1549" s="11"/>
      <c r="G1549" s="12"/>
      <c r="H1549" s="12"/>
      <c r="I1549" s="10"/>
      <c r="J1549" s="12"/>
      <c r="K1549" s="13" t="str">
        <f aca="false">IF(ISNUMBER(B1549),YEAR(B1549),"")</f>
        <v/>
      </c>
      <c r="L1549" s="13" t="str">
        <f aca="false">IF(ISNUMBER(B1549),MONTH(B1549),"")</f>
        <v/>
      </c>
      <c r="M1549" s="13" t="str">
        <f aca="false">IF(AND(ISNUMBER(B1549),ISNUMBER(I1549)),B1549-I1549+1,"")</f>
        <v/>
      </c>
      <c r="N1549" s="14" t="str">
        <f aca="false">IF(B1549="","",IF(M1549="","시작일 미입력",IF(M1549&lt;1,"시작일 이전(확인)",IF(M1549=1,"1일째",IF(M1549=2,"2일째",IF(M1549=3,"3일째",IF(M1549&lt;=7,"일주일 이내",IF(M1549&lt;=14,"이주일 이내","15일 이후"))))))))</f>
        <v/>
      </c>
      <c r="O1549" s="0" t="str">
        <f aca="false">IF(AND(COUNTA($A1549:$J1549)&gt;0,OR(클레임조회!$C$4="",AND(ISNUMBER($B1549),$B1549&gt;=클레임조회!$C$4)),OR(클레임조회!$C$5="",AND(ISNUMBER($B1549),$B1549&lt;=클레임조회!$C$5)),OR(클레임조회!$C$6="",$C1549=클레임조회!$C$6),OR(클레임조회!$C$7="",$D1549=클레임조회!$C$7),OR(클레임조회!$C$8="",$E1549=클레임조회!$C$8),OR(클레임조회!$C$9="",$F1549=클레임조회!$C$9),OR(클레임조회!$C$10="",ISNUMBER(SEARCH(클레임조회!$C$10,$C1549&amp;" "&amp;$F1549&amp;" "&amp;$G1549&amp;" "&amp;$H1549)))),COUNT(O$1:O1548)+1,"")</f>
        <v/>
      </c>
      <c r="P1549" s="0" t="str">
        <f aca="false">IF(AND(TRIM(C1549)&lt;&gt;"",COUNTIF(C$2:C1549,C1549)=1),MAX(P$1:P1548)+1,"")</f>
        <v/>
      </c>
      <c r="Q1549" s="0" t="str">
        <f aca="false">IF(AND(TRIM(F1549)&lt;&gt;"",COUNTIF(F$2:F1549,F1549)=1),MAX(Q$1:Q1548)+1,"")</f>
        <v/>
      </c>
    </row>
    <row r="1550" customFormat="false" ht="15" hidden="false" customHeight="false" outlineLevel="0" collapsed="false">
      <c r="A1550" s="9"/>
      <c r="B1550" s="10"/>
      <c r="C1550" s="11"/>
      <c r="D1550" s="11"/>
      <c r="E1550" s="11"/>
      <c r="F1550" s="11"/>
      <c r="G1550" s="12"/>
      <c r="H1550" s="12"/>
      <c r="I1550" s="10"/>
      <c r="J1550" s="12"/>
      <c r="K1550" s="13" t="str">
        <f aca="false">IF(ISNUMBER(B1550),YEAR(B1550),"")</f>
        <v/>
      </c>
      <c r="L1550" s="13" t="str">
        <f aca="false">IF(ISNUMBER(B1550),MONTH(B1550),"")</f>
        <v/>
      </c>
      <c r="M1550" s="13" t="str">
        <f aca="false">IF(AND(ISNUMBER(B1550),ISNUMBER(I1550)),B1550-I1550+1,"")</f>
        <v/>
      </c>
      <c r="N1550" s="14" t="str">
        <f aca="false">IF(B1550="","",IF(M1550="","시작일 미입력",IF(M1550&lt;1,"시작일 이전(확인)",IF(M1550=1,"1일째",IF(M1550=2,"2일째",IF(M1550=3,"3일째",IF(M1550&lt;=7,"일주일 이내",IF(M1550&lt;=14,"이주일 이내","15일 이후"))))))))</f>
        <v/>
      </c>
      <c r="O1550" s="0" t="str">
        <f aca="false">IF(AND(COUNTA($A1550:$J1550)&gt;0,OR(클레임조회!$C$4="",AND(ISNUMBER($B1550),$B1550&gt;=클레임조회!$C$4)),OR(클레임조회!$C$5="",AND(ISNUMBER($B1550),$B1550&lt;=클레임조회!$C$5)),OR(클레임조회!$C$6="",$C1550=클레임조회!$C$6),OR(클레임조회!$C$7="",$D1550=클레임조회!$C$7),OR(클레임조회!$C$8="",$E1550=클레임조회!$C$8),OR(클레임조회!$C$9="",$F1550=클레임조회!$C$9),OR(클레임조회!$C$10="",ISNUMBER(SEARCH(클레임조회!$C$10,$C1550&amp;" "&amp;$F1550&amp;" "&amp;$G1550&amp;" "&amp;$H1550)))),COUNT(O$1:O1549)+1,"")</f>
        <v/>
      </c>
      <c r="P1550" s="0" t="str">
        <f aca="false">IF(AND(TRIM(C1550)&lt;&gt;"",COUNTIF(C$2:C1550,C1550)=1),MAX(P$1:P1549)+1,"")</f>
        <v/>
      </c>
      <c r="Q1550" s="0" t="str">
        <f aca="false">IF(AND(TRIM(F1550)&lt;&gt;"",COUNTIF(F$2:F1550,F1550)=1),MAX(Q$1:Q1549)+1,"")</f>
        <v/>
      </c>
    </row>
    <row r="1551" customFormat="false" ht="15" hidden="false" customHeight="false" outlineLevel="0" collapsed="false">
      <c r="A1551" s="9"/>
      <c r="B1551" s="10"/>
      <c r="C1551" s="11"/>
      <c r="D1551" s="11"/>
      <c r="E1551" s="11"/>
      <c r="F1551" s="11"/>
      <c r="G1551" s="12"/>
      <c r="H1551" s="12"/>
      <c r="I1551" s="10"/>
      <c r="J1551" s="12"/>
      <c r="K1551" s="13" t="str">
        <f aca="false">IF(ISNUMBER(B1551),YEAR(B1551),"")</f>
        <v/>
      </c>
      <c r="L1551" s="13" t="str">
        <f aca="false">IF(ISNUMBER(B1551),MONTH(B1551),"")</f>
        <v/>
      </c>
      <c r="M1551" s="13" t="str">
        <f aca="false">IF(AND(ISNUMBER(B1551),ISNUMBER(I1551)),B1551-I1551+1,"")</f>
        <v/>
      </c>
      <c r="N1551" s="14" t="str">
        <f aca="false">IF(B1551="","",IF(M1551="","시작일 미입력",IF(M1551&lt;1,"시작일 이전(확인)",IF(M1551=1,"1일째",IF(M1551=2,"2일째",IF(M1551=3,"3일째",IF(M1551&lt;=7,"일주일 이내",IF(M1551&lt;=14,"이주일 이내","15일 이후"))))))))</f>
        <v/>
      </c>
      <c r="O1551" s="0" t="str">
        <f aca="false">IF(AND(COUNTA($A1551:$J1551)&gt;0,OR(클레임조회!$C$4="",AND(ISNUMBER($B1551),$B1551&gt;=클레임조회!$C$4)),OR(클레임조회!$C$5="",AND(ISNUMBER($B1551),$B1551&lt;=클레임조회!$C$5)),OR(클레임조회!$C$6="",$C1551=클레임조회!$C$6),OR(클레임조회!$C$7="",$D1551=클레임조회!$C$7),OR(클레임조회!$C$8="",$E1551=클레임조회!$C$8),OR(클레임조회!$C$9="",$F1551=클레임조회!$C$9),OR(클레임조회!$C$10="",ISNUMBER(SEARCH(클레임조회!$C$10,$C1551&amp;" "&amp;$F1551&amp;" "&amp;$G1551&amp;" "&amp;$H1551)))),COUNT(O$1:O1550)+1,"")</f>
        <v/>
      </c>
      <c r="P1551" s="0" t="str">
        <f aca="false">IF(AND(TRIM(C1551)&lt;&gt;"",COUNTIF(C$2:C1551,C1551)=1),MAX(P$1:P1550)+1,"")</f>
        <v/>
      </c>
      <c r="Q1551" s="0" t="str">
        <f aca="false">IF(AND(TRIM(F1551)&lt;&gt;"",COUNTIF(F$2:F1551,F1551)=1),MAX(Q$1:Q1550)+1,"")</f>
        <v/>
      </c>
    </row>
    <row r="1552" customFormat="false" ht="15" hidden="false" customHeight="false" outlineLevel="0" collapsed="false">
      <c r="A1552" s="9"/>
      <c r="B1552" s="10"/>
      <c r="C1552" s="11"/>
      <c r="D1552" s="11"/>
      <c r="E1552" s="11"/>
      <c r="F1552" s="11"/>
      <c r="G1552" s="12"/>
      <c r="H1552" s="12"/>
      <c r="I1552" s="10"/>
      <c r="J1552" s="12"/>
      <c r="K1552" s="13" t="str">
        <f aca="false">IF(ISNUMBER(B1552),YEAR(B1552),"")</f>
        <v/>
      </c>
      <c r="L1552" s="13" t="str">
        <f aca="false">IF(ISNUMBER(B1552),MONTH(B1552),"")</f>
        <v/>
      </c>
      <c r="M1552" s="13" t="str">
        <f aca="false">IF(AND(ISNUMBER(B1552),ISNUMBER(I1552)),B1552-I1552+1,"")</f>
        <v/>
      </c>
      <c r="N1552" s="14" t="str">
        <f aca="false">IF(B1552="","",IF(M1552="","시작일 미입력",IF(M1552&lt;1,"시작일 이전(확인)",IF(M1552=1,"1일째",IF(M1552=2,"2일째",IF(M1552=3,"3일째",IF(M1552&lt;=7,"일주일 이내",IF(M1552&lt;=14,"이주일 이내","15일 이후"))))))))</f>
        <v/>
      </c>
      <c r="O1552" s="0" t="str">
        <f aca="false">IF(AND(COUNTA($A1552:$J1552)&gt;0,OR(클레임조회!$C$4="",AND(ISNUMBER($B1552),$B1552&gt;=클레임조회!$C$4)),OR(클레임조회!$C$5="",AND(ISNUMBER($B1552),$B1552&lt;=클레임조회!$C$5)),OR(클레임조회!$C$6="",$C1552=클레임조회!$C$6),OR(클레임조회!$C$7="",$D1552=클레임조회!$C$7),OR(클레임조회!$C$8="",$E1552=클레임조회!$C$8),OR(클레임조회!$C$9="",$F1552=클레임조회!$C$9),OR(클레임조회!$C$10="",ISNUMBER(SEARCH(클레임조회!$C$10,$C1552&amp;" "&amp;$F1552&amp;" "&amp;$G1552&amp;" "&amp;$H1552)))),COUNT(O$1:O1551)+1,"")</f>
        <v/>
      </c>
      <c r="P1552" s="0" t="str">
        <f aca="false">IF(AND(TRIM(C1552)&lt;&gt;"",COUNTIF(C$2:C1552,C1552)=1),MAX(P$1:P1551)+1,"")</f>
        <v/>
      </c>
      <c r="Q1552" s="0" t="str">
        <f aca="false">IF(AND(TRIM(F1552)&lt;&gt;"",COUNTIF(F$2:F1552,F1552)=1),MAX(Q$1:Q1551)+1,"")</f>
        <v/>
      </c>
    </row>
    <row r="1553" customFormat="false" ht="15" hidden="false" customHeight="false" outlineLevel="0" collapsed="false">
      <c r="A1553" s="9"/>
      <c r="B1553" s="10"/>
      <c r="C1553" s="11"/>
      <c r="D1553" s="11"/>
      <c r="E1553" s="11"/>
      <c r="F1553" s="11"/>
      <c r="G1553" s="12"/>
      <c r="H1553" s="12"/>
      <c r="I1553" s="10"/>
      <c r="J1553" s="12"/>
      <c r="K1553" s="13" t="str">
        <f aca="false">IF(ISNUMBER(B1553),YEAR(B1553),"")</f>
        <v/>
      </c>
      <c r="L1553" s="13" t="str">
        <f aca="false">IF(ISNUMBER(B1553),MONTH(B1553),"")</f>
        <v/>
      </c>
      <c r="M1553" s="13" t="str">
        <f aca="false">IF(AND(ISNUMBER(B1553),ISNUMBER(I1553)),B1553-I1553+1,"")</f>
        <v/>
      </c>
      <c r="N1553" s="14" t="str">
        <f aca="false">IF(B1553="","",IF(M1553="","시작일 미입력",IF(M1553&lt;1,"시작일 이전(확인)",IF(M1553=1,"1일째",IF(M1553=2,"2일째",IF(M1553=3,"3일째",IF(M1553&lt;=7,"일주일 이내",IF(M1553&lt;=14,"이주일 이내","15일 이후"))))))))</f>
        <v/>
      </c>
      <c r="O1553" s="0" t="str">
        <f aca="false">IF(AND(COUNTA($A1553:$J1553)&gt;0,OR(클레임조회!$C$4="",AND(ISNUMBER($B1553),$B1553&gt;=클레임조회!$C$4)),OR(클레임조회!$C$5="",AND(ISNUMBER($B1553),$B1553&lt;=클레임조회!$C$5)),OR(클레임조회!$C$6="",$C1553=클레임조회!$C$6),OR(클레임조회!$C$7="",$D1553=클레임조회!$C$7),OR(클레임조회!$C$8="",$E1553=클레임조회!$C$8),OR(클레임조회!$C$9="",$F1553=클레임조회!$C$9),OR(클레임조회!$C$10="",ISNUMBER(SEARCH(클레임조회!$C$10,$C1553&amp;" "&amp;$F1553&amp;" "&amp;$G1553&amp;" "&amp;$H1553)))),COUNT(O$1:O1552)+1,"")</f>
        <v/>
      </c>
      <c r="P1553" s="0" t="str">
        <f aca="false">IF(AND(TRIM(C1553)&lt;&gt;"",COUNTIF(C$2:C1553,C1553)=1),MAX(P$1:P1552)+1,"")</f>
        <v/>
      </c>
      <c r="Q1553" s="0" t="str">
        <f aca="false">IF(AND(TRIM(F1553)&lt;&gt;"",COUNTIF(F$2:F1553,F1553)=1),MAX(Q$1:Q1552)+1,"")</f>
        <v/>
      </c>
    </row>
    <row r="1554" customFormat="false" ht="15" hidden="false" customHeight="false" outlineLevel="0" collapsed="false">
      <c r="A1554" s="9"/>
      <c r="B1554" s="10"/>
      <c r="C1554" s="11"/>
      <c r="D1554" s="11"/>
      <c r="E1554" s="11"/>
      <c r="F1554" s="11"/>
      <c r="G1554" s="12"/>
      <c r="H1554" s="12"/>
      <c r="I1554" s="10"/>
      <c r="J1554" s="12"/>
      <c r="K1554" s="13" t="str">
        <f aca="false">IF(ISNUMBER(B1554),YEAR(B1554),"")</f>
        <v/>
      </c>
      <c r="L1554" s="13" t="str">
        <f aca="false">IF(ISNUMBER(B1554),MONTH(B1554),"")</f>
        <v/>
      </c>
      <c r="M1554" s="13" t="str">
        <f aca="false">IF(AND(ISNUMBER(B1554),ISNUMBER(I1554)),B1554-I1554+1,"")</f>
        <v/>
      </c>
      <c r="N1554" s="14" t="str">
        <f aca="false">IF(B1554="","",IF(M1554="","시작일 미입력",IF(M1554&lt;1,"시작일 이전(확인)",IF(M1554=1,"1일째",IF(M1554=2,"2일째",IF(M1554=3,"3일째",IF(M1554&lt;=7,"일주일 이내",IF(M1554&lt;=14,"이주일 이내","15일 이후"))))))))</f>
        <v/>
      </c>
      <c r="O1554" s="0" t="str">
        <f aca="false">IF(AND(COUNTA($A1554:$J1554)&gt;0,OR(클레임조회!$C$4="",AND(ISNUMBER($B1554),$B1554&gt;=클레임조회!$C$4)),OR(클레임조회!$C$5="",AND(ISNUMBER($B1554),$B1554&lt;=클레임조회!$C$5)),OR(클레임조회!$C$6="",$C1554=클레임조회!$C$6),OR(클레임조회!$C$7="",$D1554=클레임조회!$C$7),OR(클레임조회!$C$8="",$E1554=클레임조회!$C$8),OR(클레임조회!$C$9="",$F1554=클레임조회!$C$9),OR(클레임조회!$C$10="",ISNUMBER(SEARCH(클레임조회!$C$10,$C1554&amp;" "&amp;$F1554&amp;" "&amp;$G1554&amp;" "&amp;$H1554)))),COUNT(O$1:O1553)+1,"")</f>
        <v/>
      </c>
      <c r="P1554" s="0" t="str">
        <f aca="false">IF(AND(TRIM(C1554)&lt;&gt;"",COUNTIF(C$2:C1554,C1554)=1),MAX(P$1:P1553)+1,"")</f>
        <v/>
      </c>
      <c r="Q1554" s="0" t="str">
        <f aca="false">IF(AND(TRIM(F1554)&lt;&gt;"",COUNTIF(F$2:F1554,F1554)=1),MAX(Q$1:Q1553)+1,"")</f>
        <v/>
      </c>
    </row>
    <row r="1555" customFormat="false" ht="15" hidden="false" customHeight="false" outlineLevel="0" collapsed="false">
      <c r="A1555" s="9"/>
      <c r="B1555" s="10"/>
      <c r="C1555" s="11"/>
      <c r="D1555" s="11"/>
      <c r="E1555" s="11"/>
      <c r="F1555" s="11"/>
      <c r="G1555" s="12"/>
      <c r="H1555" s="12"/>
      <c r="I1555" s="10"/>
      <c r="J1555" s="12"/>
      <c r="K1555" s="13" t="str">
        <f aca="false">IF(ISNUMBER(B1555),YEAR(B1555),"")</f>
        <v/>
      </c>
      <c r="L1555" s="13" t="str">
        <f aca="false">IF(ISNUMBER(B1555),MONTH(B1555),"")</f>
        <v/>
      </c>
      <c r="M1555" s="13" t="str">
        <f aca="false">IF(AND(ISNUMBER(B1555),ISNUMBER(I1555)),B1555-I1555+1,"")</f>
        <v/>
      </c>
      <c r="N1555" s="14" t="str">
        <f aca="false">IF(B1555="","",IF(M1555="","시작일 미입력",IF(M1555&lt;1,"시작일 이전(확인)",IF(M1555=1,"1일째",IF(M1555=2,"2일째",IF(M1555=3,"3일째",IF(M1555&lt;=7,"일주일 이내",IF(M1555&lt;=14,"이주일 이내","15일 이후"))))))))</f>
        <v/>
      </c>
      <c r="O1555" s="0" t="str">
        <f aca="false">IF(AND(COUNTA($A1555:$J1555)&gt;0,OR(클레임조회!$C$4="",AND(ISNUMBER($B1555),$B1555&gt;=클레임조회!$C$4)),OR(클레임조회!$C$5="",AND(ISNUMBER($B1555),$B1555&lt;=클레임조회!$C$5)),OR(클레임조회!$C$6="",$C1555=클레임조회!$C$6),OR(클레임조회!$C$7="",$D1555=클레임조회!$C$7),OR(클레임조회!$C$8="",$E1555=클레임조회!$C$8),OR(클레임조회!$C$9="",$F1555=클레임조회!$C$9),OR(클레임조회!$C$10="",ISNUMBER(SEARCH(클레임조회!$C$10,$C1555&amp;" "&amp;$F1555&amp;" "&amp;$G1555&amp;" "&amp;$H1555)))),COUNT(O$1:O1554)+1,"")</f>
        <v/>
      </c>
      <c r="P1555" s="0" t="str">
        <f aca="false">IF(AND(TRIM(C1555)&lt;&gt;"",COUNTIF(C$2:C1555,C1555)=1),MAX(P$1:P1554)+1,"")</f>
        <v/>
      </c>
      <c r="Q1555" s="0" t="str">
        <f aca="false">IF(AND(TRIM(F1555)&lt;&gt;"",COUNTIF(F$2:F1555,F1555)=1),MAX(Q$1:Q1554)+1,"")</f>
        <v/>
      </c>
    </row>
    <row r="1556" customFormat="false" ht="15" hidden="false" customHeight="false" outlineLevel="0" collapsed="false">
      <c r="A1556" s="9"/>
      <c r="B1556" s="10"/>
      <c r="C1556" s="11"/>
      <c r="D1556" s="11"/>
      <c r="E1556" s="11"/>
      <c r="F1556" s="11"/>
      <c r="G1556" s="12"/>
      <c r="H1556" s="12"/>
      <c r="I1556" s="10"/>
      <c r="J1556" s="12"/>
      <c r="K1556" s="13" t="str">
        <f aca="false">IF(ISNUMBER(B1556),YEAR(B1556),"")</f>
        <v/>
      </c>
      <c r="L1556" s="13" t="str">
        <f aca="false">IF(ISNUMBER(B1556),MONTH(B1556),"")</f>
        <v/>
      </c>
      <c r="M1556" s="13" t="str">
        <f aca="false">IF(AND(ISNUMBER(B1556),ISNUMBER(I1556)),B1556-I1556+1,"")</f>
        <v/>
      </c>
      <c r="N1556" s="14" t="str">
        <f aca="false">IF(B1556="","",IF(M1556="","시작일 미입력",IF(M1556&lt;1,"시작일 이전(확인)",IF(M1556=1,"1일째",IF(M1556=2,"2일째",IF(M1556=3,"3일째",IF(M1556&lt;=7,"일주일 이내",IF(M1556&lt;=14,"이주일 이내","15일 이후"))))))))</f>
        <v/>
      </c>
      <c r="O1556" s="0" t="str">
        <f aca="false">IF(AND(COUNTA($A1556:$J1556)&gt;0,OR(클레임조회!$C$4="",AND(ISNUMBER($B1556),$B1556&gt;=클레임조회!$C$4)),OR(클레임조회!$C$5="",AND(ISNUMBER($B1556),$B1556&lt;=클레임조회!$C$5)),OR(클레임조회!$C$6="",$C1556=클레임조회!$C$6),OR(클레임조회!$C$7="",$D1556=클레임조회!$C$7),OR(클레임조회!$C$8="",$E1556=클레임조회!$C$8),OR(클레임조회!$C$9="",$F1556=클레임조회!$C$9),OR(클레임조회!$C$10="",ISNUMBER(SEARCH(클레임조회!$C$10,$C1556&amp;" "&amp;$F1556&amp;" "&amp;$G1556&amp;" "&amp;$H1556)))),COUNT(O$1:O1555)+1,"")</f>
        <v/>
      </c>
      <c r="P1556" s="0" t="str">
        <f aca="false">IF(AND(TRIM(C1556)&lt;&gt;"",COUNTIF(C$2:C1556,C1556)=1),MAX(P$1:P1555)+1,"")</f>
        <v/>
      </c>
      <c r="Q1556" s="0" t="str">
        <f aca="false">IF(AND(TRIM(F1556)&lt;&gt;"",COUNTIF(F$2:F1556,F1556)=1),MAX(Q$1:Q1555)+1,"")</f>
        <v/>
      </c>
    </row>
    <row r="1557" customFormat="false" ht="15" hidden="false" customHeight="false" outlineLevel="0" collapsed="false">
      <c r="A1557" s="9"/>
      <c r="B1557" s="10"/>
      <c r="C1557" s="11"/>
      <c r="D1557" s="11"/>
      <c r="E1557" s="11"/>
      <c r="F1557" s="11"/>
      <c r="G1557" s="12"/>
      <c r="H1557" s="12"/>
      <c r="I1557" s="10"/>
      <c r="J1557" s="12"/>
      <c r="K1557" s="13" t="str">
        <f aca="false">IF(ISNUMBER(B1557),YEAR(B1557),"")</f>
        <v/>
      </c>
      <c r="L1557" s="13" t="str">
        <f aca="false">IF(ISNUMBER(B1557),MONTH(B1557),"")</f>
        <v/>
      </c>
      <c r="M1557" s="13" t="str">
        <f aca="false">IF(AND(ISNUMBER(B1557),ISNUMBER(I1557)),B1557-I1557+1,"")</f>
        <v/>
      </c>
      <c r="N1557" s="14" t="str">
        <f aca="false">IF(B1557="","",IF(M1557="","시작일 미입력",IF(M1557&lt;1,"시작일 이전(확인)",IF(M1557=1,"1일째",IF(M1557=2,"2일째",IF(M1557=3,"3일째",IF(M1557&lt;=7,"일주일 이내",IF(M1557&lt;=14,"이주일 이내","15일 이후"))))))))</f>
        <v/>
      </c>
      <c r="O1557" s="0" t="str">
        <f aca="false">IF(AND(COUNTA($A1557:$J1557)&gt;0,OR(클레임조회!$C$4="",AND(ISNUMBER($B1557),$B1557&gt;=클레임조회!$C$4)),OR(클레임조회!$C$5="",AND(ISNUMBER($B1557),$B1557&lt;=클레임조회!$C$5)),OR(클레임조회!$C$6="",$C1557=클레임조회!$C$6),OR(클레임조회!$C$7="",$D1557=클레임조회!$C$7),OR(클레임조회!$C$8="",$E1557=클레임조회!$C$8),OR(클레임조회!$C$9="",$F1557=클레임조회!$C$9),OR(클레임조회!$C$10="",ISNUMBER(SEARCH(클레임조회!$C$10,$C1557&amp;" "&amp;$F1557&amp;" "&amp;$G1557&amp;" "&amp;$H1557)))),COUNT(O$1:O1556)+1,"")</f>
        <v/>
      </c>
      <c r="P1557" s="0" t="str">
        <f aca="false">IF(AND(TRIM(C1557)&lt;&gt;"",COUNTIF(C$2:C1557,C1557)=1),MAX(P$1:P1556)+1,"")</f>
        <v/>
      </c>
      <c r="Q1557" s="0" t="str">
        <f aca="false">IF(AND(TRIM(F1557)&lt;&gt;"",COUNTIF(F$2:F1557,F1557)=1),MAX(Q$1:Q1556)+1,"")</f>
        <v/>
      </c>
    </row>
    <row r="1558" customFormat="false" ht="15" hidden="false" customHeight="false" outlineLevel="0" collapsed="false">
      <c r="A1558" s="9"/>
      <c r="B1558" s="10"/>
      <c r="C1558" s="11"/>
      <c r="D1558" s="11"/>
      <c r="E1558" s="11"/>
      <c r="F1558" s="11"/>
      <c r="G1558" s="12"/>
      <c r="H1558" s="12"/>
      <c r="I1558" s="10"/>
      <c r="J1558" s="12"/>
      <c r="K1558" s="13" t="str">
        <f aca="false">IF(ISNUMBER(B1558),YEAR(B1558),"")</f>
        <v/>
      </c>
      <c r="L1558" s="13" t="str">
        <f aca="false">IF(ISNUMBER(B1558),MONTH(B1558),"")</f>
        <v/>
      </c>
      <c r="M1558" s="13" t="str">
        <f aca="false">IF(AND(ISNUMBER(B1558),ISNUMBER(I1558)),B1558-I1558+1,"")</f>
        <v/>
      </c>
      <c r="N1558" s="14" t="str">
        <f aca="false">IF(B1558="","",IF(M1558="","시작일 미입력",IF(M1558&lt;1,"시작일 이전(확인)",IF(M1558=1,"1일째",IF(M1558=2,"2일째",IF(M1558=3,"3일째",IF(M1558&lt;=7,"일주일 이내",IF(M1558&lt;=14,"이주일 이내","15일 이후"))))))))</f>
        <v/>
      </c>
      <c r="O1558" s="0" t="str">
        <f aca="false">IF(AND(COUNTA($A1558:$J1558)&gt;0,OR(클레임조회!$C$4="",AND(ISNUMBER($B1558),$B1558&gt;=클레임조회!$C$4)),OR(클레임조회!$C$5="",AND(ISNUMBER($B1558),$B1558&lt;=클레임조회!$C$5)),OR(클레임조회!$C$6="",$C1558=클레임조회!$C$6),OR(클레임조회!$C$7="",$D1558=클레임조회!$C$7),OR(클레임조회!$C$8="",$E1558=클레임조회!$C$8),OR(클레임조회!$C$9="",$F1558=클레임조회!$C$9),OR(클레임조회!$C$10="",ISNUMBER(SEARCH(클레임조회!$C$10,$C1558&amp;" "&amp;$F1558&amp;" "&amp;$G1558&amp;" "&amp;$H1558)))),COUNT(O$1:O1557)+1,"")</f>
        <v/>
      </c>
      <c r="P1558" s="0" t="str">
        <f aca="false">IF(AND(TRIM(C1558)&lt;&gt;"",COUNTIF(C$2:C1558,C1558)=1),MAX(P$1:P1557)+1,"")</f>
        <v/>
      </c>
      <c r="Q1558" s="0" t="str">
        <f aca="false">IF(AND(TRIM(F1558)&lt;&gt;"",COUNTIF(F$2:F1558,F1558)=1),MAX(Q$1:Q1557)+1,"")</f>
        <v/>
      </c>
    </row>
    <row r="1559" customFormat="false" ht="15" hidden="false" customHeight="false" outlineLevel="0" collapsed="false">
      <c r="A1559" s="9"/>
      <c r="B1559" s="10"/>
      <c r="C1559" s="11"/>
      <c r="D1559" s="11"/>
      <c r="E1559" s="11"/>
      <c r="F1559" s="11"/>
      <c r="G1559" s="12"/>
      <c r="H1559" s="12"/>
      <c r="I1559" s="10"/>
      <c r="J1559" s="12"/>
      <c r="K1559" s="13" t="str">
        <f aca="false">IF(ISNUMBER(B1559),YEAR(B1559),"")</f>
        <v/>
      </c>
      <c r="L1559" s="13" t="str">
        <f aca="false">IF(ISNUMBER(B1559),MONTH(B1559),"")</f>
        <v/>
      </c>
      <c r="M1559" s="13" t="str">
        <f aca="false">IF(AND(ISNUMBER(B1559),ISNUMBER(I1559)),B1559-I1559+1,"")</f>
        <v/>
      </c>
      <c r="N1559" s="14" t="str">
        <f aca="false">IF(B1559="","",IF(M1559="","시작일 미입력",IF(M1559&lt;1,"시작일 이전(확인)",IF(M1559=1,"1일째",IF(M1559=2,"2일째",IF(M1559=3,"3일째",IF(M1559&lt;=7,"일주일 이내",IF(M1559&lt;=14,"이주일 이내","15일 이후"))))))))</f>
        <v/>
      </c>
      <c r="O1559" s="0" t="str">
        <f aca="false">IF(AND(COUNTA($A1559:$J1559)&gt;0,OR(클레임조회!$C$4="",AND(ISNUMBER($B1559),$B1559&gt;=클레임조회!$C$4)),OR(클레임조회!$C$5="",AND(ISNUMBER($B1559),$B1559&lt;=클레임조회!$C$5)),OR(클레임조회!$C$6="",$C1559=클레임조회!$C$6),OR(클레임조회!$C$7="",$D1559=클레임조회!$C$7),OR(클레임조회!$C$8="",$E1559=클레임조회!$C$8),OR(클레임조회!$C$9="",$F1559=클레임조회!$C$9),OR(클레임조회!$C$10="",ISNUMBER(SEARCH(클레임조회!$C$10,$C1559&amp;" "&amp;$F1559&amp;" "&amp;$G1559&amp;" "&amp;$H1559)))),COUNT(O$1:O1558)+1,"")</f>
        <v/>
      </c>
      <c r="P1559" s="0" t="str">
        <f aca="false">IF(AND(TRIM(C1559)&lt;&gt;"",COUNTIF(C$2:C1559,C1559)=1),MAX(P$1:P1558)+1,"")</f>
        <v/>
      </c>
      <c r="Q1559" s="0" t="str">
        <f aca="false">IF(AND(TRIM(F1559)&lt;&gt;"",COUNTIF(F$2:F1559,F1559)=1),MAX(Q$1:Q1558)+1,"")</f>
        <v/>
      </c>
    </row>
    <row r="1560" customFormat="false" ht="15" hidden="false" customHeight="false" outlineLevel="0" collapsed="false">
      <c r="A1560" s="9"/>
      <c r="B1560" s="10"/>
      <c r="C1560" s="11"/>
      <c r="D1560" s="11"/>
      <c r="E1560" s="11"/>
      <c r="F1560" s="11"/>
      <c r="G1560" s="12"/>
      <c r="H1560" s="12"/>
      <c r="I1560" s="10"/>
      <c r="J1560" s="12"/>
      <c r="K1560" s="13" t="str">
        <f aca="false">IF(ISNUMBER(B1560),YEAR(B1560),"")</f>
        <v/>
      </c>
      <c r="L1560" s="13" t="str">
        <f aca="false">IF(ISNUMBER(B1560),MONTH(B1560),"")</f>
        <v/>
      </c>
      <c r="M1560" s="13" t="str">
        <f aca="false">IF(AND(ISNUMBER(B1560),ISNUMBER(I1560)),B1560-I1560+1,"")</f>
        <v/>
      </c>
      <c r="N1560" s="14" t="str">
        <f aca="false">IF(B1560="","",IF(M1560="","시작일 미입력",IF(M1560&lt;1,"시작일 이전(확인)",IF(M1560=1,"1일째",IF(M1560=2,"2일째",IF(M1560=3,"3일째",IF(M1560&lt;=7,"일주일 이내",IF(M1560&lt;=14,"이주일 이내","15일 이후"))))))))</f>
        <v/>
      </c>
      <c r="O1560" s="0" t="str">
        <f aca="false">IF(AND(COUNTA($A1560:$J1560)&gt;0,OR(클레임조회!$C$4="",AND(ISNUMBER($B1560),$B1560&gt;=클레임조회!$C$4)),OR(클레임조회!$C$5="",AND(ISNUMBER($B1560),$B1560&lt;=클레임조회!$C$5)),OR(클레임조회!$C$6="",$C1560=클레임조회!$C$6),OR(클레임조회!$C$7="",$D1560=클레임조회!$C$7),OR(클레임조회!$C$8="",$E1560=클레임조회!$C$8),OR(클레임조회!$C$9="",$F1560=클레임조회!$C$9),OR(클레임조회!$C$10="",ISNUMBER(SEARCH(클레임조회!$C$10,$C1560&amp;" "&amp;$F1560&amp;" "&amp;$G1560&amp;" "&amp;$H1560)))),COUNT(O$1:O1559)+1,"")</f>
        <v/>
      </c>
      <c r="P1560" s="0" t="str">
        <f aca="false">IF(AND(TRIM(C1560)&lt;&gt;"",COUNTIF(C$2:C1560,C1560)=1),MAX(P$1:P1559)+1,"")</f>
        <v/>
      </c>
      <c r="Q1560" s="0" t="str">
        <f aca="false">IF(AND(TRIM(F1560)&lt;&gt;"",COUNTIF(F$2:F1560,F1560)=1),MAX(Q$1:Q1559)+1,"")</f>
        <v/>
      </c>
    </row>
    <row r="1561" customFormat="false" ht="15" hidden="false" customHeight="false" outlineLevel="0" collapsed="false">
      <c r="A1561" s="9"/>
      <c r="B1561" s="10"/>
      <c r="C1561" s="11"/>
      <c r="D1561" s="11"/>
      <c r="E1561" s="11"/>
      <c r="F1561" s="11"/>
      <c r="G1561" s="12"/>
      <c r="H1561" s="12"/>
      <c r="I1561" s="10"/>
      <c r="J1561" s="12"/>
      <c r="K1561" s="13" t="str">
        <f aca="false">IF(ISNUMBER(B1561),YEAR(B1561),"")</f>
        <v/>
      </c>
      <c r="L1561" s="13" t="str">
        <f aca="false">IF(ISNUMBER(B1561),MONTH(B1561),"")</f>
        <v/>
      </c>
      <c r="M1561" s="13" t="str">
        <f aca="false">IF(AND(ISNUMBER(B1561),ISNUMBER(I1561)),B1561-I1561+1,"")</f>
        <v/>
      </c>
      <c r="N1561" s="14" t="str">
        <f aca="false">IF(B1561="","",IF(M1561="","시작일 미입력",IF(M1561&lt;1,"시작일 이전(확인)",IF(M1561=1,"1일째",IF(M1561=2,"2일째",IF(M1561=3,"3일째",IF(M1561&lt;=7,"일주일 이내",IF(M1561&lt;=14,"이주일 이내","15일 이후"))))))))</f>
        <v/>
      </c>
      <c r="O1561" s="0" t="str">
        <f aca="false">IF(AND(COUNTA($A1561:$J1561)&gt;0,OR(클레임조회!$C$4="",AND(ISNUMBER($B1561),$B1561&gt;=클레임조회!$C$4)),OR(클레임조회!$C$5="",AND(ISNUMBER($B1561),$B1561&lt;=클레임조회!$C$5)),OR(클레임조회!$C$6="",$C1561=클레임조회!$C$6),OR(클레임조회!$C$7="",$D1561=클레임조회!$C$7),OR(클레임조회!$C$8="",$E1561=클레임조회!$C$8),OR(클레임조회!$C$9="",$F1561=클레임조회!$C$9),OR(클레임조회!$C$10="",ISNUMBER(SEARCH(클레임조회!$C$10,$C1561&amp;" "&amp;$F1561&amp;" "&amp;$G1561&amp;" "&amp;$H1561)))),COUNT(O$1:O1560)+1,"")</f>
        <v/>
      </c>
      <c r="P1561" s="0" t="str">
        <f aca="false">IF(AND(TRIM(C1561)&lt;&gt;"",COUNTIF(C$2:C1561,C1561)=1),MAX(P$1:P1560)+1,"")</f>
        <v/>
      </c>
      <c r="Q1561" s="0" t="str">
        <f aca="false">IF(AND(TRIM(F1561)&lt;&gt;"",COUNTIF(F$2:F1561,F1561)=1),MAX(Q$1:Q1560)+1,"")</f>
        <v/>
      </c>
    </row>
    <row r="1562" customFormat="false" ht="15" hidden="false" customHeight="false" outlineLevel="0" collapsed="false">
      <c r="A1562" s="9"/>
      <c r="B1562" s="10"/>
      <c r="C1562" s="11"/>
      <c r="D1562" s="11"/>
      <c r="E1562" s="11"/>
      <c r="F1562" s="11"/>
      <c r="G1562" s="12"/>
      <c r="H1562" s="12"/>
      <c r="I1562" s="10"/>
      <c r="J1562" s="12"/>
      <c r="K1562" s="13" t="str">
        <f aca="false">IF(ISNUMBER(B1562),YEAR(B1562),"")</f>
        <v/>
      </c>
      <c r="L1562" s="13" t="str">
        <f aca="false">IF(ISNUMBER(B1562),MONTH(B1562),"")</f>
        <v/>
      </c>
      <c r="M1562" s="13" t="str">
        <f aca="false">IF(AND(ISNUMBER(B1562),ISNUMBER(I1562)),B1562-I1562+1,"")</f>
        <v/>
      </c>
      <c r="N1562" s="14" t="str">
        <f aca="false">IF(B1562="","",IF(M1562="","시작일 미입력",IF(M1562&lt;1,"시작일 이전(확인)",IF(M1562=1,"1일째",IF(M1562=2,"2일째",IF(M1562=3,"3일째",IF(M1562&lt;=7,"일주일 이내",IF(M1562&lt;=14,"이주일 이내","15일 이후"))))))))</f>
        <v/>
      </c>
      <c r="O1562" s="0" t="str">
        <f aca="false">IF(AND(COUNTA($A1562:$J1562)&gt;0,OR(클레임조회!$C$4="",AND(ISNUMBER($B1562),$B1562&gt;=클레임조회!$C$4)),OR(클레임조회!$C$5="",AND(ISNUMBER($B1562),$B1562&lt;=클레임조회!$C$5)),OR(클레임조회!$C$6="",$C1562=클레임조회!$C$6),OR(클레임조회!$C$7="",$D1562=클레임조회!$C$7),OR(클레임조회!$C$8="",$E1562=클레임조회!$C$8),OR(클레임조회!$C$9="",$F1562=클레임조회!$C$9),OR(클레임조회!$C$10="",ISNUMBER(SEARCH(클레임조회!$C$10,$C1562&amp;" "&amp;$F1562&amp;" "&amp;$G1562&amp;" "&amp;$H1562)))),COUNT(O$1:O1561)+1,"")</f>
        <v/>
      </c>
      <c r="P1562" s="0" t="str">
        <f aca="false">IF(AND(TRIM(C1562)&lt;&gt;"",COUNTIF(C$2:C1562,C1562)=1),MAX(P$1:P1561)+1,"")</f>
        <v/>
      </c>
      <c r="Q1562" s="0" t="str">
        <f aca="false">IF(AND(TRIM(F1562)&lt;&gt;"",COUNTIF(F$2:F1562,F1562)=1),MAX(Q$1:Q1561)+1,"")</f>
        <v/>
      </c>
    </row>
    <row r="1563" customFormat="false" ht="15" hidden="false" customHeight="false" outlineLevel="0" collapsed="false">
      <c r="A1563" s="9"/>
      <c r="B1563" s="10"/>
      <c r="C1563" s="11"/>
      <c r="D1563" s="11"/>
      <c r="E1563" s="11"/>
      <c r="F1563" s="11"/>
      <c r="G1563" s="12"/>
      <c r="H1563" s="12"/>
      <c r="I1563" s="10"/>
      <c r="J1563" s="12"/>
      <c r="K1563" s="13" t="str">
        <f aca="false">IF(ISNUMBER(B1563),YEAR(B1563),"")</f>
        <v/>
      </c>
      <c r="L1563" s="13" t="str">
        <f aca="false">IF(ISNUMBER(B1563),MONTH(B1563),"")</f>
        <v/>
      </c>
      <c r="M1563" s="13" t="str">
        <f aca="false">IF(AND(ISNUMBER(B1563),ISNUMBER(I1563)),B1563-I1563+1,"")</f>
        <v/>
      </c>
      <c r="N1563" s="14" t="str">
        <f aca="false">IF(B1563="","",IF(M1563="","시작일 미입력",IF(M1563&lt;1,"시작일 이전(확인)",IF(M1563=1,"1일째",IF(M1563=2,"2일째",IF(M1563=3,"3일째",IF(M1563&lt;=7,"일주일 이내",IF(M1563&lt;=14,"이주일 이내","15일 이후"))))))))</f>
        <v/>
      </c>
      <c r="O1563" s="0" t="str">
        <f aca="false">IF(AND(COUNTA($A1563:$J1563)&gt;0,OR(클레임조회!$C$4="",AND(ISNUMBER($B1563),$B1563&gt;=클레임조회!$C$4)),OR(클레임조회!$C$5="",AND(ISNUMBER($B1563),$B1563&lt;=클레임조회!$C$5)),OR(클레임조회!$C$6="",$C1563=클레임조회!$C$6),OR(클레임조회!$C$7="",$D1563=클레임조회!$C$7),OR(클레임조회!$C$8="",$E1563=클레임조회!$C$8),OR(클레임조회!$C$9="",$F1563=클레임조회!$C$9),OR(클레임조회!$C$10="",ISNUMBER(SEARCH(클레임조회!$C$10,$C1563&amp;" "&amp;$F1563&amp;" "&amp;$G1563&amp;" "&amp;$H1563)))),COUNT(O$1:O1562)+1,"")</f>
        <v/>
      </c>
      <c r="P1563" s="0" t="str">
        <f aca="false">IF(AND(TRIM(C1563)&lt;&gt;"",COUNTIF(C$2:C1563,C1563)=1),MAX(P$1:P1562)+1,"")</f>
        <v/>
      </c>
      <c r="Q1563" s="0" t="str">
        <f aca="false">IF(AND(TRIM(F1563)&lt;&gt;"",COUNTIF(F$2:F1563,F1563)=1),MAX(Q$1:Q1562)+1,"")</f>
        <v/>
      </c>
    </row>
    <row r="1564" customFormat="false" ht="15" hidden="false" customHeight="false" outlineLevel="0" collapsed="false">
      <c r="A1564" s="9"/>
      <c r="B1564" s="10"/>
      <c r="C1564" s="11"/>
      <c r="D1564" s="11"/>
      <c r="E1564" s="11"/>
      <c r="F1564" s="11"/>
      <c r="G1564" s="12"/>
      <c r="H1564" s="12"/>
      <c r="I1564" s="10"/>
      <c r="J1564" s="12"/>
      <c r="K1564" s="13" t="str">
        <f aca="false">IF(ISNUMBER(B1564),YEAR(B1564),"")</f>
        <v/>
      </c>
      <c r="L1564" s="13" t="str">
        <f aca="false">IF(ISNUMBER(B1564),MONTH(B1564),"")</f>
        <v/>
      </c>
      <c r="M1564" s="13" t="str">
        <f aca="false">IF(AND(ISNUMBER(B1564),ISNUMBER(I1564)),B1564-I1564+1,"")</f>
        <v/>
      </c>
      <c r="N1564" s="14" t="str">
        <f aca="false">IF(B1564="","",IF(M1564="","시작일 미입력",IF(M1564&lt;1,"시작일 이전(확인)",IF(M1564=1,"1일째",IF(M1564=2,"2일째",IF(M1564=3,"3일째",IF(M1564&lt;=7,"일주일 이내",IF(M1564&lt;=14,"이주일 이내","15일 이후"))))))))</f>
        <v/>
      </c>
      <c r="O1564" s="0" t="str">
        <f aca="false">IF(AND(COUNTA($A1564:$J1564)&gt;0,OR(클레임조회!$C$4="",AND(ISNUMBER($B1564),$B1564&gt;=클레임조회!$C$4)),OR(클레임조회!$C$5="",AND(ISNUMBER($B1564),$B1564&lt;=클레임조회!$C$5)),OR(클레임조회!$C$6="",$C1564=클레임조회!$C$6),OR(클레임조회!$C$7="",$D1564=클레임조회!$C$7),OR(클레임조회!$C$8="",$E1564=클레임조회!$C$8),OR(클레임조회!$C$9="",$F1564=클레임조회!$C$9),OR(클레임조회!$C$10="",ISNUMBER(SEARCH(클레임조회!$C$10,$C1564&amp;" "&amp;$F1564&amp;" "&amp;$G1564&amp;" "&amp;$H1564)))),COUNT(O$1:O1563)+1,"")</f>
        <v/>
      </c>
      <c r="P1564" s="0" t="str">
        <f aca="false">IF(AND(TRIM(C1564)&lt;&gt;"",COUNTIF(C$2:C1564,C1564)=1),MAX(P$1:P1563)+1,"")</f>
        <v/>
      </c>
      <c r="Q1564" s="0" t="str">
        <f aca="false">IF(AND(TRIM(F1564)&lt;&gt;"",COUNTIF(F$2:F1564,F1564)=1),MAX(Q$1:Q1563)+1,"")</f>
        <v/>
      </c>
    </row>
    <row r="1565" customFormat="false" ht="15" hidden="false" customHeight="false" outlineLevel="0" collapsed="false">
      <c r="A1565" s="9"/>
      <c r="B1565" s="10"/>
      <c r="C1565" s="11"/>
      <c r="D1565" s="11"/>
      <c r="E1565" s="11"/>
      <c r="F1565" s="11"/>
      <c r="G1565" s="12"/>
      <c r="H1565" s="12"/>
      <c r="I1565" s="10"/>
      <c r="J1565" s="12"/>
      <c r="K1565" s="13" t="str">
        <f aca="false">IF(ISNUMBER(B1565),YEAR(B1565),"")</f>
        <v/>
      </c>
      <c r="L1565" s="13" t="str">
        <f aca="false">IF(ISNUMBER(B1565),MONTH(B1565),"")</f>
        <v/>
      </c>
      <c r="M1565" s="13" t="str">
        <f aca="false">IF(AND(ISNUMBER(B1565),ISNUMBER(I1565)),B1565-I1565+1,"")</f>
        <v/>
      </c>
      <c r="N1565" s="14" t="str">
        <f aca="false">IF(B1565="","",IF(M1565="","시작일 미입력",IF(M1565&lt;1,"시작일 이전(확인)",IF(M1565=1,"1일째",IF(M1565=2,"2일째",IF(M1565=3,"3일째",IF(M1565&lt;=7,"일주일 이내",IF(M1565&lt;=14,"이주일 이내","15일 이후"))))))))</f>
        <v/>
      </c>
      <c r="O1565" s="0" t="str">
        <f aca="false">IF(AND(COUNTA($A1565:$J1565)&gt;0,OR(클레임조회!$C$4="",AND(ISNUMBER($B1565),$B1565&gt;=클레임조회!$C$4)),OR(클레임조회!$C$5="",AND(ISNUMBER($B1565),$B1565&lt;=클레임조회!$C$5)),OR(클레임조회!$C$6="",$C1565=클레임조회!$C$6),OR(클레임조회!$C$7="",$D1565=클레임조회!$C$7),OR(클레임조회!$C$8="",$E1565=클레임조회!$C$8),OR(클레임조회!$C$9="",$F1565=클레임조회!$C$9),OR(클레임조회!$C$10="",ISNUMBER(SEARCH(클레임조회!$C$10,$C1565&amp;" "&amp;$F1565&amp;" "&amp;$G1565&amp;" "&amp;$H1565)))),COUNT(O$1:O1564)+1,"")</f>
        <v/>
      </c>
      <c r="P1565" s="0" t="str">
        <f aca="false">IF(AND(TRIM(C1565)&lt;&gt;"",COUNTIF(C$2:C1565,C1565)=1),MAX(P$1:P1564)+1,"")</f>
        <v/>
      </c>
      <c r="Q1565" s="0" t="str">
        <f aca="false">IF(AND(TRIM(F1565)&lt;&gt;"",COUNTIF(F$2:F1565,F1565)=1),MAX(Q$1:Q1564)+1,"")</f>
        <v/>
      </c>
    </row>
    <row r="1566" customFormat="false" ht="15" hidden="false" customHeight="false" outlineLevel="0" collapsed="false">
      <c r="A1566" s="9"/>
      <c r="B1566" s="10"/>
      <c r="C1566" s="11"/>
      <c r="D1566" s="11"/>
      <c r="E1566" s="11"/>
      <c r="F1566" s="11"/>
      <c r="G1566" s="12"/>
      <c r="H1566" s="12"/>
      <c r="I1566" s="10"/>
      <c r="J1566" s="12"/>
      <c r="K1566" s="13" t="str">
        <f aca="false">IF(ISNUMBER(B1566),YEAR(B1566),"")</f>
        <v/>
      </c>
      <c r="L1566" s="13" t="str">
        <f aca="false">IF(ISNUMBER(B1566),MONTH(B1566),"")</f>
        <v/>
      </c>
      <c r="M1566" s="13" t="str">
        <f aca="false">IF(AND(ISNUMBER(B1566),ISNUMBER(I1566)),B1566-I1566+1,"")</f>
        <v/>
      </c>
      <c r="N1566" s="14" t="str">
        <f aca="false">IF(B1566="","",IF(M1566="","시작일 미입력",IF(M1566&lt;1,"시작일 이전(확인)",IF(M1566=1,"1일째",IF(M1566=2,"2일째",IF(M1566=3,"3일째",IF(M1566&lt;=7,"일주일 이내",IF(M1566&lt;=14,"이주일 이내","15일 이후"))))))))</f>
        <v/>
      </c>
      <c r="O1566" s="0" t="str">
        <f aca="false">IF(AND(COUNTA($A1566:$J1566)&gt;0,OR(클레임조회!$C$4="",AND(ISNUMBER($B1566),$B1566&gt;=클레임조회!$C$4)),OR(클레임조회!$C$5="",AND(ISNUMBER($B1566),$B1566&lt;=클레임조회!$C$5)),OR(클레임조회!$C$6="",$C1566=클레임조회!$C$6),OR(클레임조회!$C$7="",$D1566=클레임조회!$C$7),OR(클레임조회!$C$8="",$E1566=클레임조회!$C$8),OR(클레임조회!$C$9="",$F1566=클레임조회!$C$9),OR(클레임조회!$C$10="",ISNUMBER(SEARCH(클레임조회!$C$10,$C1566&amp;" "&amp;$F1566&amp;" "&amp;$G1566&amp;" "&amp;$H1566)))),COUNT(O$1:O1565)+1,"")</f>
        <v/>
      </c>
      <c r="P1566" s="0" t="str">
        <f aca="false">IF(AND(TRIM(C1566)&lt;&gt;"",COUNTIF(C$2:C1566,C1566)=1),MAX(P$1:P1565)+1,"")</f>
        <v/>
      </c>
      <c r="Q1566" s="0" t="str">
        <f aca="false">IF(AND(TRIM(F1566)&lt;&gt;"",COUNTIF(F$2:F1566,F1566)=1),MAX(Q$1:Q1565)+1,"")</f>
        <v/>
      </c>
    </row>
    <row r="1567" customFormat="false" ht="15" hidden="false" customHeight="false" outlineLevel="0" collapsed="false">
      <c r="A1567" s="9"/>
      <c r="B1567" s="10"/>
      <c r="C1567" s="11"/>
      <c r="D1567" s="11"/>
      <c r="E1567" s="11"/>
      <c r="F1567" s="11"/>
      <c r="G1567" s="12"/>
      <c r="H1567" s="12"/>
      <c r="I1567" s="10"/>
      <c r="J1567" s="12"/>
      <c r="K1567" s="13" t="str">
        <f aca="false">IF(ISNUMBER(B1567),YEAR(B1567),"")</f>
        <v/>
      </c>
      <c r="L1567" s="13" t="str">
        <f aca="false">IF(ISNUMBER(B1567),MONTH(B1567),"")</f>
        <v/>
      </c>
      <c r="M1567" s="13" t="str">
        <f aca="false">IF(AND(ISNUMBER(B1567),ISNUMBER(I1567)),B1567-I1567+1,"")</f>
        <v/>
      </c>
      <c r="N1567" s="14" t="str">
        <f aca="false">IF(B1567="","",IF(M1567="","시작일 미입력",IF(M1567&lt;1,"시작일 이전(확인)",IF(M1567=1,"1일째",IF(M1567=2,"2일째",IF(M1567=3,"3일째",IF(M1567&lt;=7,"일주일 이내",IF(M1567&lt;=14,"이주일 이내","15일 이후"))))))))</f>
        <v/>
      </c>
      <c r="O1567" s="0" t="str">
        <f aca="false">IF(AND(COUNTA($A1567:$J1567)&gt;0,OR(클레임조회!$C$4="",AND(ISNUMBER($B1567),$B1567&gt;=클레임조회!$C$4)),OR(클레임조회!$C$5="",AND(ISNUMBER($B1567),$B1567&lt;=클레임조회!$C$5)),OR(클레임조회!$C$6="",$C1567=클레임조회!$C$6),OR(클레임조회!$C$7="",$D1567=클레임조회!$C$7),OR(클레임조회!$C$8="",$E1567=클레임조회!$C$8),OR(클레임조회!$C$9="",$F1567=클레임조회!$C$9),OR(클레임조회!$C$10="",ISNUMBER(SEARCH(클레임조회!$C$10,$C1567&amp;" "&amp;$F1567&amp;" "&amp;$G1567&amp;" "&amp;$H1567)))),COUNT(O$1:O1566)+1,"")</f>
        <v/>
      </c>
      <c r="P1567" s="0" t="str">
        <f aca="false">IF(AND(TRIM(C1567)&lt;&gt;"",COUNTIF(C$2:C1567,C1567)=1),MAX(P$1:P1566)+1,"")</f>
        <v/>
      </c>
      <c r="Q1567" s="0" t="str">
        <f aca="false">IF(AND(TRIM(F1567)&lt;&gt;"",COUNTIF(F$2:F1567,F1567)=1),MAX(Q$1:Q1566)+1,"")</f>
        <v/>
      </c>
    </row>
    <row r="1568" customFormat="false" ht="15" hidden="false" customHeight="false" outlineLevel="0" collapsed="false">
      <c r="A1568" s="9"/>
      <c r="B1568" s="10"/>
      <c r="C1568" s="11"/>
      <c r="D1568" s="11"/>
      <c r="E1568" s="11"/>
      <c r="F1568" s="11"/>
      <c r="G1568" s="12"/>
      <c r="H1568" s="12"/>
      <c r="I1568" s="10"/>
      <c r="J1568" s="12"/>
      <c r="K1568" s="13" t="str">
        <f aca="false">IF(ISNUMBER(B1568),YEAR(B1568),"")</f>
        <v/>
      </c>
      <c r="L1568" s="13" t="str">
        <f aca="false">IF(ISNUMBER(B1568),MONTH(B1568),"")</f>
        <v/>
      </c>
      <c r="M1568" s="13" t="str">
        <f aca="false">IF(AND(ISNUMBER(B1568),ISNUMBER(I1568)),B1568-I1568+1,"")</f>
        <v/>
      </c>
      <c r="N1568" s="14" t="str">
        <f aca="false">IF(B1568="","",IF(M1568="","시작일 미입력",IF(M1568&lt;1,"시작일 이전(확인)",IF(M1568=1,"1일째",IF(M1568=2,"2일째",IF(M1568=3,"3일째",IF(M1568&lt;=7,"일주일 이내",IF(M1568&lt;=14,"이주일 이내","15일 이후"))))))))</f>
        <v/>
      </c>
      <c r="O1568" s="0" t="str">
        <f aca="false">IF(AND(COUNTA($A1568:$J1568)&gt;0,OR(클레임조회!$C$4="",AND(ISNUMBER($B1568),$B1568&gt;=클레임조회!$C$4)),OR(클레임조회!$C$5="",AND(ISNUMBER($B1568),$B1568&lt;=클레임조회!$C$5)),OR(클레임조회!$C$6="",$C1568=클레임조회!$C$6),OR(클레임조회!$C$7="",$D1568=클레임조회!$C$7),OR(클레임조회!$C$8="",$E1568=클레임조회!$C$8),OR(클레임조회!$C$9="",$F1568=클레임조회!$C$9),OR(클레임조회!$C$10="",ISNUMBER(SEARCH(클레임조회!$C$10,$C1568&amp;" "&amp;$F1568&amp;" "&amp;$G1568&amp;" "&amp;$H1568)))),COUNT(O$1:O1567)+1,"")</f>
        <v/>
      </c>
      <c r="P1568" s="0" t="str">
        <f aca="false">IF(AND(TRIM(C1568)&lt;&gt;"",COUNTIF(C$2:C1568,C1568)=1),MAX(P$1:P1567)+1,"")</f>
        <v/>
      </c>
      <c r="Q1568" s="0" t="str">
        <f aca="false">IF(AND(TRIM(F1568)&lt;&gt;"",COUNTIF(F$2:F1568,F1568)=1),MAX(Q$1:Q1567)+1,"")</f>
        <v/>
      </c>
    </row>
    <row r="1569" customFormat="false" ht="15" hidden="false" customHeight="false" outlineLevel="0" collapsed="false">
      <c r="A1569" s="9"/>
      <c r="B1569" s="10"/>
      <c r="C1569" s="11"/>
      <c r="D1569" s="11"/>
      <c r="E1569" s="11"/>
      <c r="F1569" s="11"/>
      <c r="G1569" s="12"/>
      <c r="H1569" s="12"/>
      <c r="I1569" s="10"/>
      <c r="J1569" s="12"/>
      <c r="K1569" s="13" t="str">
        <f aca="false">IF(ISNUMBER(B1569),YEAR(B1569),"")</f>
        <v/>
      </c>
      <c r="L1569" s="13" t="str">
        <f aca="false">IF(ISNUMBER(B1569),MONTH(B1569),"")</f>
        <v/>
      </c>
      <c r="M1569" s="13" t="str">
        <f aca="false">IF(AND(ISNUMBER(B1569),ISNUMBER(I1569)),B1569-I1569+1,"")</f>
        <v/>
      </c>
      <c r="N1569" s="14" t="str">
        <f aca="false">IF(B1569="","",IF(M1569="","시작일 미입력",IF(M1569&lt;1,"시작일 이전(확인)",IF(M1569=1,"1일째",IF(M1569=2,"2일째",IF(M1569=3,"3일째",IF(M1569&lt;=7,"일주일 이내",IF(M1569&lt;=14,"이주일 이내","15일 이후"))))))))</f>
        <v/>
      </c>
      <c r="O1569" s="0" t="str">
        <f aca="false">IF(AND(COUNTA($A1569:$J1569)&gt;0,OR(클레임조회!$C$4="",AND(ISNUMBER($B1569),$B1569&gt;=클레임조회!$C$4)),OR(클레임조회!$C$5="",AND(ISNUMBER($B1569),$B1569&lt;=클레임조회!$C$5)),OR(클레임조회!$C$6="",$C1569=클레임조회!$C$6),OR(클레임조회!$C$7="",$D1569=클레임조회!$C$7),OR(클레임조회!$C$8="",$E1569=클레임조회!$C$8),OR(클레임조회!$C$9="",$F1569=클레임조회!$C$9),OR(클레임조회!$C$10="",ISNUMBER(SEARCH(클레임조회!$C$10,$C1569&amp;" "&amp;$F1569&amp;" "&amp;$G1569&amp;" "&amp;$H1569)))),COUNT(O$1:O1568)+1,"")</f>
        <v/>
      </c>
      <c r="P1569" s="0" t="str">
        <f aca="false">IF(AND(TRIM(C1569)&lt;&gt;"",COUNTIF(C$2:C1569,C1569)=1),MAX(P$1:P1568)+1,"")</f>
        <v/>
      </c>
      <c r="Q1569" s="0" t="str">
        <f aca="false">IF(AND(TRIM(F1569)&lt;&gt;"",COUNTIF(F$2:F1569,F1569)=1),MAX(Q$1:Q1568)+1,"")</f>
        <v/>
      </c>
    </row>
    <row r="1570" customFormat="false" ht="15" hidden="false" customHeight="false" outlineLevel="0" collapsed="false">
      <c r="A1570" s="9"/>
      <c r="B1570" s="10"/>
      <c r="C1570" s="11"/>
      <c r="D1570" s="11"/>
      <c r="E1570" s="11"/>
      <c r="F1570" s="11"/>
      <c r="G1570" s="12"/>
      <c r="H1570" s="12"/>
      <c r="I1570" s="10"/>
      <c r="J1570" s="12"/>
      <c r="K1570" s="13" t="str">
        <f aca="false">IF(ISNUMBER(B1570),YEAR(B1570),"")</f>
        <v/>
      </c>
      <c r="L1570" s="13" t="str">
        <f aca="false">IF(ISNUMBER(B1570),MONTH(B1570),"")</f>
        <v/>
      </c>
      <c r="M1570" s="13" t="str">
        <f aca="false">IF(AND(ISNUMBER(B1570),ISNUMBER(I1570)),B1570-I1570+1,"")</f>
        <v/>
      </c>
      <c r="N1570" s="14" t="str">
        <f aca="false">IF(B1570="","",IF(M1570="","시작일 미입력",IF(M1570&lt;1,"시작일 이전(확인)",IF(M1570=1,"1일째",IF(M1570=2,"2일째",IF(M1570=3,"3일째",IF(M1570&lt;=7,"일주일 이내",IF(M1570&lt;=14,"이주일 이내","15일 이후"))))))))</f>
        <v/>
      </c>
      <c r="O1570" s="0" t="str">
        <f aca="false">IF(AND(COUNTA($A1570:$J1570)&gt;0,OR(클레임조회!$C$4="",AND(ISNUMBER($B1570),$B1570&gt;=클레임조회!$C$4)),OR(클레임조회!$C$5="",AND(ISNUMBER($B1570),$B1570&lt;=클레임조회!$C$5)),OR(클레임조회!$C$6="",$C1570=클레임조회!$C$6),OR(클레임조회!$C$7="",$D1570=클레임조회!$C$7),OR(클레임조회!$C$8="",$E1570=클레임조회!$C$8),OR(클레임조회!$C$9="",$F1570=클레임조회!$C$9),OR(클레임조회!$C$10="",ISNUMBER(SEARCH(클레임조회!$C$10,$C1570&amp;" "&amp;$F1570&amp;" "&amp;$G1570&amp;" "&amp;$H1570)))),COUNT(O$1:O1569)+1,"")</f>
        <v/>
      </c>
      <c r="P1570" s="0" t="str">
        <f aca="false">IF(AND(TRIM(C1570)&lt;&gt;"",COUNTIF(C$2:C1570,C1570)=1),MAX(P$1:P1569)+1,"")</f>
        <v/>
      </c>
      <c r="Q1570" s="0" t="str">
        <f aca="false">IF(AND(TRIM(F1570)&lt;&gt;"",COUNTIF(F$2:F1570,F1570)=1),MAX(Q$1:Q1569)+1,"")</f>
        <v/>
      </c>
    </row>
    <row r="1571" customFormat="false" ht="15" hidden="false" customHeight="false" outlineLevel="0" collapsed="false">
      <c r="A1571" s="9"/>
      <c r="B1571" s="10"/>
      <c r="C1571" s="11"/>
      <c r="D1571" s="11"/>
      <c r="E1571" s="11"/>
      <c r="F1571" s="11"/>
      <c r="G1571" s="12"/>
      <c r="H1571" s="12"/>
      <c r="I1571" s="10"/>
      <c r="J1571" s="12"/>
      <c r="K1571" s="13" t="str">
        <f aca="false">IF(ISNUMBER(B1571),YEAR(B1571),"")</f>
        <v/>
      </c>
      <c r="L1571" s="13" t="str">
        <f aca="false">IF(ISNUMBER(B1571),MONTH(B1571),"")</f>
        <v/>
      </c>
      <c r="M1571" s="13" t="str">
        <f aca="false">IF(AND(ISNUMBER(B1571),ISNUMBER(I1571)),B1571-I1571+1,"")</f>
        <v/>
      </c>
      <c r="N1571" s="14" t="str">
        <f aca="false">IF(B1571="","",IF(M1571="","시작일 미입력",IF(M1571&lt;1,"시작일 이전(확인)",IF(M1571=1,"1일째",IF(M1571=2,"2일째",IF(M1571=3,"3일째",IF(M1571&lt;=7,"일주일 이내",IF(M1571&lt;=14,"이주일 이내","15일 이후"))))))))</f>
        <v/>
      </c>
      <c r="O1571" s="0" t="str">
        <f aca="false">IF(AND(COUNTA($A1571:$J1571)&gt;0,OR(클레임조회!$C$4="",AND(ISNUMBER($B1571),$B1571&gt;=클레임조회!$C$4)),OR(클레임조회!$C$5="",AND(ISNUMBER($B1571),$B1571&lt;=클레임조회!$C$5)),OR(클레임조회!$C$6="",$C1571=클레임조회!$C$6),OR(클레임조회!$C$7="",$D1571=클레임조회!$C$7),OR(클레임조회!$C$8="",$E1571=클레임조회!$C$8),OR(클레임조회!$C$9="",$F1571=클레임조회!$C$9),OR(클레임조회!$C$10="",ISNUMBER(SEARCH(클레임조회!$C$10,$C1571&amp;" "&amp;$F1571&amp;" "&amp;$G1571&amp;" "&amp;$H1571)))),COUNT(O$1:O1570)+1,"")</f>
        <v/>
      </c>
      <c r="P1571" s="0" t="str">
        <f aca="false">IF(AND(TRIM(C1571)&lt;&gt;"",COUNTIF(C$2:C1571,C1571)=1),MAX(P$1:P1570)+1,"")</f>
        <v/>
      </c>
      <c r="Q1571" s="0" t="str">
        <f aca="false">IF(AND(TRIM(F1571)&lt;&gt;"",COUNTIF(F$2:F1571,F1571)=1),MAX(Q$1:Q1570)+1,"")</f>
        <v/>
      </c>
    </row>
    <row r="1572" customFormat="false" ht="15" hidden="false" customHeight="false" outlineLevel="0" collapsed="false">
      <c r="A1572" s="9"/>
      <c r="B1572" s="10"/>
      <c r="C1572" s="11"/>
      <c r="D1572" s="11"/>
      <c r="E1572" s="11"/>
      <c r="F1572" s="11"/>
      <c r="G1572" s="12"/>
      <c r="H1572" s="12"/>
      <c r="I1572" s="10"/>
      <c r="J1572" s="12"/>
      <c r="K1572" s="13" t="str">
        <f aca="false">IF(ISNUMBER(B1572),YEAR(B1572),"")</f>
        <v/>
      </c>
      <c r="L1572" s="13" t="str">
        <f aca="false">IF(ISNUMBER(B1572),MONTH(B1572),"")</f>
        <v/>
      </c>
      <c r="M1572" s="13" t="str">
        <f aca="false">IF(AND(ISNUMBER(B1572),ISNUMBER(I1572)),B1572-I1572+1,"")</f>
        <v/>
      </c>
      <c r="N1572" s="14" t="str">
        <f aca="false">IF(B1572="","",IF(M1572="","시작일 미입력",IF(M1572&lt;1,"시작일 이전(확인)",IF(M1572=1,"1일째",IF(M1572=2,"2일째",IF(M1572=3,"3일째",IF(M1572&lt;=7,"일주일 이내",IF(M1572&lt;=14,"이주일 이내","15일 이후"))))))))</f>
        <v/>
      </c>
      <c r="O1572" s="0" t="str">
        <f aca="false">IF(AND(COUNTA($A1572:$J1572)&gt;0,OR(클레임조회!$C$4="",AND(ISNUMBER($B1572),$B1572&gt;=클레임조회!$C$4)),OR(클레임조회!$C$5="",AND(ISNUMBER($B1572),$B1572&lt;=클레임조회!$C$5)),OR(클레임조회!$C$6="",$C1572=클레임조회!$C$6),OR(클레임조회!$C$7="",$D1572=클레임조회!$C$7),OR(클레임조회!$C$8="",$E1572=클레임조회!$C$8),OR(클레임조회!$C$9="",$F1572=클레임조회!$C$9),OR(클레임조회!$C$10="",ISNUMBER(SEARCH(클레임조회!$C$10,$C1572&amp;" "&amp;$F1572&amp;" "&amp;$G1572&amp;" "&amp;$H1572)))),COUNT(O$1:O1571)+1,"")</f>
        <v/>
      </c>
      <c r="P1572" s="0" t="str">
        <f aca="false">IF(AND(TRIM(C1572)&lt;&gt;"",COUNTIF(C$2:C1572,C1572)=1),MAX(P$1:P1571)+1,"")</f>
        <v/>
      </c>
      <c r="Q1572" s="0" t="str">
        <f aca="false">IF(AND(TRIM(F1572)&lt;&gt;"",COUNTIF(F$2:F1572,F1572)=1),MAX(Q$1:Q1571)+1,"")</f>
        <v/>
      </c>
    </row>
    <row r="1573" customFormat="false" ht="15" hidden="false" customHeight="false" outlineLevel="0" collapsed="false">
      <c r="A1573" s="9"/>
      <c r="B1573" s="10"/>
      <c r="C1573" s="11"/>
      <c r="D1573" s="11"/>
      <c r="E1573" s="11"/>
      <c r="F1573" s="11"/>
      <c r="G1573" s="12"/>
      <c r="H1573" s="12"/>
      <c r="I1573" s="10"/>
      <c r="J1573" s="12"/>
      <c r="K1573" s="13" t="str">
        <f aca="false">IF(ISNUMBER(B1573),YEAR(B1573),"")</f>
        <v/>
      </c>
      <c r="L1573" s="13" t="str">
        <f aca="false">IF(ISNUMBER(B1573),MONTH(B1573),"")</f>
        <v/>
      </c>
      <c r="M1573" s="13" t="str">
        <f aca="false">IF(AND(ISNUMBER(B1573),ISNUMBER(I1573)),B1573-I1573+1,"")</f>
        <v/>
      </c>
      <c r="N1573" s="14" t="str">
        <f aca="false">IF(B1573="","",IF(M1573="","시작일 미입력",IF(M1573&lt;1,"시작일 이전(확인)",IF(M1573=1,"1일째",IF(M1573=2,"2일째",IF(M1573=3,"3일째",IF(M1573&lt;=7,"일주일 이내",IF(M1573&lt;=14,"이주일 이내","15일 이후"))))))))</f>
        <v/>
      </c>
      <c r="O1573" s="0" t="str">
        <f aca="false">IF(AND(COUNTA($A1573:$J1573)&gt;0,OR(클레임조회!$C$4="",AND(ISNUMBER($B1573),$B1573&gt;=클레임조회!$C$4)),OR(클레임조회!$C$5="",AND(ISNUMBER($B1573),$B1573&lt;=클레임조회!$C$5)),OR(클레임조회!$C$6="",$C1573=클레임조회!$C$6),OR(클레임조회!$C$7="",$D1573=클레임조회!$C$7),OR(클레임조회!$C$8="",$E1573=클레임조회!$C$8),OR(클레임조회!$C$9="",$F1573=클레임조회!$C$9),OR(클레임조회!$C$10="",ISNUMBER(SEARCH(클레임조회!$C$10,$C1573&amp;" "&amp;$F1573&amp;" "&amp;$G1573&amp;" "&amp;$H1573)))),COUNT(O$1:O1572)+1,"")</f>
        <v/>
      </c>
      <c r="P1573" s="0" t="str">
        <f aca="false">IF(AND(TRIM(C1573)&lt;&gt;"",COUNTIF(C$2:C1573,C1573)=1),MAX(P$1:P1572)+1,"")</f>
        <v/>
      </c>
      <c r="Q1573" s="0" t="str">
        <f aca="false">IF(AND(TRIM(F1573)&lt;&gt;"",COUNTIF(F$2:F1573,F1573)=1),MAX(Q$1:Q1572)+1,"")</f>
        <v/>
      </c>
    </row>
    <row r="1574" customFormat="false" ht="15" hidden="false" customHeight="false" outlineLevel="0" collapsed="false">
      <c r="A1574" s="9"/>
      <c r="B1574" s="10"/>
      <c r="C1574" s="11"/>
      <c r="D1574" s="11"/>
      <c r="E1574" s="11"/>
      <c r="F1574" s="11"/>
      <c r="G1574" s="12"/>
      <c r="H1574" s="12"/>
      <c r="I1574" s="10"/>
      <c r="J1574" s="12"/>
      <c r="K1574" s="13" t="str">
        <f aca="false">IF(ISNUMBER(B1574),YEAR(B1574),"")</f>
        <v/>
      </c>
      <c r="L1574" s="13" t="str">
        <f aca="false">IF(ISNUMBER(B1574),MONTH(B1574),"")</f>
        <v/>
      </c>
      <c r="M1574" s="13" t="str">
        <f aca="false">IF(AND(ISNUMBER(B1574),ISNUMBER(I1574)),B1574-I1574+1,"")</f>
        <v/>
      </c>
      <c r="N1574" s="14" t="str">
        <f aca="false">IF(B1574="","",IF(M1574="","시작일 미입력",IF(M1574&lt;1,"시작일 이전(확인)",IF(M1574=1,"1일째",IF(M1574=2,"2일째",IF(M1574=3,"3일째",IF(M1574&lt;=7,"일주일 이내",IF(M1574&lt;=14,"이주일 이내","15일 이후"))))))))</f>
        <v/>
      </c>
      <c r="O1574" s="0" t="str">
        <f aca="false">IF(AND(COUNTA($A1574:$J1574)&gt;0,OR(클레임조회!$C$4="",AND(ISNUMBER($B1574),$B1574&gt;=클레임조회!$C$4)),OR(클레임조회!$C$5="",AND(ISNUMBER($B1574),$B1574&lt;=클레임조회!$C$5)),OR(클레임조회!$C$6="",$C1574=클레임조회!$C$6),OR(클레임조회!$C$7="",$D1574=클레임조회!$C$7),OR(클레임조회!$C$8="",$E1574=클레임조회!$C$8),OR(클레임조회!$C$9="",$F1574=클레임조회!$C$9),OR(클레임조회!$C$10="",ISNUMBER(SEARCH(클레임조회!$C$10,$C1574&amp;" "&amp;$F1574&amp;" "&amp;$G1574&amp;" "&amp;$H1574)))),COUNT(O$1:O1573)+1,"")</f>
        <v/>
      </c>
      <c r="P1574" s="0" t="str">
        <f aca="false">IF(AND(TRIM(C1574)&lt;&gt;"",COUNTIF(C$2:C1574,C1574)=1),MAX(P$1:P1573)+1,"")</f>
        <v/>
      </c>
      <c r="Q1574" s="0" t="str">
        <f aca="false">IF(AND(TRIM(F1574)&lt;&gt;"",COUNTIF(F$2:F1574,F1574)=1),MAX(Q$1:Q1573)+1,"")</f>
        <v/>
      </c>
    </row>
    <row r="1575" customFormat="false" ht="15" hidden="false" customHeight="false" outlineLevel="0" collapsed="false">
      <c r="A1575" s="9"/>
      <c r="B1575" s="10"/>
      <c r="C1575" s="11"/>
      <c r="D1575" s="11"/>
      <c r="E1575" s="11"/>
      <c r="F1575" s="11"/>
      <c r="G1575" s="12"/>
      <c r="H1575" s="12"/>
      <c r="I1575" s="10"/>
      <c r="J1575" s="12"/>
      <c r="K1575" s="13" t="str">
        <f aca="false">IF(ISNUMBER(B1575),YEAR(B1575),"")</f>
        <v/>
      </c>
      <c r="L1575" s="13" t="str">
        <f aca="false">IF(ISNUMBER(B1575),MONTH(B1575),"")</f>
        <v/>
      </c>
      <c r="M1575" s="13" t="str">
        <f aca="false">IF(AND(ISNUMBER(B1575),ISNUMBER(I1575)),B1575-I1575+1,"")</f>
        <v/>
      </c>
      <c r="N1575" s="14" t="str">
        <f aca="false">IF(B1575="","",IF(M1575="","시작일 미입력",IF(M1575&lt;1,"시작일 이전(확인)",IF(M1575=1,"1일째",IF(M1575=2,"2일째",IF(M1575=3,"3일째",IF(M1575&lt;=7,"일주일 이내",IF(M1575&lt;=14,"이주일 이내","15일 이후"))))))))</f>
        <v/>
      </c>
      <c r="O1575" s="0" t="str">
        <f aca="false">IF(AND(COUNTA($A1575:$J1575)&gt;0,OR(클레임조회!$C$4="",AND(ISNUMBER($B1575),$B1575&gt;=클레임조회!$C$4)),OR(클레임조회!$C$5="",AND(ISNUMBER($B1575),$B1575&lt;=클레임조회!$C$5)),OR(클레임조회!$C$6="",$C1575=클레임조회!$C$6),OR(클레임조회!$C$7="",$D1575=클레임조회!$C$7),OR(클레임조회!$C$8="",$E1575=클레임조회!$C$8),OR(클레임조회!$C$9="",$F1575=클레임조회!$C$9),OR(클레임조회!$C$10="",ISNUMBER(SEARCH(클레임조회!$C$10,$C1575&amp;" "&amp;$F1575&amp;" "&amp;$G1575&amp;" "&amp;$H1575)))),COUNT(O$1:O1574)+1,"")</f>
        <v/>
      </c>
      <c r="P1575" s="0" t="str">
        <f aca="false">IF(AND(TRIM(C1575)&lt;&gt;"",COUNTIF(C$2:C1575,C1575)=1),MAX(P$1:P1574)+1,"")</f>
        <v/>
      </c>
      <c r="Q1575" s="0" t="str">
        <f aca="false">IF(AND(TRIM(F1575)&lt;&gt;"",COUNTIF(F$2:F1575,F1575)=1),MAX(Q$1:Q1574)+1,"")</f>
        <v/>
      </c>
    </row>
    <row r="1576" customFormat="false" ht="15" hidden="false" customHeight="false" outlineLevel="0" collapsed="false">
      <c r="A1576" s="9"/>
      <c r="B1576" s="10"/>
      <c r="C1576" s="11"/>
      <c r="D1576" s="11"/>
      <c r="E1576" s="11"/>
      <c r="F1576" s="11"/>
      <c r="G1576" s="12"/>
      <c r="H1576" s="12"/>
      <c r="I1576" s="10"/>
      <c r="J1576" s="12"/>
      <c r="K1576" s="13" t="str">
        <f aca="false">IF(ISNUMBER(B1576),YEAR(B1576),"")</f>
        <v/>
      </c>
      <c r="L1576" s="13" t="str">
        <f aca="false">IF(ISNUMBER(B1576),MONTH(B1576),"")</f>
        <v/>
      </c>
      <c r="M1576" s="13" t="str">
        <f aca="false">IF(AND(ISNUMBER(B1576),ISNUMBER(I1576)),B1576-I1576+1,"")</f>
        <v/>
      </c>
      <c r="N1576" s="14" t="str">
        <f aca="false">IF(B1576="","",IF(M1576="","시작일 미입력",IF(M1576&lt;1,"시작일 이전(확인)",IF(M1576=1,"1일째",IF(M1576=2,"2일째",IF(M1576=3,"3일째",IF(M1576&lt;=7,"일주일 이내",IF(M1576&lt;=14,"이주일 이내","15일 이후"))))))))</f>
        <v/>
      </c>
      <c r="O1576" s="0" t="str">
        <f aca="false">IF(AND(COUNTA($A1576:$J1576)&gt;0,OR(클레임조회!$C$4="",AND(ISNUMBER($B1576),$B1576&gt;=클레임조회!$C$4)),OR(클레임조회!$C$5="",AND(ISNUMBER($B1576),$B1576&lt;=클레임조회!$C$5)),OR(클레임조회!$C$6="",$C1576=클레임조회!$C$6),OR(클레임조회!$C$7="",$D1576=클레임조회!$C$7),OR(클레임조회!$C$8="",$E1576=클레임조회!$C$8),OR(클레임조회!$C$9="",$F1576=클레임조회!$C$9),OR(클레임조회!$C$10="",ISNUMBER(SEARCH(클레임조회!$C$10,$C1576&amp;" "&amp;$F1576&amp;" "&amp;$G1576&amp;" "&amp;$H1576)))),COUNT(O$1:O1575)+1,"")</f>
        <v/>
      </c>
      <c r="P1576" s="0" t="str">
        <f aca="false">IF(AND(TRIM(C1576)&lt;&gt;"",COUNTIF(C$2:C1576,C1576)=1),MAX(P$1:P1575)+1,"")</f>
        <v/>
      </c>
      <c r="Q1576" s="0" t="str">
        <f aca="false">IF(AND(TRIM(F1576)&lt;&gt;"",COUNTIF(F$2:F1576,F1576)=1),MAX(Q$1:Q1575)+1,"")</f>
        <v/>
      </c>
    </row>
    <row r="1577" customFormat="false" ht="15" hidden="false" customHeight="false" outlineLevel="0" collapsed="false">
      <c r="A1577" s="9"/>
      <c r="B1577" s="10"/>
      <c r="C1577" s="11"/>
      <c r="D1577" s="11"/>
      <c r="E1577" s="11"/>
      <c r="F1577" s="11"/>
      <c r="G1577" s="12"/>
      <c r="H1577" s="12"/>
      <c r="I1577" s="10"/>
      <c r="J1577" s="12"/>
      <c r="K1577" s="13" t="str">
        <f aca="false">IF(ISNUMBER(B1577),YEAR(B1577),"")</f>
        <v/>
      </c>
      <c r="L1577" s="13" t="str">
        <f aca="false">IF(ISNUMBER(B1577),MONTH(B1577),"")</f>
        <v/>
      </c>
      <c r="M1577" s="13" t="str">
        <f aca="false">IF(AND(ISNUMBER(B1577),ISNUMBER(I1577)),B1577-I1577+1,"")</f>
        <v/>
      </c>
      <c r="N1577" s="14" t="str">
        <f aca="false">IF(B1577="","",IF(M1577="","시작일 미입력",IF(M1577&lt;1,"시작일 이전(확인)",IF(M1577=1,"1일째",IF(M1577=2,"2일째",IF(M1577=3,"3일째",IF(M1577&lt;=7,"일주일 이내",IF(M1577&lt;=14,"이주일 이내","15일 이후"))))))))</f>
        <v/>
      </c>
      <c r="O1577" s="0" t="str">
        <f aca="false">IF(AND(COUNTA($A1577:$J1577)&gt;0,OR(클레임조회!$C$4="",AND(ISNUMBER($B1577),$B1577&gt;=클레임조회!$C$4)),OR(클레임조회!$C$5="",AND(ISNUMBER($B1577),$B1577&lt;=클레임조회!$C$5)),OR(클레임조회!$C$6="",$C1577=클레임조회!$C$6),OR(클레임조회!$C$7="",$D1577=클레임조회!$C$7),OR(클레임조회!$C$8="",$E1577=클레임조회!$C$8),OR(클레임조회!$C$9="",$F1577=클레임조회!$C$9),OR(클레임조회!$C$10="",ISNUMBER(SEARCH(클레임조회!$C$10,$C1577&amp;" "&amp;$F1577&amp;" "&amp;$G1577&amp;" "&amp;$H1577)))),COUNT(O$1:O1576)+1,"")</f>
        <v/>
      </c>
      <c r="P1577" s="0" t="str">
        <f aca="false">IF(AND(TRIM(C1577)&lt;&gt;"",COUNTIF(C$2:C1577,C1577)=1),MAX(P$1:P1576)+1,"")</f>
        <v/>
      </c>
      <c r="Q1577" s="0" t="str">
        <f aca="false">IF(AND(TRIM(F1577)&lt;&gt;"",COUNTIF(F$2:F1577,F1577)=1),MAX(Q$1:Q1576)+1,"")</f>
        <v/>
      </c>
    </row>
    <row r="1578" customFormat="false" ht="15" hidden="false" customHeight="false" outlineLevel="0" collapsed="false">
      <c r="A1578" s="9"/>
      <c r="B1578" s="10"/>
      <c r="C1578" s="11"/>
      <c r="D1578" s="11"/>
      <c r="E1578" s="11"/>
      <c r="F1578" s="11"/>
      <c r="G1578" s="12"/>
      <c r="H1578" s="12"/>
      <c r="I1578" s="10"/>
      <c r="J1578" s="12"/>
      <c r="K1578" s="13" t="str">
        <f aca="false">IF(ISNUMBER(B1578),YEAR(B1578),"")</f>
        <v/>
      </c>
      <c r="L1578" s="13" t="str">
        <f aca="false">IF(ISNUMBER(B1578),MONTH(B1578),"")</f>
        <v/>
      </c>
      <c r="M1578" s="13" t="str">
        <f aca="false">IF(AND(ISNUMBER(B1578),ISNUMBER(I1578)),B1578-I1578+1,"")</f>
        <v/>
      </c>
      <c r="N1578" s="14" t="str">
        <f aca="false">IF(B1578="","",IF(M1578="","시작일 미입력",IF(M1578&lt;1,"시작일 이전(확인)",IF(M1578=1,"1일째",IF(M1578=2,"2일째",IF(M1578=3,"3일째",IF(M1578&lt;=7,"일주일 이내",IF(M1578&lt;=14,"이주일 이내","15일 이후"))))))))</f>
        <v/>
      </c>
      <c r="O1578" s="0" t="str">
        <f aca="false">IF(AND(COUNTA($A1578:$J1578)&gt;0,OR(클레임조회!$C$4="",AND(ISNUMBER($B1578),$B1578&gt;=클레임조회!$C$4)),OR(클레임조회!$C$5="",AND(ISNUMBER($B1578),$B1578&lt;=클레임조회!$C$5)),OR(클레임조회!$C$6="",$C1578=클레임조회!$C$6),OR(클레임조회!$C$7="",$D1578=클레임조회!$C$7),OR(클레임조회!$C$8="",$E1578=클레임조회!$C$8),OR(클레임조회!$C$9="",$F1578=클레임조회!$C$9),OR(클레임조회!$C$10="",ISNUMBER(SEARCH(클레임조회!$C$10,$C1578&amp;" "&amp;$F1578&amp;" "&amp;$G1578&amp;" "&amp;$H1578)))),COUNT(O$1:O1577)+1,"")</f>
        <v/>
      </c>
      <c r="P1578" s="0" t="str">
        <f aca="false">IF(AND(TRIM(C1578)&lt;&gt;"",COUNTIF(C$2:C1578,C1578)=1),MAX(P$1:P1577)+1,"")</f>
        <v/>
      </c>
      <c r="Q1578" s="0" t="str">
        <f aca="false">IF(AND(TRIM(F1578)&lt;&gt;"",COUNTIF(F$2:F1578,F1578)=1),MAX(Q$1:Q1577)+1,"")</f>
        <v/>
      </c>
    </row>
    <row r="1579" customFormat="false" ht="15" hidden="false" customHeight="false" outlineLevel="0" collapsed="false">
      <c r="A1579" s="9"/>
      <c r="B1579" s="10"/>
      <c r="C1579" s="11"/>
      <c r="D1579" s="11"/>
      <c r="E1579" s="11"/>
      <c r="F1579" s="11"/>
      <c r="G1579" s="12"/>
      <c r="H1579" s="12"/>
      <c r="I1579" s="10"/>
      <c r="J1579" s="12"/>
      <c r="K1579" s="13" t="str">
        <f aca="false">IF(ISNUMBER(B1579),YEAR(B1579),"")</f>
        <v/>
      </c>
      <c r="L1579" s="13" t="str">
        <f aca="false">IF(ISNUMBER(B1579),MONTH(B1579),"")</f>
        <v/>
      </c>
      <c r="M1579" s="13" t="str">
        <f aca="false">IF(AND(ISNUMBER(B1579),ISNUMBER(I1579)),B1579-I1579+1,"")</f>
        <v/>
      </c>
      <c r="N1579" s="14" t="str">
        <f aca="false">IF(B1579="","",IF(M1579="","시작일 미입력",IF(M1579&lt;1,"시작일 이전(확인)",IF(M1579=1,"1일째",IF(M1579=2,"2일째",IF(M1579=3,"3일째",IF(M1579&lt;=7,"일주일 이내",IF(M1579&lt;=14,"이주일 이내","15일 이후"))))))))</f>
        <v/>
      </c>
      <c r="O1579" s="0" t="str">
        <f aca="false">IF(AND(COUNTA($A1579:$J1579)&gt;0,OR(클레임조회!$C$4="",AND(ISNUMBER($B1579),$B1579&gt;=클레임조회!$C$4)),OR(클레임조회!$C$5="",AND(ISNUMBER($B1579),$B1579&lt;=클레임조회!$C$5)),OR(클레임조회!$C$6="",$C1579=클레임조회!$C$6),OR(클레임조회!$C$7="",$D1579=클레임조회!$C$7),OR(클레임조회!$C$8="",$E1579=클레임조회!$C$8),OR(클레임조회!$C$9="",$F1579=클레임조회!$C$9),OR(클레임조회!$C$10="",ISNUMBER(SEARCH(클레임조회!$C$10,$C1579&amp;" "&amp;$F1579&amp;" "&amp;$G1579&amp;" "&amp;$H1579)))),COUNT(O$1:O1578)+1,"")</f>
        <v/>
      </c>
      <c r="P1579" s="0" t="str">
        <f aca="false">IF(AND(TRIM(C1579)&lt;&gt;"",COUNTIF(C$2:C1579,C1579)=1),MAX(P$1:P1578)+1,"")</f>
        <v/>
      </c>
      <c r="Q1579" s="0" t="str">
        <f aca="false">IF(AND(TRIM(F1579)&lt;&gt;"",COUNTIF(F$2:F1579,F1579)=1),MAX(Q$1:Q1578)+1,"")</f>
        <v/>
      </c>
    </row>
    <row r="1580" customFormat="false" ht="15" hidden="false" customHeight="false" outlineLevel="0" collapsed="false">
      <c r="A1580" s="9"/>
      <c r="B1580" s="10"/>
      <c r="C1580" s="11"/>
      <c r="D1580" s="11"/>
      <c r="E1580" s="11"/>
      <c r="F1580" s="11"/>
      <c r="G1580" s="12"/>
      <c r="H1580" s="12"/>
      <c r="I1580" s="10"/>
      <c r="J1580" s="12"/>
      <c r="K1580" s="13" t="str">
        <f aca="false">IF(ISNUMBER(B1580),YEAR(B1580),"")</f>
        <v/>
      </c>
      <c r="L1580" s="13" t="str">
        <f aca="false">IF(ISNUMBER(B1580),MONTH(B1580),"")</f>
        <v/>
      </c>
      <c r="M1580" s="13" t="str">
        <f aca="false">IF(AND(ISNUMBER(B1580),ISNUMBER(I1580)),B1580-I1580+1,"")</f>
        <v/>
      </c>
      <c r="N1580" s="14" t="str">
        <f aca="false">IF(B1580="","",IF(M1580="","시작일 미입력",IF(M1580&lt;1,"시작일 이전(확인)",IF(M1580=1,"1일째",IF(M1580=2,"2일째",IF(M1580=3,"3일째",IF(M1580&lt;=7,"일주일 이내",IF(M1580&lt;=14,"이주일 이내","15일 이후"))))))))</f>
        <v/>
      </c>
      <c r="O1580" s="0" t="str">
        <f aca="false">IF(AND(COUNTA($A1580:$J1580)&gt;0,OR(클레임조회!$C$4="",AND(ISNUMBER($B1580),$B1580&gt;=클레임조회!$C$4)),OR(클레임조회!$C$5="",AND(ISNUMBER($B1580),$B1580&lt;=클레임조회!$C$5)),OR(클레임조회!$C$6="",$C1580=클레임조회!$C$6),OR(클레임조회!$C$7="",$D1580=클레임조회!$C$7),OR(클레임조회!$C$8="",$E1580=클레임조회!$C$8),OR(클레임조회!$C$9="",$F1580=클레임조회!$C$9),OR(클레임조회!$C$10="",ISNUMBER(SEARCH(클레임조회!$C$10,$C1580&amp;" "&amp;$F1580&amp;" "&amp;$G1580&amp;" "&amp;$H1580)))),COUNT(O$1:O1579)+1,"")</f>
        <v/>
      </c>
      <c r="P1580" s="0" t="str">
        <f aca="false">IF(AND(TRIM(C1580)&lt;&gt;"",COUNTIF(C$2:C1580,C1580)=1),MAX(P$1:P1579)+1,"")</f>
        <v/>
      </c>
      <c r="Q1580" s="0" t="str">
        <f aca="false">IF(AND(TRIM(F1580)&lt;&gt;"",COUNTIF(F$2:F1580,F1580)=1),MAX(Q$1:Q1579)+1,"")</f>
        <v/>
      </c>
    </row>
    <row r="1581" customFormat="false" ht="15" hidden="false" customHeight="false" outlineLevel="0" collapsed="false">
      <c r="A1581" s="9"/>
      <c r="B1581" s="10"/>
      <c r="C1581" s="11"/>
      <c r="D1581" s="11"/>
      <c r="E1581" s="11"/>
      <c r="F1581" s="11"/>
      <c r="G1581" s="12"/>
      <c r="H1581" s="12"/>
      <c r="I1581" s="10"/>
      <c r="J1581" s="12"/>
      <c r="K1581" s="13" t="str">
        <f aca="false">IF(ISNUMBER(B1581),YEAR(B1581),"")</f>
        <v/>
      </c>
      <c r="L1581" s="13" t="str">
        <f aca="false">IF(ISNUMBER(B1581),MONTH(B1581),"")</f>
        <v/>
      </c>
      <c r="M1581" s="13" t="str">
        <f aca="false">IF(AND(ISNUMBER(B1581),ISNUMBER(I1581)),B1581-I1581+1,"")</f>
        <v/>
      </c>
      <c r="N1581" s="14" t="str">
        <f aca="false">IF(B1581="","",IF(M1581="","시작일 미입력",IF(M1581&lt;1,"시작일 이전(확인)",IF(M1581=1,"1일째",IF(M1581=2,"2일째",IF(M1581=3,"3일째",IF(M1581&lt;=7,"일주일 이내",IF(M1581&lt;=14,"이주일 이내","15일 이후"))))))))</f>
        <v/>
      </c>
      <c r="O1581" s="0" t="str">
        <f aca="false">IF(AND(COUNTA($A1581:$J1581)&gt;0,OR(클레임조회!$C$4="",AND(ISNUMBER($B1581),$B1581&gt;=클레임조회!$C$4)),OR(클레임조회!$C$5="",AND(ISNUMBER($B1581),$B1581&lt;=클레임조회!$C$5)),OR(클레임조회!$C$6="",$C1581=클레임조회!$C$6),OR(클레임조회!$C$7="",$D1581=클레임조회!$C$7),OR(클레임조회!$C$8="",$E1581=클레임조회!$C$8),OR(클레임조회!$C$9="",$F1581=클레임조회!$C$9),OR(클레임조회!$C$10="",ISNUMBER(SEARCH(클레임조회!$C$10,$C1581&amp;" "&amp;$F1581&amp;" "&amp;$G1581&amp;" "&amp;$H1581)))),COUNT(O$1:O1580)+1,"")</f>
        <v/>
      </c>
      <c r="P1581" s="0" t="str">
        <f aca="false">IF(AND(TRIM(C1581)&lt;&gt;"",COUNTIF(C$2:C1581,C1581)=1),MAX(P$1:P1580)+1,"")</f>
        <v/>
      </c>
      <c r="Q1581" s="0" t="str">
        <f aca="false">IF(AND(TRIM(F1581)&lt;&gt;"",COUNTIF(F$2:F1581,F1581)=1),MAX(Q$1:Q1580)+1,"")</f>
        <v/>
      </c>
    </row>
    <row r="1582" customFormat="false" ht="15" hidden="false" customHeight="false" outlineLevel="0" collapsed="false">
      <c r="A1582" s="9"/>
      <c r="B1582" s="10"/>
      <c r="C1582" s="11"/>
      <c r="D1582" s="11"/>
      <c r="E1582" s="11"/>
      <c r="F1582" s="11"/>
      <c r="G1582" s="12"/>
      <c r="H1582" s="12"/>
      <c r="I1582" s="10"/>
      <c r="J1582" s="12"/>
      <c r="K1582" s="13" t="str">
        <f aca="false">IF(ISNUMBER(B1582),YEAR(B1582),"")</f>
        <v/>
      </c>
      <c r="L1582" s="13" t="str">
        <f aca="false">IF(ISNUMBER(B1582),MONTH(B1582),"")</f>
        <v/>
      </c>
      <c r="M1582" s="13" t="str">
        <f aca="false">IF(AND(ISNUMBER(B1582),ISNUMBER(I1582)),B1582-I1582+1,"")</f>
        <v/>
      </c>
      <c r="N1582" s="14" t="str">
        <f aca="false">IF(B1582="","",IF(M1582="","시작일 미입력",IF(M1582&lt;1,"시작일 이전(확인)",IF(M1582=1,"1일째",IF(M1582=2,"2일째",IF(M1582=3,"3일째",IF(M1582&lt;=7,"일주일 이내",IF(M1582&lt;=14,"이주일 이내","15일 이후"))))))))</f>
        <v/>
      </c>
      <c r="O1582" s="0" t="str">
        <f aca="false">IF(AND(COUNTA($A1582:$J1582)&gt;0,OR(클레임조회!$C$4="",AND(ISNUMBER($B1582),$B1582&gt;=클레임조회!$C$4)),OR(클레임조회!$C$5="",AND(ISNUMBER($B1582),$B1582&lt;=클레임조회!$C$5)),OR(클레임조회!$C$6="",$C1582=클레임조회!$C$6),OR(클레임조회!$C$7="",$D1582=클레임조회!$C$7),OR(클레임조회!$C$8="",$E1582=클레임조회!$C$8),OR(클레임조회!$C$9="",$F1582=클레임조회!$C$9),OR(클레임조회!$C$10="",ISNUMBER(SEARCH(클레임조회!$C$10,$C1582&amp;" "&amp;$F1582&amp;" "&amp;$G1582&amp;" "&amp;$H1582)))),COUNT(O$1:O1581)+1,"")</f>
        <v/>
      </c>
      <c r="P1582" s="0" t="str">
        <f aca="false">IF(AND(TRIM(C1582)&lt;&gt;"",COUNTIF(C$2:C1582,C1582)=1),MAX(P$1:P1581)+1,"")</f>
        <v/>
      </c>
      <c r="Q1582" s="0" t="str">
        <f aca="false">IF(AND(TRIM(F1582)&lt;&gt;"",COUNTIF(F$2:F1582,F1582)=1),MAX(Q$1:Q1581)+1,"")</f>
        <v/>
      </c>
    </row>
    <row r="1583" customFormat="false" ht="15" hidden="false" customHeight="false" outlineLevel="0" collapsed="false">
      <c r="A1583" s="9"/>
      <c r="B1583" s="10"/>
      <c r="C1583" s="11"/>
      <c r="D1583" s="11"/>
      <c r="E1583" s="11"/>
      <c r="F1583" s="11"/>
      <c r="G1583" s="12"/>
      <c r="H1583" s="12"/>
      <c r="I1583" s="10"/>
      <c r="J1583" s="12"/>
      <c r="K1583" s="13" t="str">
        <f aca="false">IF(ISNUMBER(B1583),YEAR(B1583),"")</f>
        <v/>
      </c>
      <c r="L1583" s="13" t="str">
        <f aca="false">IF(ISNUMBER(B1583),MONTH(B1583),"")</f>
        <v/>
      </c>
      <c r="M1583" s="13" t="str">
        <f aca="false">IF(AND(ISNUMBER(B1583),ISNUMBER(I1583)),B1583-I1583+1,"")</f>
        <v/>
      </c>
      <c r="N1583" s="14" t="str">
        <f aca="false">IF(B1583="","",IF(M1583="","시작일 미입력",IF(M1583&lt;1,"시작일 이전(확인)",IF(M1583=1,"1일째",IF(M1583=2,"2일째",IF(M1583=3,"3일째",IF(M1583&lt;=7,"일주일 이내",IF(M1583&lt;=14,"이주일 이내","15일 이후"))))))))</f>
        <v/>
      </c>
      <c r="O1583" s="0" t="str">
        <f aca="false">IF(AND(COUNTA($A1583:$J1583)&gt;0,OR(클레임조회!$C$4="",AND(ISNUMBER($B1583),$B1583&gt;=클레임조회!$C$4)),OR(클레임조회!$C$5="",AND(ISNUMBER($B1583),$B1583&lt;=클레임조회!$C$5)),OR(클레임조회!$C$6="",$C1583=클레임조회!$C$6),OR(클레임조회!$C$7="",$D1583=클레임조회!$C$7),OR(클레임조회!$C$8="",$E1583=클레임조회!$C$8),OR(클레임조회!$C$9="",$F1583=클레임조회!$C$9),OR(클레임조회!$C$10="",ISNUMBER(SEARCH(클레임조회!$C$10,$C1583&amp;" "&amp;$F1583&amp;" "&amp;$G1583&amp;" "&amp;$H1583)))),COUNT(O$1:O1582)+1,"")</f>
        <v/>
      </c>
      <c r="P1583" s="0" t="str">
        <f aca="false">IF(AND(TRIM(C1583)&lt;&gt;"",COUNTIF(C$2:C1583,C1583)=1),MAX(P$1:P1582)+1,"")</f>
        <v/>
      </c>
      <c r="Q1583" s="0" t="str">
        <f aca="false">IF(AND(TRIM(F1583)&lt;&gt;"",COUNTIF(F$2:F1583,F1583)=1),MAX(Q$1:Q1582)+1,"")</f>
        <v/>
      </c>
    </row>
    <row r="1584" customFormat="false" ht="15" hidden="false" customHeight="false" outlineLevel="0" collapsed="false">
      <c r="A1584" s="9"/>
      <c r="B1584" s="10"/>
      <c r="C1584" s="11"/>
      <c r="D1584" s="11"/>
      <c r="E1584" s="11"/>
      <c r="F1584" s="11"/>
      <c r="G1584" s="12"/>
      <c r="H1584" s="12"/>
      <c r="I1584" s="10"/>
      <c r="J1584" s="12"/>
      <c r="K1584" s="13" t="str">
        <f aca="false">IF(ISNUMBER(B1584),YEAR(B1584),"")</f>
        <v/>
      </c>
      <c r="L1584" s="13" t="str">
        <f aca="false">IF(ISNUMBER(B1584),MONTH(B1584),"")</f>
        <v/>
      </c>
      <c r="M1584" s="13" t="str">
        <f aca="false">IF(AND(ISNUMBER(B1584),ISNUMBER(I1584)),B1584-I1584+1,"")</f>
        <v/>
      </c>
      <c r="N1584" s="14" t="str">
        <f aca="false">IF(B1584="","",IF(M1584="","시작일 미입력",IF(M1584&lt;1,"시작일 이전(확인)",IF(M1584=1,"1일째",IF(M1584=2,"2일째",IF(M1584=3,"3일째",IF(M1584&lt;=7,"일주일 이내",IF(M1584&lt;=14,"이주일 이내","15일 이후"))))))))</f>
        <v/>
      </c>
      <c r="O1584" s="0" t="str">
        <f aca="false">IF(AND(COUNTA($A1584:$J1584)&gt;0,OR(클레임조회!$C$4="",AND(ISNUMBER($B1584),$B1584&gt;=클레임조회!$C$4)),OR(클레임조회!$C$5="",AND(ISNUMBER($B1584),$B1584&lt;=클레임조회!$C$5)),OR(클레임조회!$C$6="",$C1584=클레임조회!$C$6),OR(클레임조회!$C$7="",$D1584=클레임조회!$C$7),OR(클레임조회!$C$8="",$E1584=클레임조회!$C$8),OR(클레임조회!$C$9="",$F1584=클레임조회!$C$9),OR(클레임조회!$C$10="",ISNUMBER(SEARCH(클레임조회!$C$10,$C1584&amp;" "&amp;$F1584&amp;" "&amp;$G1584&amp;" "&amp;$H1584)))),COUNT(O$1:O1583)+1,"")</f>
        <v/>
      </c>
      <c r="P1584" s="0" t="str">
        <f aca="false">IF(AND(TRIM(C1584)&lt;&gt;"",COUNTIF(C$2:C1584,C1584)=1),MAX(P$1:P1583)+1,"")</f>
        <v/>
      </c>
      <c r="Q1584" s="0" t="str">
        <f aca="false">IF(AND(TRIM(F1584)&lt;&gt;"",COUNTIF(F$2:F1584,F1584)=1),MAX(Q$1:Q1583)+1,"")</f>
        <v/>
      </c>
    </row>
    <row r="1585" customFormat="false" ht="15" hidden="false" customHeight="false" outlineLevel="0" collapsed="false">
      <c r="A1585" s="9"/>
      <c r="B1585" s="10"/>
      <c r="C1585" s="11"/>
      <c r="D1585" s="11"/>
      <c r="E1585" s="11"/>
      <c r="F1585" s="11"/>
      <c r="G1585" s="12"/>
      <c r="H1585" s="12"/>
      <c r="I1585" s="10"/>
      <c r="J1585" s="12"/>
      <c r="K1585" s="13" t="str">
        <f aca="false">IF(ISNUMBER(B1585),YEAR(B1585),"")</f>
        <v/>
      </c>
      <c r="L1585" s="13" t="str">
        <f aca="false">IF(ISNUMBER(B1585),MONTH(B1585),"")</f>
        <v/>
      </c>
      <c r="M1585" s="13" t="str">
        <f aca="false">IF(AND(ISNUMBER(B1585),ISNUMBER(I1585)),B1585-I1585+1,"")</f>
        <v/>
      </c>
      <c r="N1585" s="14" t="str">
        <f aca="false">IF(B1585="","",IF(M1585="","시작일 미입력",IF(M1585&lt;1,"시작일 이전(확인)",IF(M1585=1,"1일째",IF(M1585=2,"2일째",IF(M1585=3,"3일째",IF(M1585&lt;=7,"일주일 이내",IF(M1585&lt;=14,"이주일 이내","15일 이후"))))))))</f>
        <v/>
      </c>
      <c r="O1585" s="0" t="str">
        <f aca="false">IF(AND(COUNTA($A1585:$J1585)&gt;0,OR(클레임조회!$C$4="",AND(ISNUMBER($B1585),$B1585&gt;=클레임조회!$C$4)),OR(클레임조회!$C$5="",AND(ISNUMBER($B1585),$B1585&lt;=클레임조회!$C$5)),OR(클레임조회!$C$6="",$C1585=클레임조회!$C$6),OR(클레임조회!$C$7="",$D1585=클레임조회!$C$7),OR(클레임조회!$C$8="",$E1585=클레임조회!$C$8),OR(클레임조회!$C$9="",$F1585=클레임조회!$C$9),OR(클레임조회!$C$10="",ISNUMBER(SEARCH(클레임조회!$C$10,$C1585&amp;" "&amp;$F1585&amp;" "&amp;$G1585&amp;" "&amp;$H1585)))),COUNT(O$1:O1584)+1,"")</f>
        <v/>
      </c>
      <c r="P1585" s="0" t="str">
        <f aca="false">IF(AND(TRIM(C1585)&lt;&gt;"",COUNTIF(C$2:C1585,C1585)=1),MAX(P$1:P1584)+1,"")</f>
        <v/>
      </c>
      <c r="Q1585" s="0" t="str">
        <f aca="false">IF(AND(TRIM(F1585)&lt;&gt;"",COUNTIF(F$2:F1585,F1585)=1),MAX(Q$1:Q1584)+1,"")</f>
        <v/>
      </c>
    </row>
    <row r="1586" customFormat="false" ht="15" hidden="false" customHeight="false" outlineLevel="0" collapsed="false">
      <c r="A1586" s="9"/>
      <c r="B1586" s="10"/>
      <c r="C1586" s="11"/>
      <c r="D1586" s="11"/>
      <c r="E1586" s="11"/>
      <c r="F1586" s="11"/>
      <c r="G1586" s="12"/>
      <c r="H1586" s="12"/>
      <c r="I1586" s="10"/>
      <c r="J1586" s="12"/>
      <c r="K1586" s="13" t="str">
        <f aca="false">IF(ISNUMBER(B1586),YEAR(B1586),"")</f>
        <v/>
      </c>
      <c r="L1586" s="13" t="str">
        <f aca="false">IF(ISNUMBER(B1586),MONTH(B1586),"")</f>
        <v/>
      </c>
      <c r="M1586" s="13" t="str">
        <f aca="false">IF(AND(ISNUMBER(B1586),ISNUMBER(I1586)),B1586-I1586+1,"")</f>
        <v/>
      </c>
      <c r="N1586" s="14" t="str">
        <f aca="false">IF(B1586="","",IF(M1586="","시작일 미입력",IF(M1586&lt;1,"시작일 이전(확인)",IF(M1586=1,"1일째",IF(M1586=2,"2일째",IF(M1586=3,"3일째",IF(M1586&lt;=7,"일주일 이내",IF(M1586&lt;=14,"이주일 이내","15일 이후"))))))))</f>
        <v/>
      </c>
      <c r="O1586" s="0" t="str">
        <f aca="false">IF(AND(COUNTA($A1586:$J1586)&gt;0,OR(클레임조회!$C$4="",AND(ISNUMBER($B1586),$B1586&gt;=클레임조회!$C$4)),OR(클레임조회!$C$5="",AND(ISNUMBER($B1586),$B1586&lt;=클레임조회!$C$5)),OR(클레임조회!$C$6="",$C1586=클레임조회!$C$6),OR(클레임조회!$C$7="",$D1586=클레임조회!$C$7),OR(클레임조회!$C$8="",$E1586=클레임조회!$C$8),OR(클레임조회!$C$9="",$F1586=클레임조회!$C$9),OR(클레임조회!$C$10="",ISNUMBER(SEARCH(클레임조회!$C$10,$C1586&amp;" "&amp;$F1586&amp;" "&amp;$G1586&amp;" "&amp;$H1586)))),COUNT(O$1:O1585)+1,"")</f>
        <v/>
      </c>
      <c r="P1586" s="0" t="str">
        <f aca="false">IF(AND(TRIM(C1586)&lt;&gt;"",COUNTIF(C$2:C1586,C1586)=1),MAX(P$1:P1585)+1,"")</f>
        <v/>
      </c>
      <c r="Q1586" s="0" t="str">
        <f aca="false">IF(AND(TRIM(F1586)&lt;&gt;"",COUNTIF(F$2:F1586,F1586)=1),MAX(Q$1:Q1585)+1,"")</f>
        <v/>
      </c>
    </row>
    <row r="1587" customFormat="false" ht="15" hidden="false" customHeight="false" outlineLevel="0" collapsed="false">
      <c r="A1587" s="9"/>
      <c r="B1587" s="10"/>
      <c r="C1587" s="11"/>
      <c r="D1587" s="11"/>
      <c r="E1587" s="11"/>
      <c r="F1587" s="11"/>
      <c r="G1587" s="12"/>
      <c r="H1587" s="12"/>
      <c r="I1587" s="10"/>
      <c r="J1587" s="12"/>
      <c r="K1587" s="13" t="str">
        <f aca="false">IF(ISNUMBER(B1587),YEAR(B1587),"")</f>
        <v/>
      </c>
      <c r="L1587" s="13" t="str">
        <f aca="false">IF(ISNUMBER(B1587),MONTH(B1587),"")</f>
        <v/>
      </c>
      <c r="M1587" s="13" t="str">
        <f aca="false">IF(AND(ISNUMBER(B1587),ISNUMBER(I1587)),B1587-I1587+1,"")</f>
        <v/>
      </c>
      <c r="N1587" s="14" t="str">
        <f aca="false">IF(B1587="","",IF(M1587="","시작일 미입력",IF(M1587&lt;1,"시작일 이전(확인)",IF(M1587=1,"1일째",IF(M1587=2,"2일째",IF(M1587=3,"3일째",IF(M1587&lt;=7,"일주일 이내",IF(M1587&lt;=14,"이주일 이내","15일 이후"))))))))</f>
        <v/>
      </c>
      <c r="O1587" s="0" t="str">
        <f aca="false">IF(AND(COUNTA($A1587:$J1587)&gt;0,OR(클레임조회!$C$4="",AND(ISNUMBER($B1587),$B1587&gt;=클레임조회!$C$4)),OR(클레임조회!$C$5="",AND(ISNUMBER($B1587),$B1587&lt;=클레임조회!$C$5)),OR(클레임조회!$C$6="",$C1587=클레임조회!$C$6),OR(클레임조회!$C$7="",$D1587=클레임조회!$C$7),OR(클레임조회!$C$8="",$E1587=클레임조회!$C$8),OR(클레임조회!$C$9="",$F1587=클레임조회!$C$9),OR(클레임조회!$C$10="",ISNUMBER(SEARCH(클레임조회!$C$10,$C1587&amp;" "&amp;$F1587&amp;" "&amp;$G1587&amp;" "&amp;$H1587)))),COUNT(O$1:O1586)+1,"")</f>
        <v/>
      </c>
      <c r="P1587" s="0" t="str">
        <f aca="false">IF(AND(TRIM(C1587)&lt;&gt;"",COUNTIF(C$2:C1587,C1587)=1),MAX(P$1:P1586)+1,"")</f>
        <v/>
      </c>
      <c r="Q1587" s="0" t="str">
        <f aca="false">IF(AND(TRIM(F1587)&lt;&gt;"",COUNTIF(F$2:F1587,F1587)=1),MAX(Q$1:Q1586)+1,"")</f>
        <v/>
      </c>
    </row>
    <row r="1588" customFormat="false" ht="15" hidden="false" customHeight="false" outlineLevel="0" collapsed="false">
      <c r="A1588" s="9"/>
      <c r="B1588" s="10"/>
      <c r="C1588" s="11"/>
      <c r="D1588" s="11"/>
      <c r="E1588" s="11"/>
      <c r="F1588" s="11"/>
      <c r="G1588" s="12"/>
      <c r="H1588" s="12"/>
      <c r="I1588" s="10"/>
      <c r="J1588" s="12"/>
      <c r="K1588" s="13" t="str">
        <f aca="false">IF(ISNUMBER(B1588),YEAR(B1588),"")</f>
        <v/>
      </c>
      <c r="L1588" s="13" t="str">
        <f aca="false">IF(ISNUMBER(B1588),MONTH(B1588),"")</f>
        <v/>
      </c>
      <c r="M1588" s="13" t="str">
        <f aca="false">IF(AND(ISNUMBER(B1588),ISNUMBER(I1588)),B1588-I1588+1,"")</f>
        <v/>
      </c>
      <c r="N1588" s="14" t="str">
        <f aca="false">IF(B1588="","",IF(M1588="","시작일 미입력",IF(M1588&lt;1,"시작일 이전(확인)",IF(M1588=1,"1일째",IF(M1588=2,"2일째",IF(M1588=3,"3일째",IF(M1588&lt;=7,"일주일 이내",IF(M1588&lt;=14,"이주일 이내","15일 이후"))))))))</f>
        <v/>
      </c>
      <c r="O1588" s="0" t="str">
        <f aca="false">IF(AND(COUNTA($A1588:$J1588)&gt;0,OR(클레임조회!$C$4="",AND(ISNUMBER($B1588),$B1588&gt;=클레임조회!$C$4)),OR(클레임조회!$C$5="",AND(ISNUMBER($B1588),$B1588&lt;=클레임조회!$C$5)),OR(클레임조회!$C$6="",$C1588=클레임조회!$C$6),OR(클레임조회!$C$7="",$D1588=클레임조회!$C$7),OR(클레임조회!$C$8="",$E1588=클레임조회!$C$8),OR(클레임조회!$C$9="",$F1588=클레임조회!$C$9),OR(클레임조회!$C$10="",ISNUMBER(SEARCH(클레임조회!$C$10,$C1588&amp;" "&amp;$F1588&amp;" "&amp;$G1588&amp;" "&amp;$H1588)))),COUNT(O$1:O1587)+1,"")</f>
        <v/>
      </c>
      <c r="P1588" s="0" t="str">
        <f aca="false">IF(AND(TRIM(C1588)&lt;&gt;"",COUNTIF(C$2:C1588,C1588)=1),MAX(P$1:P1587)+1,"")</f>
        <v/>
      </c>
      <c r="Q1588" s="0" t="str">
        <f aca="false">IF(AND(TRIM(F1588)&lt;&gt;"",COUNTIF(F$2:F1588,F1588)=1),MAX(Q$1:Q1587)+1,"")</f>
        <v/>
      </c>
    </row>
    <row r="1589" customFormat="false" ht="15" hidden="false" customHeight="false" outlineLevel="0" collapsed="false">
      <c r="A1589" s="9"/>
      <c r="B1589" s="10"/>
      <c r="C1589" s="11"/>
      <c r="D1589" s="11"/>
      <c r="E1589" s="11"/>
      <c r="F1589" s="11"/>
      <c r="G1589" s="12"/>
      <c r="H1589" s="12"/>
      <c r="I1589" s="10"/>
      <c r="J1589" s="12"/>
      <c r="K1589" s="13" t="str">
        <f aca="false">IF(ISNUMBER(B1589),YEAR(B1589),"")</f>
        <v/>
      </c>
      <c r="L1589" s="13" t="str">
        <f aca="false">IF(ISNUMBER(B1589),MONTH(B1589),"")</f>
        <v/>
      </c>
      <c r="M1589" s="13" t="str">
        <f aca="false">IF(AND(ISNUMBER(B1589),ISNUMBER(I1589)),B1589-I1589+1,"")</f>
        <v/>
      </c>
      <c r="N1589" s="14" t="str">
        <f aca="false">IF(B1589="","",IF(M1589="","시작일 미입력",IF(M1589&lt;1,"시작일 이전(확인)",IF(M1589=1,"1일째",IF(M1589=2,"2일째",IF(M1589=3,"3일째",IF(M1589&lt;=7,"일주일 이내",IF(M1589&lt;=14,"이주일 이내","15일 이후"))))))))</f>
        <v/>
      </c>
      <c r="O1589" s="0" t="str">
        <f aca="false">IF(AND(COUNTA($A1589:$J1589)&gt;0,OR(클레임조회!$C$4="",AND(ISNUMBER($B1589),$B1589&gt;=클레임조회!$C$4)),OR(클레임조회!$C$5="",AND(ISNUMBER($B1589),$B1589&lt;=클레임조회!$C$5)),OR(클레임조회!$C$6="",$C1589=클레임조회!$C$6),OR(클레임조회!$C$7="",$D1589=클레임조회!$C$7),OR(클레임조회!$C$8="",$E1589=클레임조회!$C$8),OR(클레임조회!$C$9="",$F1589=클레임조회!$C$9),OR(클레임조회!$C$10="",ISNUMBER(SEARCH(클레임조회!$C$10,$C1589&amp;" "&amp;$F1589&amp;" "&amp;$G1589&amp;" "&amp;$H1589)))),COUNT(O$1:O1588)+1,"")</f>
        <v/>
      </c>
      <c r="P1589" s="0" t="str">
        <f aca="false">IF(AND(TRIM(C1589)&lt;&gt;"",COUNTIF(C$2:C1589,C1589)=1),MAX(P$1:P1588)+1,"")</f>
        <v/>
      </c>
      <c r="Q1589" s="0" t="str">
        <f aca="false">IF(AND(TRIM(F1589)&lt;&gt;"",COUNTIF(F$2:F1589,F1589)=1),MAX(Q$1:Q1588)+1,"")</f>
        <v/>
      </c>
    </row>
    <row r="1590" customFormat="false" ht="15" hidden="false" customHeight="false" outlineLevel="0" collapsed="false">
      <c r="A1590" s="9"/>
      <c r="B1590" s="10"/>
      <c r="C1590" s="11"/>
      <c r="D1590" s="11"/>
      <c r="E1590" s="11"/>
      <c r="F1590" s="11"/>
      <c r="G1590" s="12"/>
      <c r="H1590" s="12"/>
      <c r="I1590" s="10"/>
      <c r="J1590" s="12"/>
      <c r="K1590" s="13" t="str">
        <f aca="false">IF(ISNUMBER(B1590),YEAR(B1590),"")</f>
        <v/>
      </c>
      <c r="L1590" s="13" t="str">
        <f aca="false">IF(ISNUMBER(B1590),MONTH(B1590),"")</f>
        <v/>
      </c>
      <c r="M1590" s="13" t="str">
        <f aca="false">IF(AND(ISNUMBER(B1590),ISNUMBER(I1590)),B1590-I1590+1,"")</f>
        <v/>
      </c>
      <c r="N1590" s="14" t="str">
        <f aca="false">IF(B1590="","",IF(M1590="","시작일 미입력",IF(M1590&lt;1,"시작일 이전(확인)",IF(M1590=1,"1일째",IF(M1590=2,"2일째",IF(M1590=3,"3일째",IF(M1590&lt;=7,"일주일 이내",IF(M1590&lt;=14,"이주일 이내","15일 이후"))))))))</f>
        <v/>
      </c>
      <c r="O1590" s="0" t="str">
        <f aca="false">IF(AND(COUNTA($A1590:$J1590)&gt;0,OR(클레임조회!$C$4="",AND(ISNUMBER($B1590),$B1590&gt;=클레임조회!$C$4)),OR(클레임조회!$C$5="",AND(ISNUMBER($B1590),$B1590&lt;=클레임조회!$C$5)),OR(클레임조회!$C$6="",$C1590=클레임조회!$C$6),OR(클레임조회!$C$7="",$D1590=클레임조회!$C$7),OR(클레임조회!$C$8="",$E1590=클레임조회!$C$8),OR(클레임조회!$C$9="",$F1590=클레임조회!$C$9),OR(클레임조회!$C$10="",ISNUMBER(SEARCH(클레임조회!$C$10,$C1590&amp;" "&amp;$F1590&amp;" "&amp;$G1590&amp;" "&amp;$H1590)))),COUNT(O$1:O1589)+1,"")</f>
        <v/>
      </c>
      <c r="P1590" s="0" t="str">
        <f aca="false">IF(AND(TRIM(C1590)&lt;&gt;"",COUNTIF(C$2:C1590,C1590)=1),MAX(P$1:P1589)+1,"")</f>
        <v/>
      </c>
      <c r="Q1590" s="0" t="str">
        <f aca="false">IF(AND(TRIM(F1590)&lt;&gt;"",COUNTIF(F$2:F1590,F1590)=1),MAX(Q$1:Q1589)+1,"")</f>
        <v/>
      </c>
    </row>
    <row r="1591" customFormat="false" ht="15" hidden="false" customHeight="false" outlineLevel="0" collapsed="false">
      <c r="A1591" s="9"/>
      <c r="B1591" s="10"/>
      <c r="C1591" s="11"/>
      <c r="D1591" s="11"/>
      <c r="E1591" s="11"/>
      <c r="F1591" s="11"/>
      <c r="G1591" s="12"/>
      <c r="H1591" s="12"/>
      <c r="I1591" s="10"/>
      <c r="J1591" s="12"/>
      <c r="K1591" s="13" t="str">
        <f aca="false">IF(ISNUMBER(B1591),YEAR(B1591),"")</f>
        <v/>
      </c>
      <c r="L1591" s="13" t="str">
        <f aca="false">IF(ISNUMBER(B1591),MONTH(B1591),"")</f>
        <v/>
      </c>
      <c r="M1591" s="13" t="str">
        <f aca="false">IF(AND(ISNUMBER(B1591),ISNUMBER(I1591)),B1591-I1591+1,"")</f>
        <v/>
      </c>
      <c r="N1591" s="14" t="str">
        <f aca="false">IF(B1591="","",IF(M1591="","시작일 미입력",IF(M1591&lt;1,"시작일 이전(확인)",IF(M1591=1,"1일째",IF(M1591=2,"2일째",IF(M1591=3,"3일째",IF(M1591&lt;=7,"일주일 이내",IF(M1591&lt;=14,"이주일 이내","15일 이후"))))))))</f>
        <v/>
      </c>
      <c r="O1591" s="0" t="str">
        <f aca="false">IF(AND(COUNTA($A1591:$J1591)&gt;0,OR(클레임조회!$C$4="",AND(ISNUMBER($B1591),$B1591&gt;=클레임조회!$C$4)),OR(클레임조회!$C$5="",AND(ISNUMBER($B1591),$B1591&lt;=클레임조회!$C$5)),OR(클레임조회!$C$6="",$C1591=클레임조회!$C$6),OR(클레임조회!$C$7="",$D1591=클레임조회!$C$7),OR(클레임조회!$C$8="",$E1591=클레임조회!$C$8),OR(클레임조회!$C$9="",$F1591=클레임조회!$C$9),OR(클레임조회!$C$10="",ISNUMBER(SEARCH(클레임조회!$C$10,$C1591&amp;" "&amp;$F1591&amp;" "&amp;$G1591&amp;" "&amp;$H1591)))),COUNT(O$1:O1590)+1,"")</f>
        <v/>
      </c>
      <c r="P1591" s="0" t="str">
        <f aca="false">IF(AND(TRIM(C1591)&lt;&gt;"",COUNTIF(C$2:C1591,C1591)=1),MAX(P$1:P1590)+1,"")</f>
        <v/>
      </c>
      <c r="Q1591" s="0" t="str">
        <f aca="false">IF(AND(TRIM(F1591)&lt;&gt;"",COUNTIF(F$2:F1591,F1591)=1),MAX(Q$1:Q1590)+1,"")</f>
        <v/>
      </c>
    </row>
    <row r="1592" customFormat="false" ht="15" hidden="false" customHeight="false" outlineLevel="0" collapsed="false">
      <c r="A1592" s="9"/>
      <c r="B1592" s="10"/>
      <c r="C1592" s="11"/>
      <c r="D1592" s="11"/>
      <c r="E1592" s="11"/>
      <c r="F1592" s="11"/>
      <c r="G1592" s="12"/>
      <c r="H1592" s="12"/>
      <c r="I1592" s="10"/>
      <c r="J1592" s="12"/>
      <c r="K1592" s="13" t="str">
        <f aca="false">IF(ISNUMBER(B1592),YEAR(B1592),"")</f>
        <v/>
      </c>
      <c r="L1592" s="13" t="str">
        <f aca="false">IF(ISNUMBER(B1592),MONTH(B1592),"")</f>
        <v/>
      </c>
      <c r="M1592" s="13" t="str">
        <f aca="false">IF(AND(ISNUMBER(B1592),ISNUMBER(I1592)),B1592-I1592+1,"")</f>
        <v/>
      </c>
      <c r="N1592" s="14" t="str">
        <f aca="false">IF(B1592="","",IF(M1592="","시작일 미입력",IF(M1592&lt;1,"시작일 이전(확인)",IF(M1592=1,"1일째",IF(M1592=2,"2일째",IF(M1592=3,"3일째",IF(M1592&lt;=7,"일주일 이내",IF(M1592&lt;=14,"이주일 이내","15일 이후"))))))))</f>
        <v/>
      </c>
      <c r="O1592" s="0" t="str">
        <f aca="false">IF(AND(COUNTA($A1592:$J1592)&gt;0,OR(클레임조회!$C$4="",AND(ISNUMBER($B1592),$B1592&gt;=클레임조회!$C$4)),OR(클레임조회!$C$5="",AND(ISNUMBER($B1592),$B1592&lt;=클레임조회!$C$5)),OR(클레임조회!$C$6="",$C1592=클레임조회!$C$6),OR(클레임조회!$C$7="",$D1592=클레임조회!$C$7),OR(클레임조회!$C$8="",$E1592=클레임조회!$C$8),OR(클레임조회!$C$9="",$F1592=클레임조회!$C$9),OR(클레임조회!$C$10="",ISNUMBER(SEARCH(클레임조회!$C$10,$C1592&amp;" "&amp;$F1592&amp;" "&amp;$G1592&amp;" "&amp;$H1592)))),COUNT(O$1:O1591)+1,"")</f>
        <v/>
      </c>
      <c r="P1592" s="0" t="str">
        <f aca="false">IF(AND(TRIM(C1592)&lt;&gt;"",COUNTIF(C$2:C1592,C1592)=1),MAX(P$1:P1591)+1,"")</f>
        <v/>
      </c>
      <c r="Q1592" s="0" t="str">
        <f aca="false">IF(AND(TRIM(F1592)&lt;&gt;"",COUNTIF(F$2:F1592,F1592)=1),MAX(Q$1:Q1591)+1,"")</f>
        <v/>
      </c>
    </row>
    <row r="1593" customFormat="false" ht="15" hidden="false" customHeight="false" outlineLevel="0" collapsed="false">
      <c r="A1593" s="9"/>
      <c r="B1593" s="10"/>
      <c r="C1593" s="11"/>
      <c r="D1593" s="11"/>
      <c r="E1593" s="11"/>
      <c r="F1593" s="11"/>
      <c r="G1593" s="12"/>
      <c r="H1593" s="12"/>
      <c r="I1593" s="10"/>
      <c r="J1593" s="12"/>
      <c r="K1593" s="13" t="str">
        <f aca="false">IF(ISNUMBER(B1593),YEAR(B1593),"")</f>
        <v/>
      </c>
      <c r="L1593" s="13" t="str">
        <f aca="false">IF(ISNUMBER(B1593),MONTH(B1593),"")</f>
        <v/>
      </c>
      <c r="M1593" s="13" t="str">
        <f aca="false">IF(AND(ISNUMBER(B1593),ISNUMBER(I1593)),B1593-I1593+1,"")</f>
        <v/>
      </c>
      <c r="N1593" s="14" t="str">
        <f aca="false">IF(B1593="","",IF(M1593="","시작일 미입력",IF(M1593&lt;1,"시작일 이전(확인)",IF(M1593=1,"1일째",IF(M1593=2,"2일째",IF(M1593=3,"3일째",IF(M1593&lt;=7,"일주일 이내",IF(M1593&lt;=14,"이주일 이내","15일 이후"))))))))</f>
        <v/>
      </c>
      <c r="O1593" s="0" t="str">
        <f aca="false">IF(AND(COUNTA($A1593:$J1593)&gt;0,OR(클레임조회!$C$4="",AND(ISNUMBER($B1593),$B1593&gt;=클레임조회!$C$4)),OR(클레임조회!$C$5="",AND(ISNUMBER($B1593),$B1593&lt;=클레임조회!$C$5)),OR(클레임조회!$C$6="",$C1593=클레임조회!$C$6),OR(클레임조회!$C$7="",$D1593=클레임조회!$C$7),OR(클레임조회!$C$8="",$E1593=클레임조회!$C$8),OR(클레임조회!$C$9="",$F1593=클레임조회!$C$9),OR(클레임조회!$C$10="",ISNUMBER(SEARCH(클레임조회!$C$10,$C1593&amp;" "&amp;$F1593&amp;" "&amp;$G1593&amp;" "&amp;$H1593)))),COUNT(O$1:O1592)+1,"")</f>
        <v/>
      </c>
      <c r="P1593" s="0" t="str">
        <f aca="false">IF(AND(TRIM(C1593)&lt;&gt;"",COUNTIF(C$2:C1593,C1593)=1),MAX(P$1:P1592)+1,"")</f>
        <v/>
      </c>
      <c r="Q1593" s="0" t="str">
        <f aca="false">IF(AND(TRIM(F1593)&lt;&gt;"",COUNTIF(F$2:F1593,F1593)=1),MAX(Q$1:Q1592)+1,"")</f>
        <v/>
      </c>
    </row>
    <row r="1594" customFormat="false" ht="15" hidden="false" customHeight="false" outlineLevel="0" collapsed="false">
      <c r="A1594" s="9"/>
      <c r="B1594" s="10"/>
      <c r="C1594" s="11"/>
      <c r="D1594" s="11"/>
      <c r="E1594" s="11"/>
      <c r="F1594" s="11"/>
      <c r="G1594" s="12"/>
      <c r="H1594" s="12"/>
      <c r="I1594" s="10"/>
      <c r="J1594" s="12"/>
      <c r="K1594" s="13" t="str">
        <f aca="false">IF(ISNUMBER(B1594),YEAR(B1594),"")</f>
        <v/>
      </c>
      <c r="L1594" s="13" t="str">
        <f aca="false">IF(ISNUMBER(B1594),MONTH(B1594),"")</f>
        <v/>
      </c>
      <c r="M1594" s="13" t="str">
        <f aca="false">IF(AND(ISNUMBER(B1594),ISNUMBER(I1594)),B1594-I1594+1,"")</f>
        <v/>
      </c>
      <c r="N1594" s="14" t="str">
        <f aca="false">IF(B1594="","",IF(M1594="","시작일 미입력",IF(M1594&lt;1,"시작일 이전(확인)",IF(M1594=1,"1일째",IF(M1594=2,"2일째",IF(M1594=3,"3일째",IF(M1594&lt;=7,"일주일 이내",IF(M1594&lt;=14,"이주일 이내","15일 이후"))))))))</f>
        <v/>
      </c>
      <c r="O1594" s="0" t="str">
        <f aca="false">IF(AND(COUNTA($A1594:$J1594)&gt;0,OR(클레임조회!$C$4="",AND(ISNUMBER($B1594),$B1594&gt;=클레임조회!$C$4)),OR(클레임조회!$C$5="",AND(ISNUMBER($B1594),$B1594&lt;=클레임조회!$C$5)),OR(클레임조회!$C$6="",$C1594=클레임조회!$C$6),OR(클레임조회!$C$7="",$D1594=클레임조회!$C$7),OR(클레임조회!$C$8="",$E1594=클레임조회!$C$8),OR(클레임조회!$C$9="",$F1594=클레임조회!$C$9),OR(클레임조회!$C$10="",ISNUMBER(SEARCH(클레임조회!$C$10,$C1594&amp;" "&amp;$F1594&amp;" "&amp;$G1594&amp;" "&amp;$H1594)))),COUNT(O$1:O1593)+1,"")</f>
        <v/>
      </c>
      <c r="P1594" s="0" t="str">
        <f aca="false">IF(AND(TRIM(C1594)&lt;&gt;"",COUNTIF(C$2:C1594,C1594)=1),MAX(P$1:P1593)+1,"")</f>
        <v/>
      </c>
      <c r="Q1594" s="0" t="str">
        <f aca="false">IF(AND(TRIM(F1594)&lt;&gt;"",COUNTIF(F$2:F1594,F1594)=1),MAX(Q$1:Q1593)+1,"")</f>
        <v/>
      </c>
    </row>
    <row r="1595" customFormat="false" ht="15" hidden="false" customHeight="false" outlineLevel="0" collapsed="false">
      <c r="A1595" s="9"/>
      <c r="B1595" s="10"/>
      <c r="C1595" s="11"/>
      <c r="D1595" s="11"/>
      <c r="E1595" s="11"/>
      <c r="F1595" s="11"/>
      <c r="G1595" s="12"/>
      <c r="H1595" s="12"/>
      <c r="I1595" s="10"/>
      <c r="J1595" s="12"/>
      <c r="K1595" s="13" t="str">
        <f aca="false">IF(ISNUMBER(B1595),YEAR(B1595),"")</f>
        <v/>
      </c>
      <c r="L1595" s="13" t="str">
        <f aca="false">IF(ISNUMBER(B1595),MONTH(B1595),"")</f>
        <v/>
      </c>
      <c r="M1595" s="13" t="str">
        <f aca="false">IF(AND(ISNUMBER(B1595),ISNUMBER(I1595)),B1595-I1595+1,"")</f>
        <v/>
      </c>
      <c r="N1595" s="14" t="str">
        <f aca="false">IF(B1595="","",IF(M1595="","시작일 미입력",IF(M1595&lt;1,"시작일 이전(확인)",IF(M1595=1,"1일째",IF(M1595=2,"2일째",IF(M1595=3,"3일째",IF(M1595&lt;=7,"일주일 이내",IF(M1595&lt;=14,"이주일 이내","15일 이후"))))))))</f>
        <v/>
      </c>
      <c r="O1595" s="0" t="str">
        <f aca="false">IF(AND(COUNTA($A1595:$J1595)&gt;0,OR(클레임조회!$C$4="",AND(ISNUMBER($B1595),$B1595&gt;=클레임조회!$C$4)),OR(클레임조회!$C$5="",AND(ISNUMBER($B1595),$B1595&lt;=클레임조회!$C$5)),OR(클레임조회!$C$6="",$C1595=클레임조회!$C$6),OR(클레임조회!$C$7="",$D1595=클레임조회!$C$7),OR(클레임조회!$C$8="",$E1595=클레임조회!$C$8),OR(클레임조회!$C$9="",$F1595=클레임조회!$C$9),OR(클레임조회!$C$10="",ISNUMBER(SEARCH(클레임조회!$C$10,$C1595&amp;" "&amp;$F1595&amp;" "&amp;$G1595&amp;" "&amp;$H1595)))),COUNT(O$1:O1594)+1,"")</f>
        <v/>
      </c>
      <c r="P1595" s="0" t="str">
        <f aca="false">IF(AND(TRIM(C1595)&lt;&gt;"",COUNTIF(C$2:C1595,C1595)=1),MAX(P$1:P1594)+1,"")</f>
        <v/>
      </c>
      <c r="Q1595" s="0" t="str">
        <f aca="false">IF(AND(TRIM(F1595)&lt;&gt;"",COUNTIF(F$2:F1595,F1595)=1),MAX(Q$1:Q1594)+1,"")</f>
        <v/>
      </c>
    </row>
    <row r="1596" customFormat="false" ht="15" hidden="false" customHeight="false" outlineLevel="0" collapsed="false">
      <c r="A1596" s="9"/>
      <c r="B1596" s="10"/>
      <c r="C1596" s="11"/>
      <c r="D1596" s="11"/>
      <c r="E1596" s="11"/>
      <c r="F1596" s="11"/>
      <c r="G1596" s="12"/>
      <c r="H1596" s="12"/>
      <c r="I1596" s="10"/>
      <c r="J1596" s="12"/>
      <c r="K1596" s="13" t="str">
        <f aca="false">IF(ISNUMBER(B1596),YEAR(B1596),"")</f>
        <v/>
      </c>
      <c r="L1596" s="13" t="str">
        <f aca="false">IF(ISNUMBER(B1596),MONTH(B1596),"")</f>
        <v/>
      </c>
      <c r="M1596" s="13" t="str">
        <f aca="false">IF(AND(ISNUMBER(B1596),ISNUMBER(I1596)),B1596-I1596+1,"")</f>
        <v/>
      </c>
      <c r="N1596" s="14" t="str">
        <f aca="false">IF(B1596="","",IF(M1596="","시작일 미입력",IF(M1596&lt;1,"시작일 이전(확인)",IF(M1596=1,"1일째",IF(M1596=2,"2일째",IF(M1596=3,"3일째",IF(M1596&lt;=7,"일주일 이내",IF(M1596&lt;=14,"이주일 이내","15일 이후"))))))))</f>
        <v/>
      </c>
      <c r="O1596" s="0" t="str">
        <f aca="false">IF(AND(COUNTA($A1596:$J1596)&gt;0,OR(클레임조회!$C$4="",AND(ISNUMBER($B1596),$B1596&gt;=클레임조회!$C$4)),OR(클레임조회!$C$5="",AND(ISNUMBER($B1596),$B1596&lt;=클레임조회!$C$5)),OR(클레임조회!$C$6="",$C1596=클레임조회!$C$6),OR(클레임조회!$C$7="",$D1596=클레임조회!$C$7),OR(클레임조회!$C$8="",$E1596=클레임조회!$C$8),OR(클레임조회!$C$9="",$F1596=클레임조회!$C$9),OR(클레임조회!$C$10="",ISNUMBER(SEARCH(클레임조회!$C$10,$C1596&amp;" "&amp;$F1596&amp;" "&amp;$G1596&amp;" "&amp;$H1596)))),COUNT(O$1:O1595)+1,"")</f>
        <v/>
      </c>
      <c r="P1596" s="0" t="str">
        <f aca="false">IF(AND(TRIM(C1596)&lt;&gt;"",COUNTIF(C$2:C1596,C1596)=1),MAX(P$1:P1595)+1,"")</f>
        <v/>
      </c>
      <c r="Q1596" s="0" t="str">
        <f aca="false">IF(AND(TRIM(F1596)&lt;&gt;"",COUNTIF(F$2:F1596,F1596)=1),MAX(Q$1:Q1595)+1,"")</f>
        <v/>
      </c>
    </row>
    <row r="1597" customFormat="false" ht="15" hidden="false" customHeight="false" outlineLevel="0" collapsed="false">
      <c r="A1597" s="9"/>
      <c r="B1597" s="10"/>
      <c r="C1597" s="11"/>
      <c r="D1597" s="11"/>
      <c r="E1597" s="11"/>
      <c r="F1597" s="11"/>
      <c r="G1597" s="12"/>
      <c r="H1597" s="12"/>
      <c r="I1597" s="10"/>
      <c r="J1597" s="12"/>
      <c r="K1597" s="13" t="str">
        <f aca="false">IF(ISNUMBER(B1597),YEAR(B1597),"")</f>
        <v/>
      </c>
      <c r="L1597" s="13" t="str">
        <f aca="false">IF(ISNUMBER(B1597),MONTH(B1597),"")</f>
        <v/>
      </c>
      <c r="M1597" s="13" t="str">
        <f aca="false">IF(AND(ISNUMBER(B1597),ISNUMBER(I1597)),B1597-I1597+1,"")</f>
        <v/>
      </c>
      <c r="N1597" s="14" t="str">
        <f aca="false">IF(B1597="","",IF(M1597="","시작일 미입력",IF(M1597&lt;1,"시작일 이전(확인)",IF(M1597=1,"1일째",IF(M1597=2,"2일째",IF(M1597=3,"3일째",IF(M1597&lt;=7,"일주일 이내",IF(M1597&lt;=14,"이주일 이내","15일 이후"))))))))</f>
        <v/>
      </c>
      <c r="O1597" s="0" t="str">
        <f aca="false">IF(AND(COUNTA($A1597:$J1597)&gt;0,OR(클레임조회!$C$4="",AND(ISNUMBER($B1597),$B1597&gt;=클레임조회!$C$4)),OR(클레임조회!$C$5="",AND(ISNUMBER($B1597),$B1597&lt;=클레임조회!$C$5)),OR(클레임조회!$C$6="",$C1597=클레임조회!$C$6),OR(클레임조회!$C$7="",$D1597=클레임조회!$C$7),OR(클레임조회!$C$8="",$E1597=클레임조회!$C$8),OR(클레임조회!$C$9="",$F1597=클레임조회!$C$9),OR(클레임조회!$C$10="",ISNUMBER(SEARCH(클레임조회!$C$10,$C1597&amp;" "&amp;$F1597&amp;" "&amp;$G1597&amp;" "&amp;$H1597)))),COUNT(O$1:O1596)+1,"")</f>
        <v/>
      </c>
      <c r="P1597" s="0" t="str">
        <f aca="false">IF(AND(TRIM(C1597)&lt;&gt;"",COUNTIF(C$2:C1597,C1597)=1),MAX(P$1:P1596)+1,"")</f>
        <v/>
      </c>
      <c r="Q1597" s="0" t="str">
        <f aca="false">IF(AND(TRIM(F1597)&lt;&gt;"",COUNTIF(F$2:F1597,F1597)=1),MAX(Q$1:Q1596)+1,"")</f>
        <v/>
      </c>
    </row>
    <row r="1598" customFormat="false" ht="15" hidden="false" customHeight="false" outlineLevel="0" collapsed="false">
      <c r="A1598" s="9"/>
      <c r="B1598" s="10"/>
      <c r="C1598" s="11"/>
      <c r="D1598" s="11"/>
      <c r="E1598" s="11"/>
      <c r="F1598" s="11"/>
      <c r="G1598" s="12"/>
      <c r="H1598" s="12"/>
      <c r="I1598" s="10"/>
      <c r="J1598" s="12"/>
      <c r="K1598" s="13" t="str">
        <f aca="false">IF(ISNUMBER(B1598),YEAR(B1598),"")</f>
        <v/>
      </c>
      <c r="L1598" s="13" t="str">
        <f aca="false">IF(ISNUMBER(B1598),MONTH(B1598),"")</f>
        <v/>
      </c>
      <c r="M1598" s="13" t="str">
        <f aca="false">IF(AND(ISNUMBER(B1598),ISNUMBER(I1598)),B1598-I1598+1,"")</f>
        <v/>
      </c>
      <c r="N1598" s="14" t="str">
        <f aca="false">IF(B1598="","",IF(M1598="","시작일 미입력",IF(M1598&lt;1,"시작일 이전(확인)",IF(M1598=1,"1일째",IF(M1598=2,"2일째",IF(M1598=3,"3일째",IF(M1598&lt;=7,"일주일 이내",IF(M1598&lt;=14,"이주일 이내","15일 이후"))))))))</f>
        <v/>
      </c>
      <c r="O1598" s="0" t="str">
        <f aca="false">IF(AND(COUNTA($A1598:$J1598)&gt;0,OR(클레임조회!$C$4="",AND(ISNUMBER($B1598),$B1598&gt;=클레임조회!$C$4)),OR(클레임조회!$C$5="",AND(ISNUMBER($B1598),$B1598&lt;=클레임조회!$C$5)),OR(클레임조회!$C$6="",$C1598=클레임조회!$C$6),OR(클레임조회!$C$7="",$D1598=클레임조회!$C$7),OR(클레임조회!$C$8="",$E1598=클레임조회!$C$8),OR(클레임조회!$C$9="",$F1598=클레임조회!$C$9),OR(클레임조회!$C$10="",ISNUMBER(SEARCH(클레임조회!$C$10,$C1598&amp;" "&amp;$F1598&amp;" "&amp;$G1598&amp;" "&amp;$H1598)))),COUNT(O$1:O1597)+1,"")</f>
        <v/>
      </c>
      <c r="P1598" s="0" t="str">
        <f aca="false">IF(AND(TRIM(C1598)&lt;&gt;"",COUNTIF(C$2:C1598,C1598)=1),MAX(P$1:P1597)+1,"")</f>
        <v/>
      </c>
      <c r="Q1598" s="0" t="str">
        <f aca="false">IF(AND(TRIM(F1598)&lt;&gt;"",COUNTIF(F$2:F1598,F1598)=1),MAX(Q$1:Q1597)+1,"")</f>
        <v/>
      </c>
    </row>
    <row r="1599" customFormat="false" ht="15" hidden="false" customHeight="false" outlineLevel="0" collapsed="false">
      <c r="A1599" s="9"/>
      <c r="B1599" s="10"/>
      <c r="C1599" s="11"/>
      <c r="D1599" s="11"/>
      <c r="E1599" s="11"/>
      <c r="F1599" s="11"/>
      <c r="G1599" s="12"/>
      <c r="H1599" s="12"/>
      <c r="I1599" s="10"/>
      <c r="J1599" s="12"/>
      <c r="K1599" s="13" t="str">
        <f aca="false">IF(ISNUMBER(B1599),YEAR(B1599),"")</f>
        <v/>
      </c>
      <c r="L1599" s="13" t="str">
        <f aca="false">IF(ISNUMBER(B1599),MONTH(B1599),"")</f>
        <v/>
      </c>
      <c r="M1599" s="13" t="str">
        <f aca="false">IF(AND(ISNUMBER(B1599),ISNUMBER(I1599)),B1599-I1599+1,"")</f>
        <v/>
      </c>
      <c r="N1599" s="14" t="str">
        <f aca="false">IF(B1599="","",IF(M1599="","시작일 미입력",IF(M1599&lt;1,"시작일 이전(확인)",IF(M1599=1,"1일째",IF(M1599=2,"2일째",IF(M1599=3,"3일째",IF(M1599&lt;=7,"일주일 이내",IF(M1599&lt;=14,"이주일 이내","15일 이후"))))))))</f>
        <v/>
      </c>
      <c r="O1599" s="0" t="str">
        <f aca="false">IF(AND(COUNTA($A1599:$J1599)&gt;0,OR(클레임조회!$C$4="",AND(ISNUMBER($B1599),$B1599&gt;=클레임조회!$C$4)),OR(클레임조회!$C$5="",AND(ISNUMBER($B1599),$B1599&lt;=클레임조회!$C$5)),OR(클레임조회!$C$6="",$C1599=클레임조회!$C$6),OR(클레임조회!$C$7="",$D1599=클레임조회!$C$7),OR(클레임조회!$C$8="",$E1599=클레임조회!$C$8),OR(클레임조회!$C$9="",$F1599=클레임조회!$C$9),OR(클레임조회!$C$10="",ISNUMBER(SEARCH(클레임조회!$C$10,$C1599&amp;" "&amp;$F1599&amp;" "&amp;$G1599&amp;" "&amp;$H1599)))),COUNT(O$1:O1598)+1,"")</f>
        <v/>
      </c>
      <c r="P1599" s="0" t="str">
        <f aca="false">IF(AND(TRIM(C1599)&lt;&gt;"",COUNTIF(C$2:C1599,C1599)=1),MAX(P$1:P1598)+1,"")</f>
        <v/>
      </c>
      <c r="Q1599" s="0" t="str">
        <f aca="false">IF(AND(TRIM(F1599)&lt;&gt;"",COUNTIF(F$2:F1599,F1599)=1),MAX(Q$1:Q1598)+1,"")</f>
        <v/>
      </c>
    </row>
    <row r="1600" customFormat="false" ht="15" hidden="false" customHeight="false" outlineLevel="0" collapsed="false">
      <c r="A1600" s="9"/>
      <c r="B1600" s="10"/>
      <c r="C1600" s="11"/>
      <c r="D1600" s="11"/>
      <c r="E1600" s="11"/>
      <c r="F1600" s="11"/>
      <c r="G1600" s="12"/>
      <c r="H1600" s="12"/>
      <c r="I1600" s="10"/>
      <c r="J1600" s="12"/>
      <c r="K1600" s="13" t="str">
        <f aca="false">IF(ISNUMBER(B1600),YEAR(B1600),"")</f>
        <v/>
      </c>
      <c r="L1600" s="13" t="str">
        <f aca="false">IF(ISNUMBER(B1600),MONTH(B1600),"")</f>
        <v/>
      </c>
      <c r="M1600" s="13" t="str">
        <f aca="false">IF(AND(ISNUMBER(B1600),ISNUMBER(I1600)),B1600-I1600+1,"")</f>
        <v/>
      </c>
      <c r="N1600" s="14" t="str">
        <f aca="false">IF(B1600="","",IF(M1600="","시작일 미입력",IF(M1600&lt;1,"시작일 이전(확인)",IF(M1600=1,"1일째",IF(M1600=2,"2일째",IF(M1600=3,"3일째",IF(M1600&lt;=7,"일주일 이내",IF(M1600&lt;=14,"이주일 이내","15일 이후"))))))))</f>
        <v/>
      </c>
      <c r="O1600" s="0" t="str">
        <f aca="false">IF(AND(COUNTA($A1600:$J1600)&gt;0,OR(클레임조회!$C$4="",AND(ISNUMBER($B1600),$B1600&gt;=클레임조회!$C$4)),OR(클레임조회!$C$5="",AND(ISNUMBER($B1600),$B1600&lt;=클레임조회!$C$5)),OR(클레임조회!$C$6="",$C1600=클레임조회!$C$6),OR(클레임조회!$C$7="",$D1600=클레임조회!$C$7),OR(클레임조회!$C$8="",$E1600=클레임조회!$C$8),OR(클레임조회!$C$9="",$F1600=클레임조회!$C$9),OR(클레임조회!$C$10="",ISNUMBER(SEARCH(클레임조회!$C$10,$C1600&amp;" "&amp;$F1600&amp;" "&amp;$G1600&amp;" "&amp;$H1600)))),COUNT(O$1:O1599)+1,"")</f>
        <v/>
      </c>
      <c r="P1600" s="0" t="str">
        <f aca="false">IF(AND(TRIM(C1600)&lt;&gt;"",COUNTIF(C$2:C1600,C1600)=1),MAX(P$1:P1599)+1,"")</f>
        <v/>
      </c>
      <c r="Q1600" s="0" t="str">
        <f aca="false">IF(AND(TRIM(F1600)&lt;&gt;"",COUNTIF(F$2:F1600,F1600)=1),MAX(Q$1:Q1599)+1,"")</f>
        <v/>
      </c>
    </row>
    <row r="1601" customFormat="false" ht="15" hidden="false" customHeight="false" outlineLevel="0" collapsed="false">
      <c r="A1601" s="9"/>
      <c r="B1601" s="10"/>
      <c r="C1601" s="11"/>
      <c r="D1601" s="11"/>
      <c r="E1601" s="11"/>
      <c r="F1601" s="11"/>
      <c r="G1601" s="12"/>
      <c r="H1601" s="12"/>
      <c r="I1601" s="10"/>
      <c r="J1601" s="12"/>
      <c r="K1601" s="13" t="str">
        <f aca="false">IF(ISNUMBER(B1601),YEAR(B1601),"")</f>
        <v/>
      </c>
      <c r="L1601" s="13" t="str">
        <f aca="false">IF(ISNUMBER(B1601),MONTH(B1601),"")</f>
        <v/>
      </c>
      <c r="M1601" s="13" t="str">
        <f aca="false">IF(AND(ISNUMBER(B1601),ISNUMBER(I1601)),B1601-I1601+1,"")</f>
        <v/>
      </c>
      <c r="N1601" s="14" t="str">
        <f aca="false">IF(B1601="","",IF(M1601="","시작일 미입력",IF(M1601&lt;1,"시작일 이전(확인)",IF(M1601=1,"1일째",IF(M1601=2,"2일째",IF(M1601=3,"3일째",IF(M1601&lt;=7,"일주일 이내",IF(M1601&lt;=14,"이주일 이내","15일 이후"))))))))</f>
        <v/>
      </c>
      <c r="O1601" s="0" t="str">
        <f aca="false">IF(AND(COUNTA($A1601:$J1601)&gt;0,OR(클레임조회!$C$4="",AND(ISNUMBER($B1601),$B1601&gt;=클레임조회!$C$4)),OR(클레임조회!$C$5="",AND(ISNUMBER($B1601),$B1601&lt;=클레임조회!$C$5)),OR(클레임조회!$C$6="",$C1601=클레임조회!$C$6),OR(클레임조회!$C$7="",$D1601=클레임조회!$C$7),OR(클레임조회!$C$8="",$E1601=클레임조회!$C$8),OR(클레임조회!$C$9="",$F1601=클레임조회!$C$9),OR(클레임조회!$C$10="",ISNUMBER(SEARCH(클레임조회!$C$10,$C1601&amp;" "&amp;$F1601&amp;" "&amp;$G1601&amp;" "&amp;$H1601)))),COUNT(O$1:O1600)+1,"")</f>
        <v/>
      </c>
      <c r="P1601" s="0" t="str">
        <f aca="false">IF(AND(TRIM(C1601)&lt;&gt;"",COUNTIF(C$2:C1601,C1601)=1),MAX(P$1:P1600)+1,"")</f>
        <v/>
      </c>
      <c r="Q1601" s="0" t="str">
        <f aca="false">IF(AND(TRIM(F1601)&lt;&gt;"",COUNTIF(F$2:F1601,F1601)=1),MAX(Q$1:Q1600)+1,"")</f>
        <v/>
      </c>
    </row>
    <row r="1602" customFormat="false" ht="15" hidden="false" customHeight="false" outlineLevel="0" collapsed="false">
      <c r="A1602" s="9"/>
      <c r="B1602" s="10"/>
      <c r="C1602" s="11"/>
      <c r="D1602" s="11"/>
      <c r="E1602" s="11"/>
      <c r="F1602" s="11"/>
      <c r="G1602" s="12"/>
      <c r="H1602" s="12"/>
      <c r="I1602" s="10"/>
      <c r="J1602" s="12"/>
      <c r="K1602" s="13" t="str">
        <f aca="false">IF(ISNUMBER(B1602),YEAR(B1602),"")</f>
        <v/>
      </c>
      <c r="L1602" s="13" t="str">
        <f aca="false">IF(ISNUMBER(B1602),MONTH(B1602),"")</f>
        <v/>
      </c>
      <c r="M1602" s="13" t="str">
        <f aca="false">IF(AND(ISNUMBER(B1602),ISNUMBER(I1602)),B1602-I1602+1,"")</f>
        <v/>
      </c>
      <c r="N1602" s="14" t="str">
        <f aca="false">IF(B1602="","",IF(M1602="","시작일 미입력",IF(M1602&lt;1,"시작일 이전(확인)",IF(M1602=1,"1일째",IF(M1602=2,"2일째",IF(M1602=3,"3일째",IF(M1602&lt;=7,"일주일 이내",IF(M1602&lt;=14,"이주일 이내","15일 이후"))))))))</f>
        <v/>
      </c>
      <c r="O1602" s="0" t="str">
        <f aca="false">IF(AND(COUNTA($A1602:$J1602)&gt;0,OR(클레임조회!$C$4="",AND(ISNUMBER($B1602),$B1602&gt;=클레임조회!$C$4)),OR(클레임조회!$C$5="",AND(ISNUMBER($B1602),$B1602&lt;=클레임조회!$C$5)),OR(클레임조회!$C$6="",$C1602=클레임조회!$C$6),OR(클레임조회!$C$7="",$D1602=클레임조회!$C$7),OR(클레임조회!$C$8="",$E1602=클레임조회!$C$8),OR(클레임조회!$C$9="",$F1602=클레임조회!$C$9),OR(클레임조회!$C$10="",ISNUMBER(SEARCH(클레임조회!$C$10,$C1602&amp;" "&amp;$F1602&amp;" "&amp;$G1602&amp;" "&amp;$H1602)))),COUNT(O$1:O1601)+1,"")</f>
        <v/>
      </c>
      <c r="P1602" s="0" t="str">
        <f aca="false">IF(AND(TRIM(C1602)&lt;&gt;"",COUNTIF(C$2:C1602,C1602)=1),MAX(P$1:P1601)+1,"")</f>
        <v/>
      </c>
      <c r="Q1602" s="0" t="str">
        <f aca="false">IF(AND(TRIM(F1602)&lt;&gt;"",COUNTIF(F$2:F1602,F1602)=1),MAX(Q$1:Q1601)+1,"")</f>
        <v/>
      </c>
    </row>
    <row r="1603" customFormat="false" ht="15" hidden="false" customHeight="false" outlineLevel="0" collapsed="false">
      <c r="A1603" s="9"/>
      <c r="B1603" s="10"/>
      <c r="C1603" s="11"/>
      <c r="D1603" s="11"/>
      <c r="E1603" s="11"/>
      <c r="F1603" s="11"/>
      <c r="G1603" s="12"/>
      <c r="H1603" s="12"/>
      <c r="I1603" s="10"/>
      <c r="J1603" s="12"/>
      <c r="K1603" s="13" t="str">
        <f aca="false">IF(ISNUMBER(B1603),YEAR(B1603),"")</f>
        <v/>
      </c>
      <c r="L1603" s="13" t="str">
        <f aca="false">IF(ISNUMBER(B1603),MONTH(B1603),"")</f>
        <v/>
      </c>
      <c r="M1603" s="13" t="str">
        <f aca="false">IF(AND(ISNUMBER(B1603),ISNUMBER(I1603)),B1603-I1603+1,"")</f>
        <v/>
      </c>
      <c r="N1603" s="14" t="str">
        <f aca="false">IF(B1603="","",IF(M1603="","시작일 미입력",IF(M1603&lt;1,"시작일 이전(확인)",IF(M1603=1,"1일째",IF(M1603=2,"2일째",IF(M1603=3,"3일째",IF(M1603&lt;=7,"일주일 이내",IF(M1603&lt;=14,"이주일 이내","15일 이후"))))))))</f>
        <v/>
      </c>
      <c r="O1603" s="0" t="str">
        <f aca="false">IF(AND(COUNTA($A1603:$J1603)&gt;0,OR(클레임조회!$C$4="",AND(ISNUMBER($B1603),$B1603&gt;=클레임조회!$C$4)),OR(클레임조회!$C$5="",AND(ISNUMBER($B1603),$B1603&lt;=클레임조회!$C$5)),OR(클레임조회!$C$6="",$C1603=클레임조회!$C$6),OR(클레임조회!$C$7="",$D1603=클레임조회!$C$7),OR(클레임조회!$C$8="",$E1603=클레임조회!$C$8),OR(클레임조회!$C$9="",$F1603=클레임조회!$C$9),OR(클레임조회!$C$10="",ISNUMBER(SEARCH(클레임조회!$C$10,$C1603&amp;" "&amp;$F1603&amp;" "&amp;$G1603&amp;" "&amp;$H1603)))),COUNT(O$1:O1602)+1,"")</f>
        <v/>
      </c>
      <c r="P1603" s="0" t="str">
        <f aca="false">IF(AND(TRIM(C1603)&lt;&gt;"",COUNTIF(C$2:C1603,C1603)=1),MAX(P$1:P1602)+1,"")</f>
        <v/>
      </c>
      <c r="Q1603" s="0" t="str">
        <f aca="false">IF(AND(TRIM(F1603)&lt;&gt;"",COUNTIF(F$2:F1603,F1603)=1),MAX(Q$1:Q1602)+1,"")</f>
        <v/>
      </c>
    </row>
    <row r="1604" customFormat="false" ht="15" hidden="false" customHeight="false" outlineLevel="0" collapsed="false">
      <c r="A1604" s="9"/>
      <c r="B1604" s="10"/>
      <c r="C1604" s="11"/>
      <c r="D1604" s="11"/>
      <c r="E1604" s="11"/>
      <c r="F1604" s="11"/>
      <c r="G1604" s="12"/>
      <c r="H1604" s="12"/>
      <c r="I1604" s="10"/>
      <c r="J1604" s="12"/>
      <c r="K1604" s="13" t="str">
        <f aca="false">IF(ISNUMBER(B1604),YEAR(B1604),"")</f>
        <v/>
      </c>
      <c r="L1604" s="13" t="str">
        <f aca="false">IF(ISNUMBER(B1604),MONTH(B1604),"")</f>
        <v/>
      </c>
      <c r="M1604" s="13" t="str">
        <f aca="false">IF(AND(ISNUMBER(B1604),ISNUMBER(I1604)),B1604-I1604+1,"")</f>
        <v/>
      </c>
      <c r="N1604" s="14" t="str">
        <f aca="false">IF(B1604="","",IF(M1604="","시작일 미입력",IF(M1604&lt;1,"시작일 이전(확인)",IF(M1604=1,"1일째",IF(M1604=2,"2일째",IF(M1604=3,"3일째",IF(M1604&lt;=7,"일주일 이내",IF(M1604&lt;=14,"이주일 이내","15일 이후"))))))))</f>
        <v/>
      </c>
      <c r="O1604" s="0" t="str">
        <f aca="false">IF(AND(COUNTA($A1604:$J1604)&gt;0,OR(클레임조회!$C$4="",AND(ISNUMBER($B1604),$B1604&gt;=클레임조회!$C$4)),OR(클레임조회!$C$5="",AND(ISNUMBER($B1604),$B1604&lt;=클레임조회!$C$5)),OR(클레임조회!$C$6="",$C1604=클레임조회!$C$6),OR(클레임조회!$C$7="",$D1604=클레임조회!$C$7),OR(클레임조회!$C$8="",$E1604=클레임조회!$C$8),OR(클레임조회!$C$9="",$F1604=클레임조회!$C$9),OR(클레임조회!$C$10="",ISNUMBER(SEARCH(클레임조회!$C$10,$C1604&amp;" "&amp;$F1604&amp;" "&amp;$G1604&amp;" "&amp;$H1604)))),COUNT(O$1:O1603)+1,"")</f>
        <v/>
      </c>
      <c r="P1604" s="0" t="str">
        <f aca="false">IF(AND(TRIM(C1604)&lt;&gt;"",COUNTIF(C$2:C1604,C1604)=1),MAX(P$1:P1603)+1,"")</f>
        <v/>
      </c>
      <c r="Q1604" s="0" t="str">
        <f aca="false">IF(AND(TRIM(F1604)&lt;&gt;"",COUNTIF(F$2:F1604,F1604)=1),MAX(Q$1:Q1603)+1,"")</f>
        <v/>
      </c>
    </row>
    <row r="1605" customFormat="false" ht="15" hidden="false" customHeight="false" outlineLevel="0" collapsed="false">
      <c r="A1605" s="9"/>
      <c r="B1605" s="10"/>
      <c r="C1605" s="11"/>
      <c r="D1605" s="11"/>
      <c r="E1605" s="11"/>
      <c r="F1605" s="11"/>
      <c r="G1605" s="12"/>
      <c r="H1605" s="12"/>
      <c r="I1605" s="10"/>
      <c r="J1605" s="12"/>
      <c r="K1605" s="13" t="str">
        <f aca="false">IF(ISNUMBER(B1605),YEAR(B1605),"")</f>
        <v/>
      </c>
      <c r="L1605" s="13" t="str">
        <f aca="false">IF(ISNUMBER(B1605),MONTH(B1605),"")</f>
        <v/>
      </c>
      <c r="M1605" s="13" t="str">
        <f aca="false">IF(AND(ISNUMBER(B1605),ISNUMBER(I1605)),B1605-I1605+1,"")</f>
        <v/>
      </c>
      <c r="N1605" s="14" t="str">
        <f aca="false">IF(B1605="","",IF(M1605="","시작일 미입력",IF(M1605&lt;1,"시작일 이전(확인)",IF(M1605=1,"1일째",IF(M1605=2,"2일째",IF(M1605=3,"3일째",IF(M1605&lt;=7,"일주일 이내",IF(M1605&lt;=14,"이주일 이내","15일 이후"))))))))</f>
        <v/>
      </c>
      <c r="O1605" s="0" t="str">
        <f aca="false">IF(AND(COUNTA($A1605:$J1605)&gt;0,OR(클레임조회!$C$4="",AND(ISNUMBER($B1605),$B1605&gt;=클레임조회!$C$4)),OR(클레임조회!$C$5="",AND(ISNUMBER($B1605),$B1605&lt;=클레임조회!$C$5)),OR(클레임조회!$C$6="",$C1605=클레임조회!$C$6),OR(클레임조회!$C$7="",$D1605=클레임조회!$C$7),OR(클레임조회!$C$8="",$E1605=클레임조회!$C$8),OR(클레임조회!$C$9="",$F1605=클레임조회!$C$9),OR(클레임조회!$C$10="",ISNUMBER(SEARCH(클레임조회!$C$10,$C1605&amp;" "&amp;$F1605&amp;" "&amp;$G1605&amp;" "&amp;$H1605)))),COUNT(O$1:O1604)+1,"")</f>
        <v/>
      </c>
      <c r="P1605" s="0" t="str">
        <f aca="false">IF(AND(TRIM(C1605)&lt;&gt;"",COUNTIF(C$2:C1605,C1605)=1),MAX(P$1:P1604)+1,"")</f>
        <v/>
      </c>
      <c r="Q1605" s="0" t="str">
        <f aca="false">IF(AND(TRIM(F1605)&lt;&gt;"",COUNTIF(F$2:F1605,F1605)=1),MAX(Q$1:Q1604)+1,"")</f>
        <v/>
      </c>
    </row>
    <row r="1606" customFormat="false" ht="15" hidden="false" customHeight="false" outlineLevel="0" collapsed="false">
      <c r="A1606" s="9"/>
      <c r="B1606" s="10"/>
      <c r="C1606" s="11"/>
      <c r="D1606" s="11"/>
      <c r="E1606" s="11"/>
      <c r="F1606" s="11"/>
      <c r="G1606" s="12"/>
      <c r="H1606" s="12"/>
      <c r="I1606" s="10"/>
      <c r="J1606" s="12"/>
      <c r="K1606" s="13" t="str">
        <f aca="false">IF(ISNUMBER(B1606),YEAR(B1606),"")</f>
        <v/>
      </c>
      <c r="L1606" s="13" t="str">
        <f aca="false">IF(ISNUMBER(B1606),MONTH(B1606),"")</f>
        <v/>
      </c>
      <c r="M1606" s="13" t="str">
        <f aca="false">IF(AND(ISNUMBER(B1606),ISNUMBER(I1606)),B1606-I1606+1,"")</f>
        <v/>
      </c>
      <c r="N1606" s="14" t="str">
        <f aca="false">IF(B1606="","",IF(M1606="","시작일 미입력",IF(M1606&lt;1,"시작일 이전(확인)",IF(M1606=1,"1일째",IF(M1606=2,"2일째",IF(M1606=3,"3일째",IF(M1606&lt;=7,"일주일 이내",IF(M1606&lt;=14,"이주일 이내","15일 이후"))))))))</f>
        <v/>
      </c>
      <c r="O1606" s="0" t="str">
        <f aca="false">IF(AND(COUNTA($A1606:$J1606)&gt;0,OR(클레임조회!$C$4="",AND(ISNUMBER($B1606),$B1606&gt;=클레임조회!$C$4)),OR(클레임조회!$C$5="",AND(ISNUMBER($B1606),$B1606&lt;=클레임조회!$C$5)),OR(클레임조회!$C$6="",$C1606=클레임조회!$C$6),OR(클레임조회!$C$7="",$D1606=클레임조회!$C$7),OR(클레임조회!$C$8="",$E1606=클레임조회!$C$8),OR(클레임조회!$C$9="",$F1606=클레임조회!$C$9),OR(클레임조회!$C$10="",ISNUMBER(SEARCH(클레임조회!$C$10,$C1606&amp;" "&amp;$F1606&amp;" "&amp;$G1606&amp;" "&amp;$H1606)))),COUNT(O$1:O1605)+1,"")</f>
        <v/>
      </c>
      <c r="P1606" s="0" t="str">
        <f aca="false">IF(AND(TRIM(C1606)&lt;&gt;"",COUNTIF(C$2:C1606,C1606)=1),MAX(P$1:P1605)+1,"")</f>
        <v/>
      </c>
      <c r="Q1606" s="0" t="str">
        <f aca="false">IF(AND(TRIM(F1606)&lt;&gt;"",COUNTIF(F$2:F1606,F1606)=1),MAX(Q$1:Q1605)+1,"")</f>
        <v/>
      </c>
    </row>
    <row r="1607" customFormat="false" ht="15" hidden="false" customHeight="false" outlineLevel="0" collapsed="false">
      <c r="A1607" s="9"/>
      <c r="B1607" s="10"/>
      <c r="C1607" s="11"/>
      <c r="D1607" s="11"/>
      <c r="E1607" s="11"/>
      <c r="F1607" s="11"/>
      <c r="G1607" s="12"/>
      <c r="H1607" s="12"/>
      <c r="I1607" s="10"/>
      <c r="J1607" s="12"/>
      <c r="K1607" s="13" t="str">
        <f aca="false">IF(ISNUMBER(B1607),YEAR(B1607),"")</f>
        <v/>
      </c>
      <c r="L1607" s="13" t="str">
        <f aca="false">IF(ISNUMBER(B1607),MONTH(B1607),"")</f>
        <v/>
      </c>
      <c r="M1607" s="13" t="str">
        <f aca="false">IF(AND(ISNUMBER(B1607),ISNUMBER(I1607)),B1607-I1607+1,"")</f>
        <v/>
      </c>
      <c r="N1607" s="14" t="str">
        <f aca="false">IF(B1607="","",IF(M1607="","시작일 미입력",IF(M1607&lt;1,"시작일 이전(확인)",IF(M1607=1,"1일째",IF(M1607=2,"2일째",IF(M1607=3,"3일째",IF(M1607&lt;=7,"일주일 이내",IF(M1607&lt;=14,"이주일 이내","15일 이후"))))))))</f>
        <v/>
      </c>
      <c r="O1607" s="0" t="str">
        <f aca="false">IF(AND(COUNTA($A1607:$J1607)&gt;0,OR(클레임조회!$C$4="",AND(ISNUMBER($B1607),$B1607&gt;=클레임조회!$C$4)),OR(클레임조회!$C$5="",AND(ISNUMBER($B1607),$B1607&lt;=클레임조회!$C$5)),OR(클레임조회!$C$6="",$C1607=클레임조회!$C$6),OR(클레임조회!$C$7="",$D1607=클레임조회!$C$7),OR(클레임조회!$C$8="",$E1607=클레임조회!$C$8),OR(클레임조회!$C$9="",$F1607=클레임조회!$C$9),OR(클레임조회!$C$10="",ISNUMBER(SEARCH(클레임조회!$C$10,$C1607&amp;" "&amp;$F1607&amp;" "&amp;$G1607&amp;" "&amp;$H1607)))),COUNT(O$1:O1606)+1,"")</f>
        <v/>
      </c>
      <c r="P1607" s="0" t="str">
        <f aca="false">IF(AND(TRIM(C1607)&lt;&gt;"",COUNTIF(C$2:C1607,C1607)=1),MAX(P$1:P1606)+1,"")</f>
        <v/>
      </c>
      <c r="Q1607" s="0" t="str">
        <f aca="false">IF(AND(TRIM(F1607)&lt;&gt;"",COUNTIF(F$2:F1607,F1607)=1),MAX(Q$1:Q1606)+1,"")</f>
        <v/>
      </c>
    </row>
    <row r="1608" customFormat="false" ht="15" hidden="false" customHeight="false" outlineLevel="0" collapsed="false">
      <c r="A1608" s="9"/>
      <c r="B1608" s="10"/>
      <c r="C1608" s="11"/>
      <c r="D1608" s="11"/>
      <c r="E1608" s="11"/>
      <c r="F1608" s="11"/>
      <c r="G1608" s="12"/>
      <c r="H1608" s="12"/>
      <c r="I1608" s="10"/>
      <c r="J1608" s="12"/>
      <c r="K1608" s="13" t="str">
        <f aca="false">IF(ISNUMBER(B1608),YEAR(B1608),"")</f>
        <v/>
      </c>
      <c r="L1608" s="13" t="str">
        <f aca="false">IF(ISNUMBER(B1608),MONTH(B1608),"")</f>
        <v/>
      </c>
      <c r="M1608" s="13" t="str">
        <f aca="false">IF(AND(ISNUMBER(B1608),ISNUMBER(I1608)),B1608-I1608+1,"")</f>
        <v/>
      </c>
      <c r="N1608" s="14" t="str">
        <f aca="false">IF(B1608="","",IF(M1608="","시작일 미입력",IF(M1608&lt;1,"시작일 이전(확인)",IF(M1608=1,"1일째",IF(M1608=2,"2일째",IF(M1608=3,"3일째",IF(M1608&lt;=7,"일주일 이내",IF(M1608&lt;=14,"이주일 이내","15일 이후"))))))))</f>
        <v/>
      </c>
      <c r="O1608" s="0" t="str">
        <f aca="false">IF(AND(COUNTA($A1608:$J1608)&gt;0,OR(클레임조회!$C$4="",AND(ISNUMBER($B1608),$B1608&gt;=클레임조회!$C$4)),OR(클레임조회!$C$5="",AND(ISNUMBER($B1608),$B1608&lt;=클레임조회!$C$5)),OR(클레임조회!$C$6="",$C1608=클레임조회!$C$6),OR(클레임조회!$C$7="",$D1608=클레임조회!$C$7),OR(클레임조회!$C$8="",$E1608=클레임조회!$C$8),OR(클레임조회!$C$9="",$F1608=클레임조회!$C$9),OR(클레임조회!$C$10="",ISNUMBER(SEARCH(클레임조회!$C$10,$C1608&amp;" "&amp;$F1608&amp;" "&amp;$G1608&amp;" "&amp;$H1608)))),COUNT(O$1:O1607)+1,"")</f>
        <v/>
      </c>
      <c r="P1608" s="0" t="str">
        <f aca="false">IF(AND(TRIM(C1608)&lt;&gt;"",COUNTIF(C$2:C1608,C1608)=1),MAX(P$1:P1607)+1,"")</f>
        <v/>
      </c>
      <c r="Q1608" s="0" t="str">
        <f aca="false">IF(AND(TRIM(F1608)&lt;&gt;"",COUNTIF(F$2:F1608,F1608)=1),MAX(Q$1:Q1607)+1,"")</f>
        <v/>
      </c>
    </row>
    <row r="1609" customFormat="false" ht="15" hidden="false" customHeight="false" outlineLevel="0" collapsed="false">
      <c r="A1609" s="9"/>
      <c r="B1609" s="10"/>
      <c r="C1609" s="11"/>
      <c r="D1609" s="11"/>
      <c r="E1609" s="11"/>
      <c r="F1609" s="11"/>
      <c r="G1609" s="12"/>
      <c r="H1609" s="12"/>
      <c r="I1609" s="10"/>
      <c r="J1609" s="12"/>
      <c r="K1609" s="13" t="str">
        <f aca="false">IF(ISNUMBER(B1609),YEAR(B1609),"")</f>
        <v/>
      </c>
      <c r="L1609" s="13" t="str">
        <f aca="false">IF(ISNUMBER(B1609),MONTH(B1609),"")</f>
        <v/>
      </c>
      <c r="M1609" s="13" t="str">
        <f aca="false">IF(AND(ISNUMBER(B1609),ISNUMBER(I1609)),B1609-I1609+1,"")</f>
        <v/>
      </c>
      <c r="N1609" s="14" t="str">
        <f aca="false">IF(B1609="","",IF(M1609="","시작일 미입력",IF(M1609&lt;1,"시작일 이전(확인)",IF(M1609=1,"1일째",IF(M1609=2,"2일째",IF(M1609=3,"3일째",IF(M1609&lt;=7,"일주일 이내",IF(M1609&lt;=14,"이주일 이내","15일 이후"))))))))</f>
        <v/>
      </c>
      <c r="O1609" s="0" t="str">
        <f aca="false">IF(AND(COUNTA($A1609:$J1609)&gt;0,OR(클레임조회!$C$4="",AND(ISNUMBER($B1609),$B1609&gt;=클레임조회!$C$4)),OR(클레임조회!$C$5="",AND(ISNUMBER($B1609),$B1609&lt;=클레임조회!$C$5)),OR(클레임조회!$C$6="",$C1609=클레임조회!$C$6),OR(클레임조회!$C$7="",$D1609=클레임조회!$C$7),OR(클레임조회!$C$8="",$E1609=클레임조회!$C$8),OR(클레임조회!$C$9="",$F1609=클레임조회!$C$9),OR(클레임조회!$C$10="",ISNUMBER(SEARCH(클레임조회!$C$10,$C1609&amp;" "&amp;$F1609&amp;" "&amp;$G1609&amp;" "&amp;$H1609)))),COUNT(O$1:O1608)+1,"")</f>
        <v/>
      </c>
      <c r="P1609" s="0" t="str">
        <f aca="false">IF(AND(TRIM(C1609)&lt;&gt;"",COUNTIF(C$2:C1609,C1609)=1),MAX(P$1:P1608)+1,"")</f>
        <v/>
      </c>
      <c r="Q1609" s="0" t="str">
        <f aca="false">IF(AND(TRIM(F1609)&lt;&gt;"",COUNTIF(F$2:F1609,F1609)=1),MAX(Q$1:Q1608)+1,"")</f>
        <v/>
      </c>
    </row>
    <row r="1610" customFormat="false" ht="15" hidden="false" customHeight="false" outlineLevel="0" collapsed="false">
      <c r="A1610" s="9"/>
      <c r="B1610" s="10"/>
      <c r="C1610" s="11"/>
      <c r="D1610" s="11"/>
      <c r="E1610" s="11"/>
      <c r="F1610" s="11"/>
      <c r="G1610" s="12"/>
      <c r="H1610" s="12"/>
      <c r="I1610" s="10"/>
      <c r="J1610" s="12"/>
      <c r="K1610" s="13" t="str">
        <f aca="false">IF(ISNUMBER(B1610),YEAR(B1610),"")</f>
        <v/>
      </c>
      <c r="L1610" s="13" t="str">
        <f aca="false">IF(ISNUMBER(B1610),MONTH(B1610),"")</f>
        <v/>
      </c>
      <c r="M1610" s="13" t="str">
        <f aca="false">IF(AND(ISNUMBER(B1610),ISNUMBER(I1610)),B1610-I1610+1,"")</f>
        <v/>
      </c>
      <c r="N1610" s="14" t="str">
        <f aca="false">IF(B1610="","",IF(M1610="","시작일 미입력",IF(M1610&lt;1,"시작일 이전(확인)",IF(M1610=1,"1일째",IF(M1610=2,"2일째",IF(M1610=3,"3일째",IF(M1610&lt;=7,"일주일 이내",IF(M1610&lt;=14,"이주일 이내","15일 이후"))))))))</f>
        <v/>
      </c>
      <c r="O1610" s="0" t="str">
        <f aca="false">IF(AND(COUNTA($A1610:$J1610)&gt;0,OR(클레임조회!$C$4="",AND(ISNUMBER($B1610),$B1610&gt;=클레임조회!$C$4)),OR(클레임조회!$C$5="",AND(ISNUMBER($B1610),$B1610&lt;=클레임조회!$C$5)),OR(클레임조회!$C$6="",$C1610=클레임조회!$C$6),OR(클레임조회!$C$7="",$D1610=클레임조회!$C$7),OR(클레임조회!$C$8="",$E1610=클레임조회!$C$8),OR(클레임조회!$C$9="",$F1610=클레임조회!$C$9),OR(클레임조회!$C$10="",ISNUMBER(SEARCH(클레임조회!$C$10,$C1610&amp;" "&amp;$F1610&amp;" "&amp;$G1610&amp;" "&amp;$H1610)))),COUNT(O$1:O1609)+1,"")</f>
        <v/>
      </c>
      <c r="P1610" s="0" t="str">
        <f aca="false">IF(AND(TRIM(C1610)&lt;&gt;"",COUNTIF(C$2:C1610,C1610)=1),MAX(P$1:P1609)+1,"")</f>
        <v/>
      </c>
      <c r="Q1610" s="0" t="str">
        <f aca="false">IF(AND(TRIM(F1610)&lt;&gt;"",COUNTIF(F$2:F1610,F1610)=1),MAX(Q$1:Q1609)+1,"")</f>
        <v/>
      </c>
    </row>
    <row r="1611" customFormat="false" ht="15" hidden="false" customHeight="false" outlineLevel="0" collapsed="false">
      <c r="A1611" s="9"/>
      <c r="B1611" s="10"/>
      <c r="C1611" s="11"/>
      <c r="D1611" s="11"/>
      <c r="E1611" s="11"/>
      <c r="F1611" s="11"/>
      <c r="G1611" s="12"/>
      <c r="H1611" s="12"/>
      <c r="I1611" s="10"/>
      <c r="J1611" s="12"/>
      <c r="K1611" s="13" t="str">
        <f aca="false">IF(ISNUMBER(B1611),YEAR(B1611),"")</f>
        <v/>
      </c>
      <c r="L1611" s="13" t="str">
        <f aca="false">IF(ISNUMBER(B1611),MONTH(B1611),"")</f>
        <v/>
      </c>
      <c r="M1611" s="13" t="str">
        <f aca="false">IF(AND(ISNUMBER(B1611),ISNUMBER(I1611)),B1611-I1611+1,"")</f>
        <v/>
      </c>
      <c r="N1611" s="14" t="str">
        <f aca="false">IF(B1611="","",IF(M1611="","시작일 미입력",IF(M1611&lt;1,"시작일 이전(확인)",IF(M1611=1,"1일째",IF(M1611=2,"2일째",IF(M1611=3,"3일째",IF(M1611&lt;=7,"일주일 이내",IF(M1611&lt;=14,"이주일 이내","15일 이후"))))))))</f>
        <v/>
      </c>
      <c r="O1611" s="0" t="str">
        <f aca="false">IF(AND(COUNTA($A1611:$J1611)&gt;0,OR(클레임조회!$C$4="",AND(ISNUMBER($B1611),$B1611&gt;=클레임조회!$C$4)),OR(클레임조회!$C$5="",AND(ISNUMBER($B1611),$B1611&lt;=클레임조회!$C$5)),OR(클레임조회!$C$6="",$C1611=클레임조회!$C$6),OR(클레임조회!$C$7="",$D1611=클레임조회!$C$7),OR(클레임조회!$C$8="",$E1611=클레임조회!$C$8),OR(클레임조회!$C$9="",$F1611=클레임조회!$C$9),OR(클레임조회!$C$10="",ISNUMBER(SEARCH(클레임조회!$C$10,$C1611&amp;" "&amp;$F1611&amp;" "&amp;$G1611&amp;" "&amp;$H1611)))),COUNT(O$1:O1610)+1,"")</f>
        <v/>
      </c>
      <c r="P1611" s="0" t="str">
        <f aca="false">IF(AND(TRIM(C1611)&lt;&gt;"",COUNTIF(C$2:C1611,C1611)=1),MAX(P$1:P1610)+1,"")</f>
        <v/>
      </c>
      <c r="Q1611" s="0" t="str">
        <f aca="false">IF(AND(TRIM(F1611)&lt;&gt;"",COUNTIF(F$2:F1611,F1611)=1),MAX(Q$1:Q1610)+1,"")</f>
        <v/>
      </c>
    </row>
    <row r="1612" customFormat="false" ht="15" hidden="false" customHeight="false" outlineLevel="0" collapsed="false">
      <c r="A1612" s="9"/>
      <c r="B1612" s="10"/>
      <c r="C1612" s="11"/>
      <c r="D1612" s="11"/>
      <c r="E1612" s="11"/>
      <c r="F1612" s="11"/>
      <c r="G1612" s="12"/>
      <c r="H1612" s="12"/>
      <c r="I1612" s="10"/>
      <c r="J1612" s="12"/>
      <c r="K1612" s="13" t="str">
        <f aca="false">IF(ISNUMBER(B1612),YEAR(B1612),"")</f>
        <v/>
      </c>
      <c r="L1612" s="13" t="str">
        <f aca="false">IF(ISNUMBER(B1612),MONTH(B1612),"")</f>
        <v/>
      </c>
      <c r="M1612" s="13" t="str">
        <f aca="false">IF(AND(ISNUMBER(B1612),ISNUMBER(I1612)),B1612-I1612+1,"")</f>
        <v/>
      </c>
      <c r="N1612" s="14" t="str">
        <f aca="false">IF(B1612="","",IF(M1612="","시작일 미입력",IF(M1612&lt;1,"시작일 이전(확인)",IF(M1612=1,"1일째",IF(M1612=2,"2일째",IF(M1612=3,"3일째",IF(M1612&lt;=7,"일주일 이내",IF(M1612&lt;=14,"이주일 이내","15일 이후"))))))))</f>
        <v/>
      </c>
      <c r="O1612" s="0" t="str">
        <f aca="false">IF(AND(COUNTA($A1612:$J1612)&gt;0,OR(클레임조회!$C$4="",AND(ISNUMBER($B1612),$B1612&gt;=클레임조회!$C$4)),OR(클레임조회!$C$5="",AND(ISNUMBER($B1612),$B1612&lt;=클레임조회!$C$5)),OR(클레임조회!$C$6="",$C1612=클레임조회!$C$6),OR(클레임조회!$C$7="",$D1612=클레임조회!$C$7),OR(클레임조회!$C$8="",$E1612=클레임조회!$C$8),OR(클레임조회!$C$9="",$F1612=클레임조회!$C$9),OR(클레임조회!$C$10="",ISNUMBER(SEARCH(클레임조회!$C$10,$C1612&amp;" "&amp;$F1612&amp;" "&amp;$G1612&amp;" "&amp;$H1612)))),COUNT(O$1:O1611)+1,"")</f>
        <v/>
      </c>
      <c r="P1612" s="0" t="str">
        <f aca="false">IF(AND(TRIM(C1612)&lt;&gt;"",COUNTIF(C$2:C1612,C1612)=1),MAX(P$1:P1611)+1,"")</f>
        <v/>
      </c>
      <c r="Q1612" s="0" t="str">
        <f aca="false">IF(AND(TRIM(F1612)&lt;&gt;"",COUNTIF(F$2:F1612,F1612)=1),MAX(Q$1:Q1611)+1,"")</f>
        <v/>
      </c>
    </row>
    <row r="1613" customFormat="false" ht="15" hidden="false" customHeight="false" outlineLevel="0" collapsed="false">
      <c r="A1613" s="9"/>
      <c r="B1613" s="10"/>
      <c r="C1613" s="11"/>
      <c r="D1613" s="11"/>
      <c r="E1613" s="11"/>
      <c r="F1613" s="11"/>
      <c r="G1613" s="12"/>
      <c r="H1613" s="12"/>
      <c r="I1613" s="10"/>
      <c r="J1613" s="12"/>
      <c r="K1613" s="13" t="str">
        <f aca="false">IF(ISNUMBER(B1613),YEAR(B1613),"")</f>
        <v/>
      </c>
      <c r="L1613" s="13" t="str">
        <f aca="false">IF(ISNUMBER(B1613),MONTH(B1613),"")</f>
        <v/>
      </c>
      <c r="M1613" s="13" t="str">
        <f aca="false">IF(AND(ISNUMBER(B1613),ISNUMBER(I1613)),B1613-I1613+1,"")</f>
        <v/>
      </c>
      <c r="N1613" s="14" t="str">
        <f aca="false">IF(B1613="","",IF(M1613="","시작일 미입력",IF(M1613&lt;1,"시작일 이전(확인)",IF(M1613=1,"1일째",IF(M1613=2,"2일째",IF(M1613=3,"3일째",IF(M1613&lt;=7,"일주일 이내",IF(M1613&lt;=14,"이주일 이내","15일 이후"))))))))</f>
        <v/>
      </c>
      <c r="O1613" s="0" t="str">
        <f aca="false">IF(AND(COUNTA($A1613:$J1613)&gt;0,OR(클레임조회!$C$4="",AND(ISNUMBER($B1613),$B1613&gt;=클레임조회!$C$4)),OR(클레임조회!$C$5="",AND(ISNUMBER($B1613),$B1613&lt;=클레임조회!$C$5)),OR(클레임조회!$C$6="",$C1613=클레임조회!$C$6),OR(클레임조회!$C$7="",$D1613=클레임조회!$C$7),OR(클레임조회!$C$8="",$E1613=클레임조회!$C$8),OR(클레임조회!$C$9="",$F1613=클레임조회!$C$9),OR(클레임조회!$C$10="",ISNUMBER(SEARCH(클레임조회!$C$10,$C1613&amp;" "&amp;$F1613&amp;" "&amp;$G1613&amp;" "&amp;$H1613)))),COUNT(O$1:O1612)+1,"")</f>
        <v/>
      </c>
      <c r="P1613" s="0" t="str">
        <f aca="false">IF(AND(TRIM(C1613)&lt;&gt;"",COUNTIF(C$2:C1613,C1613)=1),MAX(P$1:P1612)+1,"")</f>
        <v/>
      </c>
      <c r="Q1613" s="0" t="str">
        <f aca="false">IF(AND(TRIM(F1613)&lt;&gt;"",COUNTIF(F$2:F1613,F1613)=1),MAX(Q$1:Q1612)+1,"")</f>
        <v/>
      </c>
    </row>
    <row r="1614" customFormat="false" ht="15" hidden="false" customHeight="false" outlineLevel="0" collapsed="false">
      <c r="A1614" s="9"/>
      <c r="B1614" s="10"/>
      <c r="C1614" s="11"/>
      <c r="D1614" s="11"/>
      <c r="E1614" s="11"/>
      <c r="F1614" s="11"/>
      <c r="G1614" s="12"/>
      <c r="H1614" s="12"/>
      <c r="I1614" s="10"/>
      <c r="J1614" s="12"/>
      <c r="K1614" s="13" t="str">
        <f aca="false">IF(ISNUMBER(B1614),YEAR(B1614),"")</f>
        <v/>
      </c>
      <c r="L1614" s="13" t="str">
        <f aca="false">IF(ISNUMBER(B1614),MONTH(B1614),"")</f>
        <v/>
      </c>
      <c r="M1614" s="13" t="str">
        <f aca="false">IF(AND(ISNUMBER(B1614),ISNUMBER(I1614)),B1614-I1614+1,"")</f>
        <v/>
      </c>
      <c r="N1614" s="14" t="str">
        <f aca="false">IF(B1614="","",IF(M1614="","시작일 미입력",IF(M1614&lt;1,"시작일 이전(확인)",IF(M1614=1,"1일째",IF(M1614=2,"2일째",IF(M1614=3,"3일째",IF(M1614&lt;=7,"일주일 이내",IF(M1614&lt;=14,"이주일 이내","15일 이후"))))))))</f>
        <v/>
      </c>
      <c r="O1614" s="0" t="str">
        <f aca="false">IF(AND(COUNTA($A1614:$J1614)&gt;0,OR(클레임조회!$C$4="",AND(ISNUMBER($B1614),$B1614&gt;=클레임조회!$C$4)),OR(클레임조회!$C$5="",AND(ISNUMBER($B1614),$B1614&lt;=클레임조회!$C$5)),OR(클레임조회!$C$6="",$C1614=클레임조회!$C$6),OR(클레임조회!$C$7="",$D1614=클레임조회!$C$7),OR(클레임조회!$C$8="",$E1614=클레임조회!$C$8),OR(클레임조회!$C$9="",$F1614=클레임조회!$C$9),OR(클레임조회!$C$10="",ISNUMBER(SEARCH(클레임조회!$C$10,$C1614&amp;" "&amp;$F1614&amp;" "&amp;$G1614&amp;" "&amp;$H1614)))),COUNT(O$1:O1613)+1,"")</f>
        <v/>
      </c>
      <c r="P1614" s="0" t="str">
        <f aca="false">IF(AND(TRIM(C1614)&lt;&gt;"",COUNTIF(C$2:C1614,C1614)=1),MAX(P$1:P1613)+1,"")</f>
        <v/>
      </c>
      <c r="Q1614" s="0" t="str">
        <f aca="false">IF(AND(TRIM(F1614)&lt;&gt;"",COUNTIF(F$2:F1614,F1614)=1),MAX(Q$1:Q1613)+1,"")</f>
        <v/>
      </c>
    </row>
    <row r="1615" customFormat="false" ht="15" hidden="false" customHeight="false" outlineLevel="0" collapsed="false">
      <c r="A1615" s="9"/>
      <c r="B1615" s="10"/>
      <c r="C1615" s="11"/>
      <c r="D1615" s="11"/>
      <c r="E1615" s="11"/>
      <c r="F1615" s="11"/>
      <c r="G1615" s="12"/>
      <c r="H1615" s="12"/>
      <c r="I1615" s="10"/>
      <c r="J1615" s="12"/>
      <c r="K1615" s="13" t="str">
        <f aca="false">IF(ISNUMBER(B1615),YEAR(B1615),"")</f>
        <v/>
      </c>
      <c r="L1615" s="13" t="str">
        <f aca="false">IF(ISNUMBER(B1615),MONTH(B1615),"")</f>
        <v/>
      </c>
      <c r="M1615" s="13" t="str">
        <f aca="false">IF(AND(ISNUMBER(B1615),ISNUMBER(I1615)),B1615-I1615+1,"")</f>
        <v/>
      </c>
      <c r="N1615" s="14" t="str">
        <f aca="false">IF(B1615="","",IF(M1615="","시작일 미입력",IF(M1615&lt;1,"시작일 이전(확인)",IF(M1615=1,"1일째",IF(M1615=2,"2일째",IF(M1615=3,"3일째",IF(M1615&lt;=7,"일주일 이내",IF(M1615&lt;=14,"이주일 이내","15일 이후"))))))))</f>
        <v/>
      </c>
      <c r="O1615" s="0" t="str">
        <f aca="false">IF(AND(COUNTA($A1615:$J1615)&gt;0,OR(클레임조회!$C$4="",AND(ISNUMBER($B1615),$B1615&gt;=클레임조회!$C$4)),OR(클레임조회!$C$5="",AND(ISNUMBER($B1615),$B1615&lt;=클레임조회!$C$5)),OR(클레임조회!$C$6="",$C1615=클레임조회!$C$6),OR(클레임조회!$C$7="",$D1615=클레임조회!$C$7),OR(클레임조회!$C$8="",$E1615=클레임조회!$C$8),OR(클레임조회!$C$9="",$F1615=클레임조회!$C$9),OR(클레임조회!$C$10="",ISNUMBER(SEARCH(클레임조회!$C$10,$C1615&amp;" "&amp;$F1615&amp;" "&amp;$G1615&amp;" "&amp;$H1615)))),COUNT(O$1:O1614)+1,"")</f>
        <v/>
      </c>
      <c r="P1615" s="0" t="str">
        <f aca="false">IF(AND(TRIM(C1615)&lt;&gt;"",COUNTIF(C$2:C1615,C1615)=1),MAX(P$1:P1614)+1,"")</f>
        <v/>
      </c>
      <c r="Q1615" s="0" t="str">
        <f aca="false">IF(AND(TRIM(F1615)&lt;&gt;"",COUNTIF(F$2:F1615,F1615)=1),MAX(Q$1:Q1614)+1,"")</f>
        <v/>
      </c>
    </row>
    <row r="1616" customFormat="false" ht="15" hidden="false" customHeight="false" outlineLevel="0" collapsed="false">
      <c r="A1616" s="9"/>
      <c r="B1616" s="10"/>
      <c r="C1616" s="11"/>
      <c r="D1616" s="11"/>
      <c r="E1616" s="11"/>
      <c r="F1616" s="11"/>
      <c r="G1616" s="12"/>
      <c r="H1616" s="12"/>
      <c r="I1616" s="10"/>
      <c r="J1616" s="12"/>
      <c r="K1616" s="13" t="str">
        <f aca="false">IF(ISNUMBER(B1616),YEAR(B1616),"")</f>
        <v/>
      </c>
      <c r="L1616" s="13" t="str">
        <f aca="false">IF(ISNUMBER(B1616),MONTH(B1616),"")</f>
        <v/>
      </c>
      <c r="M1616" s="13" t="str">
        <f aca="false">IF(AND(ISNUMBER(B1616),ISNUMBER(I1616)),B1616-I1616+1,"")</f>
        <v/>
      </c>
      <c r="N1616" s="14" t="str">
        <f aca="false">IF(B1616="","",IF(M1616="","시작일 미입력",IF(M1616&lt;1,"시작일 이전(확인)",IF(M1616=1,"1일째",IF(M1616=2,"2일째",IF(M1616=3,"3일째",IF(M1616&lt;=7,"일주일 이내",IF(M1616&lt;=14,"이주일 이내","15일 이후"))))))))</f>
        <v/>
      </c>
      <c r="O1616" s="0" t="str">
        <f aca="false">IF(AND(COUNTA($A1616:$J1616)&gt;0,OR(클레임조회!$C$4="",AND(ISNUMBER($B1616),$B1616&gt;=클레임조회!$C$4)),OR(클레임조회!$C$5="",AND(ISNUMBER($B1616),$B1616&lt;=클레임조회!$C$5)),OR(클레임조회!$C$6="",$C1616=클레임조회!$C$6),OR(클레임조회!$C$7="",$D1616=클레임조회!$C$7),OR(클레임조회!$C$8="",$E1616=클레임조회!$C$8),OR(클레임조회!$C$9="",$F1616=클레임조회!$C$9),OR(클레임조회!$C$10="",ISNUMBER(SEARCH(클레임조회!$C$10,$C1616&amp;" "&amp;$F1616&amp;" "&amp;$G1616&amp;" "&amp;$H1616)))),COUNT(O$1:O1615)+1,"")</f>
        <v/>
      </c>
      <c r="P1616" s="0" t="str">
        <f aca="false">IF(AND(TRIM(C1616)&lt;&gt;"",COUNTIF(C$2:C1616,C1616)=1),MAX(P$1:P1615)+1,"")</f>
        <v/>
      </c>
      <c r="Q1616" s="0" t="str">
        <f aca="false">IF(AND(TRIM(F1616)&lt;&gt;"",COUNTIF(F$2:F1616,F1616)=1),MAX(Q$1:Q1615)+1,"")</f>
        <v/>
      </c>
    </row>
    <row r="1617" customFormat="false" ht="15" hidden="false" customHeight="false" outlineLevel="0" collapsed="false">
      <c r="A1617" s="9"/>
      <c r="B1617" s="10"/>
      <c r="C1617" s="11"/>
      <c r="D1617" s="11"/>
      <c r="E1617" s="11"/>
      <c r="F1617" s="11"/>
      <c r="G1617" s="12"/>
      <c r="H1617" s="12"/>
      <c r="I1617" s="10"/>
      <c r="J1617" s="12"/>
      <c r="K1617" s="13" t="str">
        <f aca="false">IF(ISNUMBER(B1617),YEAR(B1617),"")</f>
        <v/>
      </c>
      <c r="L1617" s="13" t="str">
        <f aca="false">IF(ISNUMBER(B1617),MONTH(B1617),"")</f>
        <v/>
      </c>
      <c r="M1617" s="13" t="str">
        <f aca="false">IF(AND(ISNUMBER(B1617),ISNUMBER(I1617)),B1617-I1617+1,"")</f>
        <v/>
      </c>
      <c r="N1617" s="14" t="str">
        <f aca="false">IF(B1617="","",IF(M1617="","시작일 미입력",IF(M1617&lt;1,"시작일 이전(확인)",IF(M1617=1,"1일째",IF(M1617=2,"2일째",IF(M1617=3,"3일째",IF(M1617&lt;=7,"일주일 이내",IF(M1617&lt;=14,"이주일 이내","15일 이후"))))))))</f>
        <v/>
      </c>
      <c r="O1617" s="0" t="str">
        <f aca="false">IF(AND(COUNTA($A1617:$J1617)&gt;0,OR(클레임조회!$C$4="",AND(ISNUMBER($B1617),$B1617&gt;=클레임조회!$C$4)),OR(클레임조회!$C$5="",AND(ISNUMBER($B1617),$B1617&lt;=클레임조회!$C$5)),OR(클레임조회!$C$6="",$C1617=클레임조회!$C$6),OR(클레임조회!$C$7="",$D1617=클레임조회!$C$7),OR(클레임조회!$C$8="",$E1617=클레임조회!$C$8),OR(클레임조회!$C$9="",$F1617=클레임조회!$C$9),OR(클레임조회!$C$10="",ISNUMBER(SEARCH(클레임조회!$C$10,$C1617&amp;" "&amp;$F1617&amp;" "&amp;$G1617&amp;" "&amp;$H1617)))),COUNT(O$1:O1616)+1,"")</f>
        <v/>
      </c>
      <c r="P1617" s="0" t="str">
        <f aca="false">IF(AND(TRIM(C1617)&lt;&gt;"",COUNTIF(C$2:C1617,C1617)=1),MAX(P$1:P1616)+1,"")</f>
        <v/>
      </c>
      <c r="Q1617" s="0" t="str">
        <f aca="false">IF(AND(TRIM(F1617)&lt;&gt;"",COUNTIF(F$2:F1617,F1617)=1),MAX(Q$1:Q1616)+1,"")</f>
        <v/>
      </c>
    </row>
    <row r="1618" customFormat="false" ht="15" hidden="false" customHeight="false" outlineLevel="0" collapsed="false">
      <c r="A1618" s="9"/>
      <c r="B1618" s="10"/>
      <c r="C1618" s="11"/>
      <c r="D1618" s="11"/>
      <c r="E1618" s="11"/>
      <c r="F1618" s="11"/>
      <c r="G1618" s="12"/>
      <c r="H1618" s="12"/>
      <c r="I1618" s="10"/>
      <c r="J1618" s="12"/>
      <c r="K1618" s="13" t="str">
        <f aca="false">IF(ISNUMBER(B1618),YEAR(B1618),"")</f>
        <v/>
      </c>
      <c r="L1618" s="13" t="str">
        <f aca="false">IF(ISNUMBER(B1618),MONTH(B1618),"")</f>
        <v/>
      </c>
      <c r="M1618" s="13" t="str">
        <f aca="false">IF(AND(ISNUMBER(B1618),ISNUMBER(I1618)),B1618-I1618+1,"")</f>
        <v/>
      </c>
      <c r="N1618" s="14" t="str">
        <f aca="false">IF(B1618="","",IF(M1618="","시작일 미입력",IF(M1618&lt;1,"시작일 이전(확인)",IF(M1618=1,"1일째",IF(M1618=2,"2일째",IF(M1618=3,"3일째",IF(M1618&lt;=7,"일주일 이내",IF(M1618&lt;=14,"이주일 이내","15일 이후"))))))))</f>
        <v/>
      </c>
      <c r="O1618" s="0" t="str">
        <f aca="false">IF(AND(COUNTA($A1618:$J1618)&gt;0,OR(클레임조회!$C$4="",AND(ISNUMBER($B1618),$B1618&gt;=클레임조회!$C$4)),OR(클레임조회!$C$5="",AND(ISNUMBER($B1618),$B1618&lt;=클레임조회!$C$5)),OR(클레임조회!$C$6="",$C1618=클레임조회!$C$6),OR(클레임조회!$C$7="",$D1618=클레임조회!$C$7),OR(클레임조회!$C$8="",$E1618=클레임조회!$C$8),OR(클레임조회!$C$9="",$F1618=클레임조회!$C$9),OR(클레임조회!$C$10="",ISNUMBER(SEARCH(클레임조회!$C$10,$C1618&amp;" "&amp;$F1618&amp;" "&amp;$G1618&amp;" "&amp;$H1618)))),COUNT(O$1:O1617)+1,"")</f>
        <v/>
      </c>
      <c r="P1618" s="0" t="str">
        <f aca="false">IF(AND(TRIM(C1618)&lt;&gt;"",COUNTIF(C$2:C1618,C1618)=1),MAX(P$1:P1617)+1,"")</f>
        <v/>
      </c>
      <c r="Q1618" s="0" t="str">
        <f aca="false">IF(AND(TRIM(F1618)&lt;&gt;"",COUNTIF(F$2:F1618,F1618)=1),MAX(Q$1:Q1617)+1,"")</f>
        <v/>
      </c>
    </row>
    <row r="1619" customFormat="false" ht="15" hidden="false" customHeight="false" outlineLevel="0" collapsed="false">
      <c r="A1619" s="9"/>
      <c r="B1619" s="10"/>
      <c r="C1619" s="11"/>
      <c r="D1619" s="11"/>
      <c r="E1619" s="11"/>
      <c r="F1619" s="11"/>
      <c r="G1619" s="12"/>
      <c r="H1619" s="12"/>
      <c r="I1619" s="10"/>
      <c r="J1619" s="12"/>
      <c r="K1619" s="13" t="str">
        <f aca="false">IF(ISNUMBER(B1619),YEAR(B1619),"")</f>
        <v/>
      </c>
      <c r="L1619" s="13" t="str">
        <f aca="false">IF(ISNUMBER(B1619),MONTH(B1619),"")</f>
        <v/>
      </c>
      <c r="M1619" s="13" t="str">
        <f aca="false">IF(AND(ISNUMBER(B1619),ISNUMBER(I1619)),B1619-I1619+1,"")</f>
        <v/>
      </c>
      <c r="N1619" s="14" t="str">
        <f aca="false">IF(B1619="","",IF(M1619="","시작일 미입력",IF(M1619&lt;1,"시작일 이전(확인)",IF(M1619=1,"1일째",IF(M1619=2,"2일째",IF(M1619=3,"3일째",IF(M1619&lt;=7,"일주일 이내",IF(M1619&lt;=14,"이주일 이내","15일 이후"))))))))</f>
        <v/>
      </c>
      <c r="O1619" s="0" t="str">
        <f aca="false">IF(AND(COUNTA($A1619:$J1619)&gt;0,OR(클레임조회!$C$4="",AND(ISNUMBER($B1619),$B1619&gt;=클레임조회!$C$4)),OR(클레임조회!$C$5="",AND(ISNUMBER($B1619),$B1619&lt;=클레임조회!$C$5)),OR(클레임조회!$C$6="",$C1619=클레임조회!$C$6),OR(클레임조회!$C$7="",$D1619=클레임조회!$C$7),OR(클레임조회!$C$8="",$E1619=클레임조회!$C$8),OR(클레임조회!$C$9="",$F1619=클레임조회!$C$9),OR(클레임조회!$C$10="",ISNUMBER(SEARCH(클레임조회!$C$10,$C1619&amp;" "&amp;$F1619&amp;" "&amp;$G1619&amp;" "&amp;$H1619)))),COUNT(O$1:O1618)+1,"")</f>
        <v/>
      </c>
      <c r="P1619" s="0" t="str">
        <f aca="false">IF(AND(TRIM(C1619)&lt;&gt;"",COUNTIF(C$2:C1619,C1619)=1),MAX(P$1:P1618)+1,"")</f>
        <v/>
      </c>
      <c r="Q1619" s="0" t="str">
        <f aca="false">IF(AND(TRIM(F1619)&lt;&gt;"",COUNTIF(F$2:F1619,F1619)=1),MAX(Q$1:Q1618)+1,"")</f>
        <v/>
      </c>
    </row>
    <row r="1620" customFormat="false" ht="15" hidden="false" customHeight="false" outlineLevel="0" collapsed="false">
      <c r="A1620" s="9"/>
      <c r="B1620" s="10"/>
      <c r="C1620" s="11"/>
      <c r="D1620" s="11"/>
      <c r="E1620" s="11"/>
      <c r="F1620" s="11"/>
      <c r="G1620" s="12"/>
      <c r="H1620" s="12"/>
      <c r="I1620" s="10"/>
      <c r="J1620" s="12"/>
      <c r="K1620" s="13" t="str">
        <f aca="false">IF(ISNUMBER(B1620),YEAR(B1620),"")</f>
        <v/>
      </c>
      <c r="L1620" s="13" t="str">
        <f aca="false">IF(ISNUMBER(B1620),MONTH(B1620),"")</f>
        <v/>
      </c>
      <c r="M1620" s="13" t="str">
        <f aca="false">IF(AND(ISNUMBER(B1620),ISNUMBER(I1620)),B1620-I1620+1,"")</f>
        <v/>
      </c>
      <c r="N1620" s="14" t="str">
        <f aca="false">IF(B1620="","",IF(M1620="","시작일 미입력",IF(M1620&lt;1,"시작일 이전(확인)",IF(M1620=1,"1일째",IF(M1620=2,"2일째",IF(M1620=3,"3일째",IF(M1620&lt;=7,"일주일 이내",IF(M1620&lt;=14,"이주일 이내","15일 이후"))))))))</f>
        <v/>
      </c>
      <c r="O1620" s="0" t="str">
        <f aca="false">IF(AND(COUNTA($A1620:$J1620)&gt;0,OR(클레임조회!$C$4="",AND(ISNUMBER($B1620),$B1620&gt;=클레임조회!$C$4)),OR(클레임조회!$C$5="",AND(ISNUMBER($B1620),$B1620&lt;=클레임조회!$C$5)),OR(클레임조회!$C$6="",$C1620=클레임조회!$C$6),OR(클레임조회!$C$7="",$D1620=클레임조회!$C$7),OR(클레임조회!$C$8="",$E1620=클레임조회!$C$8),OR(클레임조회!$C$9="",$F1620=클레임조회!$C$9),OR(클레임조회!$C$10="",ISNUMBER(SEARCH(클레임조회!$C$10,$C1620&amp;" "&amp;$F1620&amp;" "&amp;$G1620&amp;" "&amp;$H1620)))),COUNT(O$1:O1619)+1,"")</f>
        <v/>
      </c>
      <c r="P1620" s="0" t="str">
        <f aca="false">IF(AND(TRIM(C1620)&lt;&gt;"",COUNTIF(C$2:C1620,C1620)=1),MAX(P$1:P1619)+1,"")</f>
        <v/>
      </c>
      <c r="Q1620" s="0" t="str">
        <f aca="false">IF(AND(TRIM(F1620)&lt;&gt;"",COUNTIF(F$2:F1620,F1620)=1),MAX(Q$1:Q1619)+1,"")</f>
        <v/>
      </c>
    </row>
    <row r="1621" customFormat="false" ht="15" hidden="false" customHeight="false" outlineLevel="0" collapsed="false">
      <c r="A1621" s="9"/>
      <c r="B1621" s="10"/>
      <c r="C1621" s="11"/>
      <c r="D1621" s="11"/>
      <c r="E1621" s="11"/>
      <c r="F1621" s="11"/>
      <c r="G1621" s="12"/>
      <c r="H1621" s="12"/>
      <c r="I1621" s="10"/>
      <c r="J1621" s="12"/>
      <c r="K1621" s="13" t="str">
        <f aca="false">IF(ISNUMBER(B1621),YEAR(B1621),"")</f>
        <v/>
      </c>
      <c r="L1621" s="13" t="str">
        <f aca="false">IF(ISNUMBER(B1621),MONTH(B1621),"")</f>
        <v/>
      </c>
      <c r="M1621" s="13" t="str">
        <f aca="false">IF(AND(ISNUMBER(B1621),ISNUMBER(I1621)),B1621-I1621+1,"")</f>
        <v/>
      </c>
      <c r="N1621" s="14" t="str">
        <f aca="false">IF(B1621="","",IF(M1621="","시작일 미입력",IF(M1621&lt;1,"시작일 이전(확인)",IF(M1621=1,"1일째",IF(M1621=2,"2일째",IF(M1621=3,"3일째",IF(M1621&lt;=7,"일주일 이내",IF(M1621&lt;=14,"이주일 이내","15일 이후"))))))))</f>
        <v/>
      </c>
      <c r="O1621" s="0" t="str">
        <f aca="false">IF(AND(COUNTA($A1621:$J1621)&gt;0,OR(클레임조회!$C$4="",AND(ISNUMBER($B1621),$B1621&gt;=클레임조회!$C$4)),OR(클레임조회!$C$5="",AND(ISNUMBER($B1621),$B1621&lt;=클레임조회!$C$5)),OR(클레임조회!$C$6="",$C1621=클레임조회!$C$6),OR(클레임조회!$C$7="",$D1621=클레임조회!$C$7),OR(클레임조회!$C$8="",$E1621=클레임조회!$C$8),OR(클레임조회!$C$9="",$F1621=클레임조회!$C$9),OR(클레임조회!$C$10="",ISNUMBER(SEARCH(클레임조회!$C$10,$C1621&amp;" "&amp;$F1621&amp;" "&amp;$G1621&amp;" "&amp;$H1621)))),COUNT(O$1:O1620)+1,"")</f>
        <v/>
      </c>
      <c r="P1621" s="0" t="str">
        <f aca="false">IF(AND(TRIM(C1621)&lt;&gt;"",COUNTIF(C$2:C1621,C1621)=1),MAX(P$1:P1620)+1,"")</f>
        <v/>
      </c>
      <c r="Q1621" s="0" t="str">
        <f aca="false">IF(AND(TRIM(F1621)&lt;&gt;"",COUNTIF(F$2:F1621,F1621)=1),MAX(Q$1:Q1620)+1,"")</f>
        <v/>
      </c>
    </row>
    <row r="1622" customFormat="false" ht="15" hidden="false" customHeight="false" outlineLevel="0" collapsed="false">
      <c r="A1622" s="9"/>
      <c r="B1622" s="10"/>
      <c r="C1622" s="11"/>
      <c r="D1622" s="11"/>
      <c r="E1622" s="11"/>
      <c r="F1622" s="11"/>
      <c r="G1622" s="12"/>
      <c r="H1622" s="12"/>
      <c r="I1622" s="10"/>
      <c r="J1622" s="12"/>
      <c r="K1622" s="13" t="str">
        <f aca="false">IF(ISNUMBER(B1622),YEAR(B1622),"")</f>
        <v/>
      </c>
      <c r="L1622" s="13" t="str">
        <f aca="false">IF(ISNUMBER(B1622),MONTH(B1622),"")</f>
        <v/>
      </c>
      <c r="M1622" s="13" t="str">
        <f aca="false">IF(AND(ISNUMBER(B1622),ISNUMBER(I1622)),B1622-I1622+1,"")</f>
        <v/>
      </c>
      <c r="N1622" s="14" t="str">
        <f aca="false">IF(B1622="","",IF(M1622="","시작일 미입력",IF(M1622&lt;1,"시작일 이전(확인)",IF(M1622=1,"1일째",IF(M1622=2,"2일째",IF(M1622=3,"3일째",IF(M1622&lt;=7,"일주일 이내",IF(M1622&lt;=14,"이주일 이내","15일 이후"))))))))</f>
        <v/>
      </c>
      <c r="O1622" s="0" t="str">
        <f aca="false">IF(AND(COUNTA($A1622:$J1622)&gt;0,OR(클레임조회!$C$4="",AND(ISNUMBER($B1622),$B1622&gt;=클레임조회!$C$4)),OR(클레임조회!$C$5="",AND(ISNUMBER($B1622),$B1622&lt;=클레임조회!$C$5)),OR(클레임조회!$C$6="",$C1622=클레임조회!$C$6),OR(클레임조회!$C$7="",$D1622=클레임조회!$C$7),OR(클레임조회!$C$8="",$E1622=클레임조회!$C$8),OR(클레임조회!$C$9="",$F1622=클레임조회!$C$9),OR(클레임조회!$C$10="",ISNUMBER(SEARCH(클레임조회!$C$10,$C1622&amp;" "&amp;$F1622&amp;" "&amp;$G1622&amp;" "&amp;$H1622)))),COUNT(O$1:O1621)+1,"")</f>
        <v/>
      </c>
      <c r="P1622" s="0" t="str">
        <f aca="false">IF(AND(TRIM(C1622)&lt;&gt;"",COUNTIF(C$2:C1622,C1622)=1),MAX(P$1:P1621)+1,"")</f>
        <v/>
      </c>
      <c r="Q1622" s="0" t="str">
        <f aca="false">IF(AND(TRIM(F1622)&lt;&gt;"",COUNTIF(F$2:F1622,F1622)=1),MAX(Q$1:Q1621)+1,"")</f>
        <v/>
      </c>
    </row>
    <row r="1623" customFormat="false" ht="15" hidden="false" customHeight="false" outlineLevel="0" collapsed="false">
      <c r="A1623" s="9"/>
      <c r="B1623" s="10"/>
      <c r="C1623" s="11"/>
      <c r="D1623" s="11"/>
      <c r="E1623" s="11"/>
      <c r="F1623" s="11"/>
      <c r="G1623" s="12"/>
      <c r="H1623" s="12"/>
      <c r="I1623" s="10"/>
      <c r="J1623" s="12"/>
      <c r="K1623" s="13" t="str">
        <f aca="false">IF(ISNUMBER(B1623),YEAR(B1623),"")</f>
        <v/>
      </c>
      <c r="L1623" s="13" t="str">
        <f aca="false">IF(ISNUMBER(B1623),MONTH(B1623),"")</f>
        <v/>
      </c>
      <c r="M1623" s="13" t="str">
        <f aca="false">IF(AND(ISNUMBER(B1623),ISNUMBER(I1623)),B1623-I1623+1,"")</f>
        <v/>
      </c>
      <c r="N1623" s="14" t="str">
        <f aca="false">IF(B1623="","",IF(M1623="","시작일 미입력",IF(M1623&lt;1,"시작일 이전(확인)",IF(M1623=1,"1일째",IF(M1623=2,"2일째",IF(M1623=3,"3일째",IF(M1623&lt;=7,"일주일 이내",IF(M1623&lt;=14,"이주일 이내","15일 이후"))))))))</f>
        <v/>
      </c>
      <c r="O1623" s="0" t="str">
        <f aca="false">IF(AND(COUNTA($A1623:$J1623)&gt;0,OR(클레임조회!$C$4="",AND(ISNUMBER($B1623),$B1623&gt;=클레임조회!$C$4)),OR(클레임조회!$C$5="",AND(ISNUMBER($B1623),$B1623&lt;=클레임조회!$C$5)),OR(클레임조회!$C$6="",$C1623=클레임조회!$C$6),OR(클레임조회!$C$7="",$D1623=클레임조회!$C$7),OR(클레임조회!$C$8="",$E1623=클레임조회!$C$8),OR(클레임조회!$C$9="",$F1623=클레임조회!$C$9),OR(클레임조회!$C$10="",ISNUMBER(SEARCH(클레임조회!$C$10,$C1623&amp;" "&amp;$F1623&amp;" "&amp;$G1623&amp;" "&amp;$H1623)))),COUNT(O$1:O1622)+1,"")</f>
        <v/>
      </c>
      <c r="P1623" s="0" t="str">
        <f aca="false">IF(AND(TRIM(C1623)&lt;&gt;"",COUNTIF(C$2:C1623,C1623)=1),MAX(P$1:P1622)+1,"")</f>
        <v/>
      </c>
      <c r="Q1623" s="0" t="str">
        <f aca="false">IF(AND(TRIM(F1623)&lt;&gt;"",COUNTIF(F$2:F1623,F1623)=1),MAX(Q$1:Q1622)+1,"")</f>
        <v/>
      </c>
    </row>
    <row r="1624" customFormat="false" ht="15" hidden="false" customHeight="false" outlineLevel="0" collapsed="false">
      <c r="A1624" s="9"/>
      <c r="B1624" s="10"/>
      <c r="C1624" s="11"/>
      <c r="D1624" s="11"/>
      <c r="E1624" s="11"/>
      <c r="F1624" s="11"/>
      <c r="G1624" s="12"/>
      <c r="H1624" s="12"/>
      <c r="I1624" s="10"/>
      <c r="J1624" s="12"/>
      <c r="K1624" s="13" t="str">
        <f aca="false">IF(ISNUMBER(B1624),YEAR(B1624),"")</f>
        <v/>
      </c>
      <c r="L1624" s="13" t="str">
        <f aca="false">IF(ISNUMBER(B1624),MONTH(B1624),"")</f>
        <v/>
      </c>
      <c r="M1624" s="13" t="str">
        <f aca="false">IF(AND(ISNUMBER(B1624),ISNUMBER(I1624)),B1624-I1624+1,"")</f>
        <v/>
      </c>
      <c r="N1624" s="14" t="str">
        <f aca="false">IF(B1624="","",IF(M1624="","시작일 미입력",IF(M1624&lt;1,"시작일 이전(확인)",IF(M1624=1,"1일째",IF(M1624=2,"2일째",IF(M1624=3,"3일째",IF(M1624&lt;=7,"일주일 이내",IF(M1624&lt;=14,"이주일 이내","15일 이후"))))))))</f>
        <v/>
      </c>
      <c r="O1624" s="0" t="str">
        <f aca="false">IF(AND(COUNTA($A1624:$J1624)&gt;0,OR(클레임조회!$C$4="",AND(ISNUMBER($B1624),$B1624&gt;=클레임조회!$C$4)),OR(클레임조회!$C$5="",AND(ISNUMBER($B1624),$B1624&lt;=클레임조회!$C$5)),OR(클레임조회!$C$6="",$C1624=클레임조회!$C$6),OR(클레임조회!$C$7="",$D1624=클레임조회!$C$7),OR(클레임조회!$C$8="",$E1624=클레임조회!$C$8),OR(클레임조회!$C$9="",$F1624=클레임조회!$C$9),OR(클레임조회!$C$10="",ISNUMBER(SEARCH(클레임조회!$C$10,$C1624&amp;" "&amp;$F1624&amp;" "&amp;$G1624&amp;" "&amp;$H1624)))),COUNT(O$1:O1623)+1,"")</f>
        <v/>
      </c>
      <c r="P1624" s="0" t="str">
        <f aca="false">IF(AND(TRIM(C1624)&lt;&gt;"",COUNTIF(C$2:C1624,C1624)=1),MAX(P$1:P1623)+1,"")</f>
        <v/>
      </c>
      <c r="Q1624" s="0" t="str">
        <f aca="false">IF(AND(TRIM(F1624)&lt;&gt;"",COUNTIF(F$2:F1624,F1624)=1),MAX(Q$1:Q1623)+1,"")</f>
        <v/>
      </c>
    </row>
    <row r="1625" customFormat="false" ht="15" hidden="false" customHeight="false" outlineLevel="0" collapsed="false">
      <c r="A1625" s="9"/>
      <c r="B1625" s="10"/>
      <c r="C1625" s="11"/>
      <c r="D1625" s="11"/>
      <c r="E1625" s="11"/>
      <c r="F1625" s="11"/>
      <c r="G1625" s="12"/>
      <c r="H1625" s="12"/>
      <c r="I1625" s="10"/>
      <c r="J1625" s="12"/>
      <c r="K1625" s="13" t="str">
        <f aca="false">IF(ISNUMBER(B1625),YEAR(B1625),"")</f>
        <v/>
      </c>
      <c r="L1625" s="13" t="str">
        <f aca="false">IF(ISNUMBER(B1625),MONTH(B1625),"")</f>
        <v/>
      </c>
      <c r="M1625" s="13" t="str">
        <f aca="false">IF(AND(ISNUMBER(B1625),ISNUMBER(I1625)),B1625-I1625+1,"")</f>
        <v/>
      </c>
      <c r="N1625" s="14" t="str">
        <f aca="false">IF(B1625="","",IF(M1625="","시작일 미입력",IF(M1625&lt;1,"시작일 이전(확인)",IF(M1625=1,"1일째",IF(M1625=2,"2일째",IF(M1625=3,"3일째",IF(M1625&lt;=7,"일주일 이내",IF(M1625&lt;=14,"이주일 이내","15일 이후"))))))))</f>
        <v/>
      </c>
      <c r="O1625" s="0" t="str">
        <f aca="false">IF(AND(COUNTA($A1625:$J1625)&gt;0,OR(클레임조회!$C$4="",AND(ISNUMBER($B1625),$B1625&gt;=클레임조회!$C$4)),OR(클레임조회!$C$5="",AND(ISNUMBER($B1625),$B1625&lt;=클레임조회!$C$5)),OR(클레임조회!$C$6="",$C1625=클레임조회!$C$6),OR(클레임조회!$C$7="",$D1625=클레임조회!$C$7),OR(클레임조회!$C$8="",$E1625=클레임조회!$C$8),OR(클레임조회!$C$9="",$F1625=클레임조회!$C$9),OR(클레임조회!$C$10="",ISNUMBER(SEARCH(클레임조회!$C$10,$C1625&amp;" "&amp;$F1625&amp;" "&amp;$G1625&amp;" "&amp;$H1625)))),COUNT(O$1:O1624)+1,"")</f>
        <v/>
      </c>
      <c r="P1625" s="0" t="str">
        <f aca="false">IF(AND(TRIM(C1625)&lt;&gt;"",COUNTIF(C$2:C1625,C1625)=1),MAX(P$1:P1624)+1,"")</f>
        <v/>
      </c>
      <c r="Q1625" s="0" t="str">
        <f aca="false">IF(AND(TRIM(F1625)&lt;&gt;"",COUNTIF(F$2:F1625,F1625)=1),MAX(Q$1:Q1624)+1,"")</f>
        <v/>
      </c>
    </row>
    <row r="1626" customFormat="false" ht="15" hidden="false" customHeight="false" outlineLevel="0" collapsed="false">
      <c r="A1626" s="9"/>
      <c r="B1626" s="10"/>
      <c r="C1626" s="11"/>
      <c r="D1626" s="11"/>
      <c r="E1626" s="11"/>
      <c r="F1626" s="11"/>
      <c r="G1626" s="12"/>
      <c r="H1626" s="12"/>
      <c r="I1626" s="10"/>
      <c r="J1626" s="12"/>
      <c r="K1626" s="13" t="str">
        <f aca="false">IF(ISNUMBER(B1626),YEAR(B1626),"")</f>
        <v/>
      </c>
      <c r="L1626" s="13" t="str">
        <f aca="false">IF(ISNUMBER(B1626),MONTH(B1626),"")</f>
        <v/>
      </c>
      <c r="M1626" s="13" t="str">
        <f aca="false">IF(AND(ISNUMBER(B1626),ISNUMBER(I1626)),B1626-I1626+1,"")</f>
        <v/>
      </c>
      <c r="N1626" s="14" t="str">
        <f aca="false">IF(B1626="","",IF(M1626="","시작일 미입력",IF(M1626&lt;1,"시작일 이전(확인)",IF(M1626=1,"1일째",IF(M1626=2,"2일째",IF(M1626=3,"3일째",IF(M1626&lt;=7,"일주일 이내",IF(M1626&lt;=14,"이주일 이내","15일 이후"))))))))</f>
        <v/>
      </c>
      <c r="O1626" s="0" t="str">
        <f aca="false">IF(AND(COUNTA($A1626:$J1626)&gt;0,OR(클레임조회!$C$4="",AND(ISNUMBER($B1626),$B1626&gt;=클레임조회!$C$4)),OR(클레임조회!$C$5="",AND(ISNUMBER($B1626),$B1626&lt;=클레임조회!$C$5)),OR(클레임조회!$C$6="",$C1626=클레임조회!$C$6),OR(클레임조회!$C$7="",$D1626=클레임조회!$C$7),OR(클레임조회!$C$8="",$E1626=클레임조회!$C$8),OR(클레임조회!$C$9="",$F1626=클레임조회!$C$9),OR(클레임조회!$C$10="",ISNUMBER(SEARCH(클레임조회!$C$10,$C1626&amp;" "&amp;$F1626&amp;" "&amp;$G1626&amp;" "&amp;$H1626)))),COUNT(O$1:O1625)+1,"")</f>
        <v/>
      </c>
      <c r="P1626" s="0" t="str">
        <f aca="false">IF(AND(TRIM(C1626)&lt;&gt;"",COUNTIF(C$2:C1626,C1626)=1),MAX(P$1:P1625)+1,"")</f>
        <v/>
      </c>
      <c r="Q1626" s="0" t="str">
        <f aca="false">IF(AND(TRIM(F1626)&lt;&gt;"",COUNTIF(F$2:F1626,F1626)=1),MAX(Q$1:Q1625)+1,"")</f>
        <v/>
      </c>
    </row>
    <row r="1627" customFormat="false" ht="15" hidden="false" customHeight="false" outlineLevel="0" collapsed="false">
      <c r="A1627" s="9"/>
      <c r="B1627" s="10"/>
      <c r="C1627" s="11"/>
      <c r="D1627" s="11"/>
      <c r="E1627" s="11"/>
      <c r="F1627" s="11"/>
      <c r="G1627" s="12"/>
      <c r="H1627" s="12"/>
      <c r="I1627" s="10"/>
      <c r="J1627" s="12"/>
      <c r="K1627" s="13" t="str">
        <f aca="false">IF(ISNUMBER(B1627),YEAR(B1627),"")</f>
        <v/>
      </c>
      <c r="L1627" s="13" t="str">
        <f aca="false">IF(ISNUMBER(B1627),MONTH(B1627),"")</f>
        <v/>
      </c>
      <c r="M1627" s="13" t="str">
        <f aca="false">IF(AND(ISNUMBER(B1627),ISNUMBER(I1627)),B1627-I1627+1,"")</f>
        <v/>
      </c>
      <c r="N1627" s="14" t="str">
        <f aca="false">IF(B1627="","",IF(M1627="","시작일 미입력",IF(M1627&lt;1,"시작일 이전(확인)",IF(M1627=1,"1일째",IF(M1627=2,"2일째",IF(M1627=3,"3일째",IF(M1627&lt;=7,"일주일 이내",IF(M1627&lt;=14,"이주일 이내","15일 이후"))))))))</f>
        <v/>
      </c>
      <c r="O1627" s="0" t="str">
        <f aca="false">IF(AND(COUNTA($A1627:$J1627)&gt;0,OR(클레임조회!$C$4="",AND(ISNUMBER($B1627),$B1627&gt;=클레임조회!$C$4)),OR(클레임조회!$C$5="",AND(ISNUMBER($B1627),$B1627&lt;=클레임조회!$C$5)),OR(클레임조회!$C$6="",$C1627=클레임조회!$C$6),OR(클레임조회!$C$7="",$D1627=클레임조회!$C$7),OR(클레임조회!$C$8="",$E1627=클레임조회!$C$8),OR(클레임조회!$C$9="",$F1627=클레임조회!$C$9),OR(클레임조회!$C$10="",ISNUMBER(SEARCH(클레임조회!$C$10,$C1627&amp;" "&amp;$F1627&amp;" "&amp;$G1627&amp;" "&amp;$H1627)))),COUNT(O$1:O1626)+1,"")</f>
        <v/>
      </c>
      <c r="P1627" s="0" t="str">
        <f aca="false">IF(AND(TRIM(C1627)&lt;&gt;"",COUNTIF(C$2:C1627,C1627)=1),MAX(P$1:P1626)+1,"")</f>
        <v/>
      </c>
      <c r="Q1627" s="0" t="str">
        <f aca="false">IF(AND(TRIM(F1627)&lt;&gt;"",COUNTIF(F$2:F1627,F1627)=1),MAX(Q$1:Q1626)+1,"")</f>
        <v/>
      </c>
    </row>
    <row r="1628" customFormat="false" ht="15" hidden="false" customHeight="false" outlineLevel="0" collapsed="false">
      <c r="A1628" s="9"/>
      <c r="B1628" s="10"/>
      <c r="C1628" s="11"/>
      <c r="D1628" s="11"/>
      <c r="E1628" s="11"/>
      <c r="F1628" s="11"/>
      <c r="G1628" s="12"/>
      <c r="H1628" s="12"/>
      <c r="I1628" s="10"/>
      <c r="J1628" s="12"/>
      <c r="K1628" s="13" t="str">
        <f aca="false">IF(ISNUMBER(B1628),YEAR(B1628),"")</f>
        <v/>
      </c>
      <c r="L1628" s="13" t="str">
        <f aca="false">IF(ISNUMBER(B1628),MONTH(B1628),"")</f>
        <v/>
      </c>
      <c r="M1628" s="13" t="str">
        <f aca="false">IF(AND(ISNUMBER(B1628),ISNUMBER(I1628)),B1628-I1628+1,"")</f>
        <v/>
      </c>
      <c r="N1628" s="14" t="str">
        <f aca="false">IF(B1628="","",IF(M1628="","시작일 미입력",IF(M1628&lt;1,"시작일 이전(확인)",IF(M1628=1,"1일째",IF(M1628=2,"2일째",IF(M1628=3,"3일째",IF(M1628&lt;=7,"일주일 이내",IF(M1628&lt;=14,"이주일 이내","15일 이후"))))))))</f>
        <v/>
      </c>
      <c r="O1628" s="0" t="str">
        <f aca="false">IF(AND(COUNTA($A1628:$J1628)&gt;0,OR(클레임조회!$C$4="",AND(ISNUMBER($B1628),$B1628&gt;=클레임조회!$C$4)),OR(클레임조회!$C$5="",AND(ISNUMBER($B1628),$B1628&lt;=클레임조회!$C$5)),OR(클레임조회!$C$6="",$C1628=클레임조회!$C$6),OR(클레임조회!$C$7="",$D1628=클레임조회!$C$7),OR(클레임조회!$C$8="",$E1628=클레임조회!$C$8),OR(클레임조회!$C$9="",$F1628=클레임조회!$C$9),OR(클레임조회!$C$10="",ISNUMBER(SEARCH(클레임조회!$C$10,$C1628&amp;" "&amp;$F1628&amp;" "&amp;$G1628&amp;" "&amp;$H1628)))),COUNT(O$1:O1627)+1,"")</f>
        <v/>
      </c>
      <c r="P1628" s="0" t="str">
        <f aca="false">IF(AND(TRIM(C1628)&lt;&gt;"",COUNTIF(C$2:C1628,C1628)=1),MAX(P$1:P1627)+1,"")</f>
        <v/>
      </c>
      <c r="Q1628" s="0" t="str">
        <f aca="false">IF(AND(TRIM(F1628)&lt;&gt;"",COUNTIF(F$2:F1628,F1628)=1),MAX(Q$1:Q1627)+1,"")</f>
        <v/>
      </c>
    </row>
    <row r="1629" customFormat="false" ht="15" hidden="false" customHeight="false" outlineLevel="0" collapsed="false">
      <c r="A1629" s="9"/>
      <c r="B1629" s="10"/>
      <c r="C1629" s="11"/>
      <c r="D1629" s="11"/>
      <c r="E1629" s="11"/>
      <c r="F1629" s="11"/>
      <c r="G1629" s="12"/>
      <c r="H1629" s="12"/>
      <c r="I1629" s="10"/>
      <c r="J1629" s="12"/>
      <c r="K1629" s="13" t="str">
        <f aca="false">IF(ISNUMBER(B1629),YEAR(B1629),"")</f>
        <v/>
      </c>
      <c r="L1629" s="13" t="str">
        <f aca="false">IF(ISNUMBER(B1629),MONTH(B1629),"")</f>
        <v/>
      </c>
      <c r="M1629" s="13" t="str">
        <f aca="false">IF(AND(ISNUMBER(B1629),ISNUMBER(I1629)),B1629-I1629+1,"")</f>
        <v/>
      </c>
      <c r="N1629" s="14" t="str">
        <f aca="false">IF(B1629="","",IF(M1629="","시작일 미입력",IF(M1629&lt;1,"시작일 이전(확인)",IF(M1629=1,"1일째",IF(M1629=2,"2일째",IF(M1629=3,"3일째",IF(M1629&lt;=7,"일주일 이내",IF(M1629&lt;=14,"이주일 이내","15일 이후"))))))))</f>
        <v/>
      </c>
      <c r="O1629" s="0" t="str">
        <f aca="false">IF(AND(COUNTA($A1629:$J1629)&gt;0,OR(클레임조회!$C$4="",AND(ISNUMBER($B1629),$B1629&gt;=클레임조회!$C$4)),OR(클레임조회!$C$5="",AND(ISNUMBER($B1629),$B1629&lt;=클레임조회!$C$5)),OR(클레임조회!$C$6="",$C1629=클레임조회!$C$6),OR(클레임조회!$C$7="",$D1629=클레임조회!$C$7),OR(클레임조회!$C$8="",$E1629=클레임조회!$C$8),OR(클레임조회!$C$9="",$F1629=클레임조회!$C$9),OR(클레임조회!$C$10="",ISNUMBER(SEARCH(클레임조회!$C$10,$C1629&amp;" "&amp;$F1629&amp;" "&amp;$G1629&amp;" "&amp;$H1629)))),COUNT(O$1:O1628)+1,"")</f>
        <v/>
      </c>
      <c r="P1629" s="0" t="str">
        <f aca="false">IF(AND(TRIM(C1629)&lt;&gt;"",COUNTIF(C$2:C1629,C1629)=1),MAX(P$1:P1628)+1,"")</f>
        <v/>
      </c>
      <c r="Q1629" s="0" t="str">
        <f aca="false">IF(AND(TRIM(F1629)&lt;&gt;"",COUNTIF(F$2:F1629,F1629)=1),MAX(Q$1:Q1628)+1,"")</f>
        <v/>
      </c>
    </row>
    <row r="1630" customFormat="false" ht="15" hidden="false" customHeight="false" outlineLevel="0" collapsed="false">
      <c r="A1630" s="9"/>
      <c r="B1630" s="10"/>
      <c r="C1630" s="11"/>
      <c r="D1630" s="11"/>
      <c r="E1630" s="11"/>
      <c r="F1630" s="11"/>
      <c r="G1630" s="12"/>
      <c r="H1630" s="12"/>
      <c r="I1630" s="10"/>
      <c r="J1630" s="12"/>
      <c r="K1630" s="13" t="str">
        <f aca="false">IF(ISNUMBER(B1630),YEAR(B1630),"")</f>
        <v/>
      </c>
      <c r="L1630" s="13" t="str">
        <f aca="false">IF(ISNUMBER(B1630),MONTH(B1630),"")</f>
        <v/>
      </c>
      <c r="M1630" s="13" t="str">
        <f aca="false">IF(AND(ISNUMBER(B1630),ISNUMBER(I1630)),B1630-I1630+1,"")</f>
        <v/>
      </c>
      <c r="N1630" s="14" t="str">
        <f aca="false">IF(B1630="","",IF(M1630="","시작일 미입력",IF(M1630&lt;1,"시작일 이전(확인)",IF(M1630=1,"1일째",IF(M1630=2,"2일째",IF(M1630=3,"3일째",IF(M1630&lt;=7,"일주일 이내",IF(M1630&lt;=14,"이주일 이내","15일 이후"))))))))</f>
        <v/>
      </c>
      <c r="O1630" s="0" t="str">
        <f aca="false">IF(AND(COUNTA($A1630:$J1630)&gt;0,OR(클레임조회!$C$4="",AND(ISNUMBER($B1630),$B1630&gt;=클레임조회!$C$4)),OR(클레임조회!$C$5="",AND(ISNUMBER($B1630),$B1630&lt;=클레임조회!$C$5)),OR(클레임조회!$C$6="",$C1630=클레임조회!$C$6),OR(클레임조회!$C$7="",$D1630=클레임조회!$C$7),OR(클레임조회!$C$8="",$E1630=클레임조회!$C$8),OR(클레임조회!$C$9="",$F1630=클레임조회!$C$9),OR(클레임조회!$C$10="",ISNUMBER(SEARCH(클레임조회!$C$10,$C1630&amp;" "&amp;$F1630&amp;" "&amp;$G1630&amp;" "&amp;$H1630)))),COUNT(O$1:O1629)+1,"")</f>
        <v/>
      </c>
      <c r="P1630" s="0" t="str">
        <f aca="false">IF(AND(TRIM(C1630)&lt;&gt;"",COUNTIF(C$2:C1630,C1630)=1),MAX(P$1:P1629)+1,"")</f>
        <v/>
      </c>
      <c r="Q1630" s="0" t="str">
        <f aca="false">IF(AND(TRIM(F1630)&lt;&gt;"",COUNTIF(F$2:F1630,F1630)=1),MAX(Q$1:Q1629)+1,"")</f>
        <v/>
      </c>
    </row>
    <row r="1631" customFormat="false" ht="15" hidden="false" customHeight="false" outlineLevel="0" collapsed="false">
      <c r="A1631" s="9"/>
      <c r="B1631" s="10"/>
      <c r="C1631" s="11"/>
      <c r="D1631" s="11"/>
      <c r="E1631" s="11"/>
      <c r="F1631" s="11"/>
      <c r="G1631" s="12"/>
      <c r="H1631" s="12"/>
      <c r="I1631" s="10"/>
      <c r="J1631" s="12"/>
      <c r="K1631" s="13" t="str">
        <f aca="false">IF(ISNUMBER(B1631),YEAR(B1631),"")</f>
        <v/>
      </c>
      <c r="L1631" s="13" t="str">
        <f aca="false">IF(ISNUMBER(B1631),MONTH(B1631),"")</f>
        <v/>
      </c>
      <c r="M1631" s="13" t="str">
        <f aca="false">IF(AND(ISNUMBER(B1631),ISNUMBER(I1631)),B1631-I1631+1,"")</f>
        <v/>
      </c>
      <c r="N1631" s="14" t="str">
        <f aca="false">IF(B1631="","",IF(M1631="","시작일 미입력",IF(M1631&lt;1,"시작일 이전(확인)",IF(M1631=1,"1일째",IF(M1631=2,"2일째",IF(M1631=3,"3일째",IF(M1631&lt;=7,"일주일 이내",IF(M1631&lt;=14,"이주일 이내","15일 이후"))))))))</f>
        <v/>
      </c>
      <c r="O1631" s="0" t="str">
        <f aca="false">IF(AND(COUNTA($A1631:$J1631)&gt;0,OR(클레임조회!$C$4="",AND(ISNUMBER($B1631),$B1631&gt;=클레임조회!$C$4)),OR(클레임조회!$C$5="",AND(ISNUMBER($B1631),$B1631&lt;=클레임조회!$C$5)),OR(클레임조회!$C$6="",$C1631=클레임조회!$C$6),OR(클레임조회!$C$7="",$D1631=클레임조회!$C$7),OR(클레임조회!$C$8="",$E1631=클레임조회!$C$8),OR(클레임조회!$C$9="",$F1631=클레임조회!$C$9),OR(클레임조회!$C$10="",ISNUMBER(SEARCH(클레임조회!$C$10,$C1631&amp;" "&amp;$F1631&amp;" "&amp;$G1631&amp;" "&amp;$H1631)))),COUNT(O$1:O1630)+1,"")</f>
        <v/>
      </c>
      <c r="P1631" s="0" t="str">
        <f aca="false">IF(AND(TRIM(C1631)&lt;&gt;"",COUNTIF(C$2:C1631,C1631)=1),MAX(P$1:P1630)+1,"")</f>
        <v/>
      </c>
      <c r="Q1631" s="0" t="str">
        <f aca="false">IF(AND(TRIM(F1631)&lt;&gt;"",COUNTIF(F$2:F1631,F1631)=1),MAX(Q$1:Q1630)+1,"")</f>
        <v/>
      </c>
    </row>
    <row r="1632" customFormat="false" ht="15" hidden="false" customHeight="false" outlineLevel="0" collapsed="false">
      <c r="A1632" s="9"/>
      <c r="B1632" s="10"/>
      <c r="C1632" s="11"/>
      <c r="D1632" s="11"/>
      <c r="E1632" s="11"/>
      <c r="F1632" s="11"/>
      <c r="G1632" s="12"/>
      <c r="H1632" s="12"/>
      <c r="I1632" s="10"/>
      <c r="J1632" s="12"/>
      <c r="K1632" s="13" t="str">
        <f aca="false">IF(ISNUMBER(B1632),YEAR(B1632),"")</f>
        <v/>
      </c>
      <c r="L1632" s="13" t="str">
        <f aca="false">IF(ISNUMBER(B1632),MONTH(B1632),"")</f>
        <v/>
      </c>
      <c r="M1632" s="13" t="str">
        <f aca="false">IF(AND(ISNUMBER(B1632),ISNUMBER(I1632)),B1632-I1632+1,"")</f>
        <v/>
      </c>
      <c r="N1632" s="14" t="str">
        <f aca="false">IF(B1632="","",IF(M1632="","시작일 미입력",IF(M1632&lt;1,"시작일 이전(확인)",IF(M1632=1,"1일째",IF(M1632=2,"2일째",IF(M1632=3,"3일째",IF(M1632&lt;=7,"일주일 이내",IF(M1632&lt;=14,"이주일 이내","15일 이후"))))))))</f>
        <v/>
      </c>
      <c r="O1632" s="0" t="str">
        <f aca="false">IF(AND(COUNTA($A1632:$J1632)&gt;0,OR(클레임조회!$C$4="",AND(ISNUMBER($B1632),$B1632&gt;=클레임조회!$C$4)),OR(클레임조회!$C$5="",AND(ISNUMBER($B1632),$B1632&lt;=클레임조회!$C$5)),OR(클레임조회!$C$6="",$C1632=클레임조회!$C$6),OR(클레임조회!$C$7="",$D1632=클레임조회!$C$7),OR(클레임조회!$C$8="",$E1632=클레임조회!$C$8),OR(클레임조회!$C$9="",$F1632=클레임조회!$C$9),OR(클레임조회!$C$10="",ISNUMBER(SEARCH(클레임조회!$C$10,$C1632&amp;" "&amp;$F1632&amp;" "&amp;$G1632&amp;" "&amp;$H1632)))),COUNT(O$1:O1631)+1,"")</f>
        <v/>
      </c>
      <c r="P1632" s="0" t="str">
        <f aca="false">IF(AND(TRIM(C1632)&lt;&gt;"",COUNTIF(C$2:C1632,C1632)=1),MAX(P$1:P1631)+1,"")</f>
        <v/>
      </c>
      <c r="Q1632" s="0" t="str">
        <f aca="false">IF(AND(TRIM(F1632)&lt;&gt;"",COUNTIF(F$2:F1632,F1632)=1),MAX(Q$1:Q1631)+1,"")</f>
        <v/>
      </c>
    </row>
    <row r="1633" customFormat="false" ht="15" hidden="false" customHeight="false" outlineLevel="0" collapsed="false">
      <c r="A1633" s="9"/>
      <c r="B1633" s="10"/>
      <c r="C1633" s="11"/>
      <c r="D1633" s="11"/>
      <c r="E1633" s="11"/>
      <c r="F1633" s="11"/>
      <c r="G1633" s="12"/>
      <c r="H1633" s="12"/>
      <c r="I1633" s="10"/>
      <c r="J1633" s="12"/>
      <c r="K1633" s="13" t="str">
        <f aca="false">IF(ISNUMBER(B1633),YEAR(B1633),"")</f>
        <v/>
      </c>
      <c r="L1633" s="13" t="str">
        <f aca="false">IF(ISNUMBER(B1633),MONTH(B1633),"")</f>
        <v/>
      </c>
      <c r="M1633" s="13" t="str">
        <f aca="false">IF(AND(ISNUMBER(B1633),ISNUMBER(I1633)),B1633-I1633+1,"")</f>
        <v/>
      </c>
      <c r="N1633" s="14" t="str">
        <f aca="false">IF(B1633="","",IF(M1633="","시작일 미입력",IF(M1633&lt;1,"시작일 이전(확인)",IF(M1633=1,"1일째",IF(M1633=2,"2일째",IF(M1633=3,"3일째",IF(M1633&lt;=7,"일주일 이내",IF(M1633&lt;=14,"이주일 이내","15일 이후"))))))))</f>
        <v/>
      </c>
      <c r="O1633" s="0" t="str">
        <f aca="false">IF(AND(COUNTA($A1633:$J1633)&gt;0,OR(클레임조회!$C$4="",AND(ISNUMBER($B1633),$B1633&gt;=클레임조회!$C$4)),OR(클레임조회!$C$5="",AND(ISNUMBER($B1633),$B1633&lt;=클레임조회!$C$5)),OR(클레임조회!$C$6="",$C1633=클레임조회!$C$6),OR(클레임조회!$C$7="",$D1633=클레임조회!$C$7),OR(클레임조회!$C$8="",$E1633=클레임조회!$C$8),OR(클레임조회!$C$9="",$F1633=클레임조회!$C$9),OR(클레임조회!$C$10="",ISNUMBER(SEARCH(클레임조회!$C$10,$C1633&amp;" "&amp;$F1633&amp;" "&amp;$G1633&amp;" "&amp;$H1633)))),COUNT(O$1:O1632)+1,"")</f>
        <v/>
      </c>
      <c r="P1633" s="0" t="str">
        <f aca="false">IF(AND(TRIM(C1633)&lt;&gt;"",COUNTIF(C$2:C1633,C1633)=1),MAX(P$1:P1632)+1,"")</f>
        <v/>
      </c>
      <c r="Q1633" s="0" t="str">
        <f aca="false">IF(AND(TRIM(F1633)&lt;&gt;"",COUNTIF(F$2:F1633,F1633)=1),MAX(Q$1:Q1632)+1,"")</f>
        <v/>
      </c>
    </row>
    <row r="1634" customFormat="false" ht="15" hidden="false" customHeight="false" outlineLevel="0" collapsed="false">
      <c r="A1634" s="9"/>
      <c r="B1634" s="10"/>
      <c r="C1634" s="11"/>
      <c r="D1634" s="11"/>
      <c r="E1634" s="11"/>
      <c r="F1634" s="11"/>
      <c r="G1634" s="12"/>
      <c r="H1634" s="12"/>
      <c r="I1634" s="10"/>
      <c r="J1634" s="12"/>
      <c r="K1634" s="13" t="str">
        <f aca="false">IF(ISNUMBER(B1634),YEAR(B1634),"")</f>
        <v/>
      </c>
      <c r="L1634" s="13" t="str">
        <f aca="false">IF(ISNUMBER(B1634),MONTH(B1634),"")</f>
        <v/>
      </c>
      <c r="M1634" s="13" t="str">
        <f aca="false">IF(AND(ISNUMBER(B1634),ISNUMBER(I1634)),B1634-I1634+1,"")</f>
        <v/>
      </c>
      <c r="N1634" s="14" t="str">
        <f aca="false">IF(B1634="","",IF(M1634="","시작일 미입력",IF(M1634&lt;1,"시작일 이전(확인)",IF(M1634=1,"1일째",IF(M1634=2,"2일째",IF(M1634=3,"3일째",IF(M1634&lt;=7,"일주일 이내",IF(M1634&lt;=14,"이주일 이내","15일 이후"))))))))</f>
        <v/>
      </c>
      <c r="O1634" s="0" t="str">
        <f aca="false">IF(AND(COUNTA($A1634:$J1634)&gt;0,OR(클레임조회!$C$4="",AND(ISNUMBER($B1634),$B1634&gt;=클레임조회!$C$4)),OR(클레임조회!$C$5="",AND(ISNUMBER($B1634),$B1634&lt;=클레임조회!$C$5)),OR(클레임조회!$C$6="",$C1634=클레임조회!$C$6),OR(클레임조회!$C$7="",$D1634=클레임조회!$C$7),OR(클레임조회!$C$8="",$E1634=클레임조회!$C$8),OR(클레임조회!$C$9="",$F1634=클레임조회!$C$9),OR(클레임조회!$C$10="",ISNUMBER(SEARCH(클레임조회!$C$10,$C1634&amp;" "&amp;$F1634&amp;" "&amp;$G1634&amp;" "&amp;$H1634)))),COUNT(O$1:O1633)+1,"")</f>
        <v/>
      </c>
      <c r="P1634" s="0" t="str">
        <f aca="false">IF(AND(TRIM(C1634)&lt;&gt;"",COUNTIF(C$2:C1634,C1634)=1),MAX(P$1:P1633)+1,"")</f>
        <v/>
      </c>
      <c r="Q1634" s="0" t="str">
        <f aca="false">IF(AND(TRIM(F1634)&lt;&gt;"",COUNTIF(F$2:F1634,F1634)=1),MAX(Q$1:Q1633)+1,"")</f>
        <v/>
      </c>
    </row>
    <row r="1635" customFormat="false" ht="15" hidden="false" customHeight="false" outlineLevel="0" collapsed="false">
      <c r="A1635" s="9"/>
      <c r="B1635" s="10"/>
      <c r="C1635" s="11"/>
      <c r="D1635" s="11"/>
      <c r="E1635" s="11"/>
      <c r="F1635" s="11"/>
      <c r="G1635" s="12"/>
      <c r="H1635" s="12"/>
      <c r="I1635" s="10"/>
      <c r="J1635" s="12"/>
      <c r="K1635" s="13" t="str">
        <f aca="false">IF(ISNUMBER(B1635),YEAR(B1635),"")</f>
        <v/>
      </c>
      <c r="L1635" s="13" t="str">
        <f aca="false">IF(ISNUMBER(B1635),MONTH(B1635),"")</f>
        <v/>
      </c>
      <c r="M1635" s="13" t="str">
        <f aca="false">IF(AND(ISNUMBER(B1635),ISNUMBER(I1635)),B1635-I1635+1,"")</f>
        <v/>
      </c>
      <c r="N1635" s="14" t="str">
        <f aca="false">IF(B1635="","",IF(M1635="","시작일 미입력",IF(M1635&lt;1,"시작일 이전(확인)",IF(M1635=1,"1일째",IF(M1635=2,"2일째",IF(M1635=3,"3일째",IF(M1635&lt;=7,"일주일 이내",IF(M1635&lt;=14,"이주일 이내","15일 이후"))))))))</f>
        <v/>
      </c>
      <c r="O1635" s="0" t="str">
        <f aca="false">IF(AND(COUNTA($A1635:$J1635)&gt;0,OR(클레임조회!$C$4="",AND(ISNUMBER($B1635),$B1635&gt;=클레임조회!$C$4)),OR(클레임조회!$C$5="",AND(ISNUMBER($B1635),$B1635&lt;=클레임조회!$C$5)),OR(클레임조회!$C$6="",$C1635=클레임조회!$C$6),OR(클레임조회!$C$7="",$D1635=클레임조회!$C$7),OR(클레임조회!$C$8="",$E1635=클레임조회!$C$8),OR(클레임조회!$C$9="",$F1635=클레임조회!$C$9),OR(클레임조회!$C$10="",ISNUMBER(SEARCH(클레임조회!$C$10,$C1635&amp;" "&amp;$F1635&amp;" "&amp;$G1635&amp;" "&amp;$H1635)))),COUNT(O$1:O1634)+1,"")</f>
        <v/>
      </c>
      <c r="P1635" s="0" t="str">
        <f aca="false">IF(AND(TRIM(C1635)&lt;&gt;"",COUNTIF(C$2:C1635,C1635)=1),MAX(P$1:P1634)+1,"")</f>
        <v/>
      </c>
      <c r="Q1635" s="0" t="str">
        <f aca="false">IF(AND(TRIM(F1635)&lt;&gt;"",COUNTIF(F$2:F1635,F1635)=1),MAX(Q$1:Q1634)+1,"")</f>
        <v/>
      </c>
    </row>
    <row r="1636" customFormat="false" ht="15" hidden="false" customHeight="false" outlineLevel="0" collapsed="false">
      <c r="A1636" s="9"/>
      <c r="B1636" s="10"/>
      <c r="C1636" s="11"/>
      <c r="D1636" s="11"/>
      <c r="E1636" s="11"/>
      <c r="F1636" s="11"/>
      <c r="G1636" s="12"/>
      <c r="H1636" s="12"/>
      <c r="I1636" s="10"/>
      <c r="J1636" s="12"/>
      <c r="K1636" s="13" t="str">
        <f aca="false">IF(ISNUMBER(B1636),YEAR(B1636),"")</f>
        <v/>
      </c>
      <c r="L1636" s="13" t="str">
        <f aca="false">IF(ISNUMBER(B1636),MONTH(B1636),"")</f>
        <v/>
      </c>
      <c r="M1636" s="13" t="str">
        <f aca="false">IF(AND(ISNUMBER(B1636),ISNUMBER(I1636)),B1636-I1636+1,"")</f>
        <v/>
      </c>
      <c r="N1636" s="14" t="str">
        <f aca="false">IF(B1636="","",IF(M1636="","시작일 미입력",IF(M1636&lt;1,"시작일 이전(확인)",IF(M1636=1,"1일째",IF(M1636=2,"2일째",IF(M1636=3,"3일째",IF(M1636&lt;=7,"일주일 이내",IF(M1636&lt;=14,"이주일 이내","15일 이후"))))))))</f>
        <v/>
      </c>
      <c r="O1636" s="0" t="str">
        <f aca="false">IF(AND(COUNTA($A1636:$J1636)&gt;0,OR(클레임조회!$C$4="",AND(ISNUMBER($B1636),$B1636&gt;=클레임조회!$C$4)),OR(클레임조회!$C$5="",AND(ISNUMBER($B1636),$B1636&lt;=클레임조회!$C$5)),OR(클레임조회!$C$6="",$C1636=클레임조회!$C$6),OR(클레임조회!$C$7="",$D1636=클레임조회!$C$7),OR(클레임조회!$C$8="",$E1636=클레임조회!$C$8),OR(클레임조회!$C$9="",$F1636=클레임조회!$C$9),OR(클레임조회!$C$10="",ISNUMBER(SEARCH(클레임조회!$C$10,$C1636&amp;" "&amp;$F1636&amp;" "&amp;$G1636&amp;" "&amp;$H1636)))),COUNT(O$1:O1635)+1,"")</f>
        <v/>
      </c>
      <c r="P1636" s="0" t="str">
        <f aca="false">IF(AND(TRIM(C1636)&lt;&gt;"",COUNTIF(C$2:C1636,C1636)=1),MAX(P$1:P1635)+1,"")</f>
        <v/>
      </c>
      <c r="Q1636" s="0" t="str">
        <f aca="false">IF(AND(TRIM(F1636)&lt;&gt;"",COUNTIF(F$2:F1636,F1636)=1),MAX(Q$1:Q1635)+1,"")</f>
        <v/>
      </c>
    </row>
    <row r="1637" customFormat="false" ht="15" hidden="false" customHeight="false" outlineLevel="0" collapsed="false">
      <c r="A1637" s="9"/>
      <c r="B1637" s="10"/>
      <c r="C1637" s="11"/>
      <c r="D1637" s="11"/>
      <c r="E1637" s="11"/>
      <c r="F1637" s="11"/>
      <c r="G1637" s="12"/>
      <c r="H1637" s="12"/>
      <c r="I1637" s="10"/>
      <c r="J1637" s="12"/>
      <c r="K1637" s="13" t="str">
        <f aca="false">IF(ISNUMBER(B1637),YEAR(B1637),"")</f>
        <v/>
      </c>
      <c r="L1637" s="13" t="str">
        <f aca="false">IF(ISNUMBER(B1637),MONTH(B1637),"")</f>
        <v/>
      </c>
      <c r="M1637" s="13" t="str">
        <f aca="false">IF(AND(ISNUMBER(B1637),ISNUMBER(I1637)),B1637-I1637+1,"")</f>
        <v/>
      </c>
      <c r="N1637" s="14" t="str">
        <f aca="false">IF(B1637="","",IF(M1637="","시작일 미입력",IF(M1637&lt;1,"시작일 이전(확인)",IF(M1637=1,"1일째",IF(M1637=2,"2일째",IF(M1637=3,"3일째",IF(M1637&lt;=7,"일주일 이내",IF(M1637&lt;=14,"이주일 이내","15일 이후"))))))))</f>
        <v/>
      </c>
      <c r="O1637" s="0" t="str">
        <f aca="false">IF(AND(COUNTA($A1637:$J1637)&gt;0,OR(클레임조회!$C$4="",AND(ISNUMBER($B1637),$B1637&gt;=클레임조회!$C$4)),OR(클레임조회!$C$5="",AND(ISNUMBER($B1637),$B1637&lt;=클레임조회!$C$5)),OR(클레임조회!$C$6="",$C1637=클레임조회!$C$6),OR(클레임조회!$C$7="",$D1637=클레임조회!$C$7),OR(클레임조회!$C$8="",$E1637=클레임조회!$C$8),OR(클레임조회!$C$9="",$F1637=클레임조회!$C$9),OR(클레임조회!$C$10="",ISNUMBER(SEARCH(클레임조회!$C$10,$C1637&amp;" "&amp;$F1637&amp;" "&amp;$G1637&amp;" "&amp;$H1637)))),COUNT(O$1:O1636)+1,"")</f>
        <v/>
      </c>
      <c r="P1637" s="0" t="str">
        <f aca="false">IF(AND(TRIM(C1637)&lt;&gt;"",COUNTIF(C$2:C1637,C1637)=1),MAX(P$1:P1636)+1,"")</f>
        <v/>
      </c>
      <c r="Q1637" s="0" t="str">
        <f aca="false">IF(AND(TRIM(F1637)&lt;&gt;"",COUNTIF(F$2:F1637,F1637)=1),MAX(Q$1:Q1636)+1,"")</f>
        <v/>
      </c>
    </row>
    <row r="1638" customFormat="false" ht="15" hidden="false" customHeight="false" outlineLevel="0" collapsed="false">
      <c r="A1638" s="9"/>
      <c r="B1638" s="10"/>
      <c r="C1638" s="11"/>
      <c r="D1638" s="11"/>
      <c r="E1638" s="11"/>
      <c r="F1638" s="11"/>
      <c r="G1638" s="12"/>
      <c r="H1638" s="12"/>
      <c r="I1638" s="10"/>
      <c r="J1638" s="12"/>
      <c r="K1638" s="13" t="str">
        <f aca="false">IF(ISNUMBER(B1638),YEAR(B1638),"")</f>
        <v/>
      </c>
      <c r="L1638" s="13" t="str">
        <f aca="false">IF(ISNUMBER(B1638),MONTH(B1638),"")</f>
        <v/>
      </c>
      <c r="M1638" s="13" t="str">
        <f aca="false">IF(AND(ISNUMBER(B1638),ISNUMBER(I1638)),B1638-I1638+1,"")</f>
        <v/>
      </c>
      <c r="N1638" s="14" t="str">
        <f aca="false">IF(B1638="","",IF(M1638="","시작일 미입력",IF(M1638&lt;1,"시작일 이전(확인)",IF(M1638=1,"1일째",IF(M1638=2,"2일째",IF(M1638=3,"3일째",IF(M1638&lt;=7,"일주일 이내",IF(M1638&lt;=14,"이주일 이내","15일 이후"))))))))</f>
        <v/>
      </c>
      <c r="O1638" s="0" t="str">
        <f aca="false">IF(AND(COUNTA($A1638:$J1638)&gt;0,OR(클레임조회!$C$4="",AND(ISNUMBER($B1638),$B1638&gt;=클레임조회!$C$4)),OR(클레임조회!$C$5="",AND(ISNUMBER($B1638),$B1638&lt;=클레임조회!$C$5)),OR(클레임조회!$C$6="",$C1638=클레임조회!$C$6),OR(클레임조회!$C$7="",$D1638=클레임조회!$C$7),OR(클레임조회!$C$8="",$E1638=클레임조회!$C$8),OR(클레임조회!$C$9="",$F1638=클레임조회!$C$9),OR(클레임조회!$C$10="",ISNUMBER(SEARCH(클레임조회!$C$10,$C1638&amp;" "&amp;$F1638&amp;" "&amp;$G1638&amp;" "&amp;$H1638)))),COUNT(O$1:O1637)+1,"")</f>
        <v/>
      </c>
      <c r="P1638" s="0" t="str">
        <f aca="false">IF(AND(TRIM(C1638)&lt;&gt;"",COUNTIF(C$2:C1638,C1638)=1),MAX(P$1:P1637)+1,"")</f>
        <v/>
      </c>
      <c r="Q1638" s="0" t="str">
        <f aca="false">IF(AND(TRIM(F1638)&lt;&gt;"",COUNTIF(F$2:F1638,F1638)=1),MAX(Q$1:Q1637)+1,"")</f>
        <v/>
      </c>
    </row>
    <row r="1639" customFormat="false" ht="15" hidden="false" customHeight="false" outlineLevel="0" collapsed="false">
      <c r="A1639" s="9"/>
      <c r="B1639" s="10"/>
      <c r="C1639" s="11"/>
      <c r="D1639" s="11"/>
      <c r="E1639" s="11"/>
      <c r="F1639" s="11"/>
      <c r="G1639" s="12"/>
      <c r="H1639" s="12"/>
      <c r="I1639" s="10"/>
      <c r="J1639" s="12"/>
      <c r="K1639" s="13" t="str">
        <f aca="false">IF(ISNUMBER(B1639),YEAR(B1639),"")</f>
        <v/>
      </c>
      <c r="L1639" s="13" t="str">
        <f aca="false">IF(ISNUMBER(B1639),MONTH(B1639),"")</f>
        <v/>
      </c>
      <c r="M1639" s="13" t="str">
        <f aca="false">IF(AND(ISNUMBER(B1639),ISNUMBER(I1639)),B1639-I1639+1,"")</f>
        <v/>
      </c>
      <c r="N1639" s="14" t="str">
        <f aca="false">IF(B1639="","",IF(M1639="","시작일 미입력",IF(M1639&lt;1,"시작일 이전(확인)",IF(M1639=1,"1일째",IF(M1639=2,"2일째",IF(M1639=3,"3일째",IF(M1639&lt;=7,"일주일 이내",IF(M1639&lt;=14,"이주일 이내","15일 이후"))))))))</f>
        <v/>
      </c>
      <c r="O1639" s="0" t="str">
        <f aca="false">IF(AND(COUNTA($A1639:$J1639)&gt;0,OR(클레임조회!$C$4="",AND(ISNUMBER($B1639),$B1639&gt;=클레임조회!$C$4)),OR(클레임조회!$C$5="",AND(ISNUMBER($B1639),$B1639&lt;=클레임조회!$C$5)),OR(클레임조회!$C$6="",$C1639=클레임조회!$C$6),OR(클레임조회!$C$7="",$D1639=클레임조회!$C$7),OR(클레임조회!$C$8="",$E1639=클레임조회!$C$8),OR(클레임조회!$C$9="",$F1639=클레임조회!$C$9),OR(클레임조회!$C$10="",ISNUMBER(SEARCH(클레임조회!$C$10,$C1639&amp;" "&amp;$F1639&amp;" "&amp;$G1639&amp;" "&amp;$H1639)))),COUNT(O$1:O1638)+1,"")</f>
        <v/>
      </c>
      <c r="P1639" s="0" t="str">
        <f aca="false">IF(AND(TRIM(C1639)&lt;&gt;"",COUNTIF(C$2:C1639,C1639)=1),MAX(P$1:P1638)+1,"")</f>
        <v/>
      </c>
      <c r="Q1639" s="0" t="str">
        <f aca="false">IF(AND(TRIM(F1639)&lt;&gt;"",COUNTIF(F$2:F1639,F1639)=1),MAX(Q$1:Q1638)+1,"")</f>
        <v/>
      </c>
    </row>
    <row r="1640" customFormat="false" ht="15" hidden="false" customHeight="false" outlineLevel="0" collapsed="false">
      <c r="A1640" s="9"/>
      <c r="B1640" s="10"/>
      <c r="C1640" s="11"/>
      <c r="D1640" s="11"/>
      <c r="E1640" s="11"/>
      <c r="F1640" s="11"/>
      <c r="G1640" s="12"/>
      <c r="H1640" s="12"/>
      <c r="I1640" s="10"/>
      <c r="J1640" s="12"/>
      <c r="K1640" s="13" t="str">
        <f aca="false">IF(ISNUMBER(B1640),YEAR(B1640),"")</f>
        <v/>
      </c>
      <c r="L1640" s="13" t="str">
        <f aca="false">IF(ISNUMBER(B1640),MONTH(B1640),"")</f>
        <v/>
      </c>
      <c r="M1640" s="13" t="str">
        <f aca="false">IF(AND(ISNUMBER(B1640),ISNUMBER(I1640)),B1640-I1640+1,"")</f>
        <v/>
      </c>
      <c r="N1640" s="14" t="str">
        <f aca="false">IF(B1640="","",IF(M1640="","시작일 미입력",IF(M1640&lt;1,"시작일 이전(확인)",IF(M1640=1,"1일째",IF(M1640=2,"2일째",IF(M1640=3,"3일째",IF(M1640&lt;=7,"일주일 이내",IF(M1640&lt;=14,"이주일 이내","15일 이후"))))))))</f>
        <v/>
      </c>
      <c r="O1640" s="0" t="str">
        <f aca="false">IF(AND(COUNTA($A1640:$J1640)&gt;0,OR(클레임조회!$C$4="",AND(ISNUMBER($B1640),$B1640&gt;=클레임조회!$C$4)),OR(클레임조회!$C$5="",AND(ISNUMBER($B1640),$B1640&lt;=클레임조회!$C$5)),OR(클레임조회!$C$6="",$C1640=클레임조회!$C$6),OR(클레임조회!$C$7="",$D1640=클레임조회!$C$7),OR(클레임조회!$C$8="",$E1640=클레임조회!$C$8),OR(클레임조회!$C$9="",$F1640=클레임조회!$C$9),OR(클레임조회!$C$10="",ISNUMBER(SEARCH(클레임조회!$C$10,$C1640&amp;" "&amp;$F1640&amp;" "&amp;$G1640&amp;" "&amp;$H1640)))),COUNT(O$1:O1639)+1,"")</f>
        <v/>
      </c>
      <c r="P1640" s="0" t="str">
        <f aca="false">IF(AND(TRIM(C1640)&lt;&gt;"",COUNTIF(C$2:C1640,C1640)=1),MAX(P$1:P1639)+1,"")</f>
        <v/>
      </c>
      <c r="Q1640" s="0" t="str">
        <f aca="false">IF(AND(TRIM(F1640)&lt;&gt;"",COUNTIF(F$2:F1640,F1640)=1),MAX(Q$1:Q1639)+1,"")</f>
        <v/>
      </c>
    </row>
    <row r="1641" customFormat="false" ht="15" hidden="false" customHeight="false" outlineLevel="0" collapsed="false">
      <c r="A1641" s="9"/>
      <c r="B1641" s="10"/>
      <c r="C1641" s="11"/>
      <c r="D1641" s="11"/>
      <c r="E1641" s="11"/>
      <c r="F1641" s="11"/>
      <c r="G1641" s="12"/>
      <c r="H1641" s="12"/>
      <c r="I1641" s="10"/>
      <c r="J1641" s="12"/>
      <c r="K1641" s="13" t="str">
        <f aca="false">IF(ISNUMBER(B1641),YEAR(B1641),"")</f>
        <v/>
      </c>
      <c r="L1641" s="13" t="str">
        <f aca="false">IF(ISNUMBER(B1641),MONTH(B1641),"")</f>
        <v/>
      </c>
      <c r="M1641" s="13" t="str">
        <f aca="false">IF(AND(ISNUMBER(B1641),ISNUMBER(I1641)),B1641-I1641+1,"")</f>
        <v/>
      </c>
      <c r="N1641" s="14" t="str">
        <f aca="false">IF(B1641="","",IF(M1641="","시작일 미입력",IF(M1641&lt;1,"시작일 이전(확인)",IF(M1641=1,"1일째",IF(M1641=2,"2일째",IF(M1641=3,"3일째",IF(M1641&lt;=7,"일주일 이내",IF(M1641&lt;=14,"이주일 이내","15일 이후"))))))))</f>
        <v/>
      </c>
      <c r="O1641" s="0" t="str">
        <f aca="false">IF(AND(COUNTA($A1641:$J1641)&gt;0,OR(클레임조회!$C$4="",AND(ISNUMBER($B1641),$B1641&gt;=클레임조회!$C$4)),OR(클레임조회!$C$5="",AND(ISNUMBER($B1641),$B1641&lt;=클레임조회!$C$5)),OR(클레임조회!$C$6="",$C1641=클레임조회!$C$6),OR(클레임조회!$C$7="",$D1641=클레임조회!$C$7),OR(클레임조회!$C$8="",$E1641=클레임조회!$C$8),OR(클레임조회!$C$9="",$F1641=클레임조회!$C$9),OR(클레임조회!$C$10="",ISNUMBER(SEARCH(클레임조회!$C$10,$C1641&amp;" "&amp;$F1641&amp;" "&amp;$G1641&amp;" "&amp;$H1641)))),COUNT(O$1:O1640)+1,"")</f>
        <v/>
      </c>
      <c r="P1641" s="0" t="str">
        <f aca="false">IF(AND(TRIM(C1641)&lt;&gt;"",COUNTIF(C$2:C1641,C1641)=1),MAX(P$1:P1640)+1,"")</f>
        <v/>
      </c>
      <c r="Q1641" s="0" t="str">
        <f aca="false">IF(AND(TRIM(F1641)&lt;&gt;"",COUNTIF(F$2:F1641,F1641)=1),MAX(Q$1:Q1640)+1,"")</f>
        <v/>
      </c>
    </row>
    <row r="1642" customFormat="false" ht="15" hidden="false" customHeight="false" outlineLevel="0" collapsed="false">
      <c r="A1642" s="9"/>
      <c r="B1642" s="10"/>
      <c r="C1642" s="11"/>
      <c r="D1642" s="11"/>
      <c r="E1642" s="11"/>
      <c r="F1642" s="11"/>
      <c r="G1642" s="12"/>
      <c r="H1642" s="12"/>
      <c r="I1642" s="10"/>
      <c r="J1642" s="12"/>
      <c r="K1642" s="13" t="str">
        <f aca="false">IF(ISNUMBER(B1642),YEAR(B1642),"")</f>
        <v/>
      </c>
      <c r="L1642" s="13" t="str">
        <f aca="false">IF(ISNUMBER(B1642),MONTH(B1642),"")</f>
        <v/>
      </c>
      <c r="M1642" s="13" t="str">
        <f aca="false">IF(AND(ISNUMBER(B1642),ISNUMBER(I1642)),B1642-I1642+1,"")</f>
        <v/>
      </c>
      <c r="N1642" s="14" t="str">
        <f aca="false">IF(B1642="","",IF(M1642="","시작일 미입력",IF(M1642&lt;1,"시작일 이전(확인)",IF(M1642=1,"1일째",IF(M1642=2,"2일째",IF(M1642=3,"3일째",IF(M1642&lt;=7,"일주일 이내",IF(M1642&lt;=14,"이주일 이내","15일 이후"))))))))</f>
        <v/>
      </c>
      <c r="O1642" s="0" t="str">
        <f aca="false">IF(AND(COUNTA($A1642:$J1642)&gt;0,OR(클레임조회!$C$4="",AND(ISNUMBER($B1642),$B1642&gt;=클레임조회!$C$4)),OR(클레임조회!$C$5="",AND(ISNUMBER($B1642),$B1642&lt;=클레임조회!$C$5)),OR(클레임조회!$C$6="",$C1642=클레임조회!$C$6),OR(클레임조회!$C$7="",$D1642=클레임조회!$C$7),OR(클레임조회!$C$8="",$E1642=클레임조회!$C$8),OR(클레임조회!$C$9="",$F1642=클레임조회!$C$9),OR(클레임조회!$C$10="",ISNUMBER(SEARCH(클레임조회!$C$10,$C1642&amp;" "&amp;$F1642&amp;" "&amp;$G1642&amp;" "&amp;$H1642)))),COUNT(O$1:O1641)+1,"")</f>
        <v/>
      </c>
      <c r="P1642" s="0" t="str">
        <f aca="false">IF(AND(TRIM(C1642)&lt;&gt;"",COUNTIF(C$2:C1642,C1642)=1),MAX(P$1:P1641)+1,"")</f>
        <v/>
      </c>
      <c r="Q1642" s="0" t="str">
        <f aca="false">IF(AND(TRIM(F1642)&lt;&gt;"",COUNTIF(F$2:F1642,F1642)=1),MAX(Q$1:Q1641)+1,"")</f>
        <v/>
      </c>
    </row>
    <row r="1643" customFormat="false" ht="15" hidden="false" customHeight="false" outlineLevel="0" collapsed="false">
      <c r="A1643" s="9"/>
      <c r="B1643" s="10"/>
      <c r="C1643" s="11"/>
      <c r="D1643" s="11"/>
      <c r="E1643" s="11"/>
      <c r="F1643" s="11"/>
      <c r="G1643" s="12"/>
      <c r="H1643" s="12"/>
      <c r="I1643" s="10"/>
      <c r="J1643" s="12"/>
      <c r="K1643" s="13" t="str">
        <f aca="false">IF(ISNUMBER(B1643),YEAR(B1643),"")</f>
        <v/>
      </c>
      <c r="L1643" s="13" t="str">
        <f aca="false">IF(ISNUMBER(B1643),MONTH(B1643),"")</f>
        <v/>
      </c>
      <c r="M1643" s="13" t="str">
        <f aca="false">IF(AND(ISNUMBER(B1643),ISNUMBER(I1643)),B1643-I1643+1,"")</f>
        <v/>
      </c>
      <c r="N1643" s="14" t="str">
        <f aca="false">IF(B1643="","",IF(M1643="","시작일 미입력",IF(M1643&lt;1,"시작일 이전(확인)",IF(M1643=1,"1일째",IF(M1643=2,"2일째",IF(M1643=3,"3일째",IF(M1643&lt;=7,"일주일 이내",IF(M1643&lt;=14,"이주일 이내","15일 이후"))))))))</f>
        <v/>
      </c>
      <c r="O1643" s="0" t="str">
        <f aca="false">IF(AND(COUNTA($A1643:$J1643)&gt;0,OR(클레임조회!$C$4="",AND(ISNUMBER($B1643),$B1643&gt;=클레임조회!$C$4)),OR(클레임조회!$C$5="",AND(ISNUMBER($B1643),$B1643&lt;=클레임조회!$C$5)),OR(클레임조회!$C$6="",$C1643=클레임조회!$C$6),OR(클레임조회!$C$7="",$D1643=클레임조회!$C$7),OR(클레임조회!$C$8="",$E1643=클레임조회!$C$8),OR(클레임조회!$C$9="",$F1643=클레임조회!$C$9),OR(클레임조회!$C$10="",ISNUMBER(SEARCH(클레임조회!$C$10,$C1643&amp;" "&amp;$F1643&amp;" "&amp;$G1643&amp;" "&amp;$H1643)))),COUNT(O$1:O1642)+1,"")</f>
        <v/>
      </c>
      <c r="P1643" s="0" t="str">
        <f aca="false">IF(AND(TRIM(C1643)&lt;&gt;"",COUNTIF(C$2:C1643,C1643)=1),MAX(P$1:P1642)+1,"")</f>
        <v/>
      </c>
      <c r="Q1643" s="0" t="str">
        <f aca="false">IF(AND(TRIM(F1643)&lt;&gt;"",COUNTIF(F$2:F1643,F1643)=1),MAX(Q$1:Q1642)+1,"")</f>
        <v/>
      </c>
    </row>
    <row r="1644" customFormat="false" ht="15" hidden="false" customHeight="false" outlineLevel="0" collapsed="false">
      <c r="A1644" s="9"/>
      <c r="B1644" s="10"/>
      <c r="C1644" s="11"/>
      <c r="D1644" s="11"/>
      <c r="E1644" s="11"/>
      <c r="F1644" s="11"/>
      <c r="G1644" s="12"/>
      <c r="H1644" s="12"/>
      <c r="I1644" s="10"/>
      <c r="J1644" s="12"/>
      <c r="K1644" s="13" t="str">
        <f aca="false">IF(ISNUMBER(B1644),YEAR(B1644),"")</f>
        <v/>
      </c>
      <c r="L1644" s="13" t="str">
        <f aca="false">IF(ISNUMBER(B1644),MONTH(B1644),"")</f>
        <v/>
      </c>
      <c r="M1644" s="13" t="str">
        <f aca="false">IF(AND(ISNUMBER(B1644),ISNUMBER(I1644)),B1644-I1644+1,"")</f>
        <v/>
      </c>
      <c r="N1644" s="14" t="str">
        <f aca="false">IF(B1644="","",IF(M1644="","시작일 미입력",IF(M1644&lt;1,"시작일 이전(확인)",IF(M1644=1,"1일째",IF(M1644=2,"2일째",IF(M1644=3,"3일째",IF(M1644&lt;=7,"일주일 이내",IF(M1644&lt;=14,"이주일 이내","15일 이후"))))))))</f>
        <v/>
      </c>
      <c r="O1644" s="0" t="str">
        <f aca="false">IF(AND(COUNTA($A1644:$J1644)&gt;0,OR(클레임조회!$C$4="",AND(ISNUMBER($B1644),$B1644&gt;=클레임조회!$C$4)),OR(클레임조회!$C$5="",AND(ISNUMBER($B1644),$B1644&lt;=클레임조회!$C$5)),OR(클레임조회!$C$6="",$C1644=클레임조회!$C$6),OR(클레임조회!$C$7="",$D1644=클레임조회!$C$7),OR(클레임조회!$C$8="",$E1644=클레임조회!$C$8),OR(클레임조회!$C$9="",$F1644=클레임조회!$C$9),OR(클레임조회!$C$10="",ISNUMBER(SEARCH(클레임조회!$C$10,$C1644&amp;" "&amp;$F1644&amp;" "&amp;$G1644&amp;" "&amp;$H1644)))),COUNT(O$1:O1643)+1,"")</f>
        <v/>
      </c>
      <c r="P1644" s="0" t="str">
        <f aca="false">IF(AND(TRIM(C1644)&lt;&gt;"",COUNTIF(C$2:C1644,C1644)=1),MAX(P$1:P1643)+1,"")</f>
        <v/>
      </c>
      <c r="Q1644" s="0" t="str">
        <f aca="false">IF(AND(TRIM(F1644)&lt;&gt;"",COUNTIF(F$2:F1644,F1644)=1),MAX(Q$1:Q1643)+1,"")</f>
        <v/>
      </c>
    </row>
    <row r="1645" customFormat="false" ht="15" hidden="false" customHeight="false" outlineLevel="0" collapsed="false">
      <c r="A1645" s="9"/>
      <c r="B1645" s="10"/>
      <c r="C1645" s="11"/>
      <c r="D1645" s="11"/>
      <c r="E1645" s="11"/>
      <c r="F1645" s="11"/>
      <c r="G1645" s="12"/>
      <c r="H1645" s="12"/>
      <c r="I1645" s="10"/>
      <c r="J1645" s="12"/>
      <c r="K1645" s="13" t="str">
        <f aca="false">IF(ISNUMBER(B1645),YEAR(B1645),"")</f>
        <v/>
      </c>
      <c r="L1645" s="13" t="str">
        <f aca="false">IF(ISNUMBER(B1645),MONTH(B1645),"")</f>
        <v/>
      </c>
      <c r="M1645" s="13" t="str">
        <f aca="false">IF(AND(ISNUMBER(B1645),ISNUMBER(I1645)),B1645-I1645+1,"")</f>
        <v/>
      </c>
      <c r="N1645" s="14" t="str">
        <f aca="false">IF(B1645="","",IF(M1645="","시작일 미입력",IF(M1645&lt;1,"시작일 이전(확인)",IF(M1645=1,"1일째",IF(M1645=2,"2일째",IF(M1645=3,"3일째",IF(M1645&lt;=7,"일주일 이내",IF(M1645&lt;=14,"이주일 이내","15일 이후"))))))))</f>
        <v/>
      </c>
      <c r="O1645" s="0" t="str">
        <f aca="false">IF(AND(COUNTA($A1645:$J1645)&gt;0,OR(클레임조회!$C$4="",AND(ISNUMBER($B1645),$B1645&gt;=클레임조회!$C$4)),OR(클레임조회!$C$5="",AND(ISNUMBER($B1645),$B1645&lt;=클레임조회!$C$5)),OR(클레임조회!$C$6="",$C1645=클레임조회!$C$6),OR(클레임조회!$C$7="",$D1645=클레임조회!$C$7),OR(클레임조회!$C$8="",$E1645=클레임조회!$C$8),OR(클레임조회!$C$9="",$F1645=클레임조회!$C$9),OR(클레임조회!$C$10="",ISNUMBER(SEARCH(클레임조회!$C$10,$C1645&amp;" "&amp;$F1645&amp;" "&amp;$G1645&amp;" "&amp;$H1645)))),COUNT(O$1:O1644)+1,"")</f>
        <v/>
      </c>
      <c r="P1645" s="0" t="str">
        <f aca="false">IF(AND(TRIM(C1645)&lt;&gt;"",COUNTIF(C$2:C1645,C1645)=1),MAX(P$1:P1644)+1,"")</f>
        <v/>
      </c>
      <c r="Q1645" s="0" t="str">
        <f aca="false">IF(AND(TRIM(F1645)&lt;&gt;"",COUNTIF(F$2:F1645,F1645)=1),MAX(Q$1:Q1644)+1,"")</f>
        <v/>
      </c>
    </row>
    <row r="1646" customFormat="false" ht="15" hidden="false" customHeight="false" outlineLevel="0" collapsed="false">
      <c r="A1646" s="9"/>
      <c r="B1646" s="10"/>
      <c r="C1646" s="11"/>
      <c r="D1646" s="11"/>
      <c r="E1646" s="11"/>
      <c r="F1646" s="11"/>
      <c r="G1646" s="12"/>
      <c r="H1646" s="12"/>
      <c r="I1646" s="10"/>
      <c r="J1646" s="12"/>
      <c r="K1646" s="13" t="str">
        <f aca="false">IF(ISNUMBER(B1646),YEAR(B1646),"")</f>
        <v/>
      </c>
      <c r="L1646" s="13" t="str">
        <f aca="false">IF(ISNUMBER(B1646),MONTH(B1646),"")</f>
        <v/>
      </c>
      <c r="M1646" s="13" t="str">
        <f aca="false">IF(AND(ISNUMBER(B1646),ISNUMBER(I1646)),B1646-I1646+1,"")</f>
        <v/>
      </c>
      <c r="N1646" s="14" t="str">
        <f aca="false">IF(B1646="","",IF(M1646="","시작일 미입력",IF(M1646&lt;1,"시작일 이전(확인)",IF(M1646=1,"1일째",IF(M1646=2,"2일째",IF(M1646=3,"3일째",IF(M1646&lt;=7,"일주일 이내",IF(M1646&lt;=14,"이주일 이내","15일 이후"))))))))</f>
        <v/>
      </c>
      <c r="O1646" s="0" t="str">
        <f aca="false">IF(AND(COUNTA($A1646:$J1646)&gt;0,OR(클레임조회!$C$4="",AND(ISNUMBER($B1646),$B1646&gt;=클레임조회!$C$4)),OR(클레임조회!$C$5="",AND(ISNUMBER($B1646),$B1646&lt;=클레임조회!$C$5)),OR(클레임조회!$C$6="",$C1646=클레임조회!$C$6),OR(클레임조회!$C$7="",$D1646=클레임조회!$C$7),OR(클레임조회!$C$8="",$E1646=클레임조회!$C$8),OR(클레임조회!$C$9="",$F1646=클레임조회!$C$9),OR(클레임조회!$C$10="",ISNUMBER(SEARCH(클레임조회!$C$10,$C1646&amp;" "&amp;$F1646&amp;" "&amp;$G1646&amp;" "&amp;$H1646)))),COUNT(O$1:O1645)+1,"")</f>
        <v/>
      </c>
      <c r="P1646" s="0" t="str">
        <f aca="false">IF(AND(TRIM(C1646)&lt;&gt;"",COUNTIF(C$2:C1646,C1646)=1),MAX(P$1:P1645)+1,"")</f>
        <v/>
      </c>
      <c r="Q1646" s="0" t="str">
        <f aca="false">IF(AND(TRIM(F1646)&lt;&gt;"",COUNTIF(F$2:F1646,F1646)=1),MAX(Q$1:Q1645)+1,"")</f>
        <v/>
      </c>
    </row>
    <row r="1647" customFormat="false" ht="15" hidden="false" customHeight="false" outlineLevel="0" collapsed="false">
      <c r="A1647" s="9"/>
      <c r="B1647" s="10"/>
      <c r="C1647" s="11"/>
      <c r="D1647" s="11"/>
      <c r="E1647" s="11"/>
      <c r="F1647" s="11"/>
      <c r="G1647" s="12"/>
      <c r="H1647" s="12"/>
      <c r="I1647" s="10"/>
      <c r="J1647" s="12"/>
      <c r="K1647" s="13" t="str">
        <f aca="false">IF(ISNUMBER(B1647),YEAR(B1647),"")</f>
        <v/>
      </c>
      <c r="L1647" s="13" t="str">
        <f aca="false">IF(ISNUMBER(B1647),MONTH(B1647),"")</f>
        <v/>
      </c>
      <c r="M1647" s="13" t="str">
        <f aca="false">IF(AND(ISNUMBER(B1647),ISNUMBER(I1647)),B1647-I1647+1,"")</f>
        <v/>
      </c>
      <c r="N1647" s="14" t="str">
        <f aca="false">IF(B1647="","",IF(M1647="","시작일 미입력",IF(M1647&lt;1,"시작일 이전(확인)",IF(M1647=1,"1일째",IF(M1647=2,"2일째",IF(M1647=3,"3일째",IF(M1647&lt;=7,"일주일 이내",IF(M1647&lt;=14,"이주일 이내","15일 이후"))))))))</f>
        <v/>
      </c>
      <c r="O1647" s="0" t="str">
        <f aca="false">IF(AND(COUNTA($A1647:$J1647)&gt;0,OR(클레임조회!$C$4="",AND(ISNUMBER($B1647),$B1647&gt;=클레임조회!$C$4)),OR(클레임조회!$C$5="",AND(ISNUMBER($B1647),$B1647&lt;=클레임조회!$C$5)),OR(클레임조회!$C$6="",$C1647=클레임조회!$C$6),OR(클레임조회!$C$7="",$D1647=클레임조회!$C$7),OR(클레임조회!$C$8="",$E1647=클레임조회!$C$8),OR(클레임조회!$C$9="",$F1647=클레임조회!$C$9),OR(클레임조회!$C$10="",ISNUMBER(SEARCH(클레임조회!$C$10,$C1647&amp;" "&amp;$F1647&amp;" "&amp;$G1647&amp;" "&amp;$H1647)))),COUNT(O$1:O1646)+1,"")</f>
        <v/>
      </c>
      <c r="P1647" s="0" t="str">
        <f aca="false">IF(AND(TRIM(C1647)&lt;&gt;"",COUNTIF(C$2:C1647,C1647)=1),MAX(P$1:P1646)+1,"")</f>
        <v/>
      </c>
      <c r="Q1647" s="0" t="str">
        <f aca="false">IF(AND(TRIM(F1647)&lt;&gt;"",COUNTIF(F$2:F1647,F1647)=1),MAX(Q$1:Q1646)+1,"")</f>
        <v/>
      </c>
    </row>
    <row r="1648" customFormat="false" ht="15" hidden="false" customHeight="false" outlineLevel="0" collapsed="false">
      <c r="A1648" s="9"/>
      <c r="B1648" s="10"/>
      <c r="C1648" s="11"/>
      <c r="D1648" s="11"/>
      <c r="E1648" s="11"/>
      <c r="F1648" s="11"/>
      <c r="G1648" s="12"/>
      <c r="H1648" s="12"/>
      <c r="I1648" s="10"/>
      <c r="J1648" s="12"/>
      <c r="K1648" s="13" t="str">
        <f aca="false">IF(ISNUMBER(B1648),YEAR(B1648),"")</f>
        <v/>
      </c>
      <c r="L1648" s="13" t="str">
        <f aca="false">IF(ISNUMBER(B1648),MONTH(B1648),"")</f>
        <v/>
      </c>
      <c r="M1648" s="13" t="str">
        <f aca="false">IF(AND(ISNUMBER(B1648),ISNUMBER(I1648)),B1648-I1648+1,"")</f>
        <v/>
      </c>
      <c r="N1648" s="14" t="str">
        <f aca="false">IF(B1648="","",IF(M1648="","시작일 미입력",IF(M1648&lt;1,"시작일 이전(확인)",IF(M1648=1,"1일째",IF(M1648=2,"2일째",IF(M1648=3,"3일째",IF(M1648&lt;=7,"일주일 이내",IF(M1648&lt;=14,"이주일 이내","15일 이후"))))))))</f>
        <v/>
      </c>
      <c r="O1648" s="0" t="str">
        <f aca="false">IF(AND(COUNTA($A1648:$J1648)&gt;0,OR(클레임조회!$C$4="",AND(ISNUMBER($B1648),$B1648&gt;=클레임조회!$C$4)),OR(클레임조회!$C$5="",AND(ISNUMBER($B1648),$B1648&lt;=클레임조회!$C$5)),OR(클레임조회!$C$6="",$C1648=클레임조회!$C$6),OR(클레임조회!$C$7="",$D1648=클레임조회!$C$7),OR(클레임조회!$C$8="",$E1648=클레임조회!$C$8),OR(클레임조회!$C$9="",$F1648=클레임조회!$C$9),OR(클레임조회!$C$10="",ISNUMBER(SEARCH(클레임조회!$C$10,$C1648&amp;" "&amp;$F1648&amp;" "&amp;$G1648&amp;" "&amp;$H1648)))),COUNT(O$1:O1647)+1,"")</f>
        <v/>
      </c>
      <c r="P1648" s="0" t="str">
        <f aca="false">IF(AND(TRIM(C1648)&lt;&gt;"",COUNTIF(C$2:C1648,C1648)=1),MAX(P$1:P1647)+1,"")</f>
        <v/>
      </c>
      <c r="Q1648" s="0" t="str">
        <f aca="false">IF(AND(TRIM(F1648)&lt;&gt;"",COUNTIF(F$2:F1648,F1648)=1),MAX(Q$1:Q1647)+1,"")</f>
        <v/>
      </c>
    </row>
    <row r="1649" customFormat="false" ht="15" hidden="false" customHeight="false" outlineLevel="0" collapsed="false">
      <c r="A1649" s="9"/>
      <c r="B1649" s="10"/>
      <c r="C1649" s="11"/>
      <c r="D1649" s="11"/>
      <c r="E1649" s="11"/>
      <c r="F1649" s="11"/>
      <c r="G1649" s="12"/>
      <c r="H1649" s="12"/>
      <c r="I1649" s="10"/>
      <c r="J1649" s="12"/>
      <c r="K1649" s="13" t="str">
        <f aca="false">IF(ISNUMBER(B1649),YEAR(B1649),"")</f>
        <v/>
      </c>
      <c r="L1649" s="13" t="str">
        <f aca="false">IF(ISNUMBER(B1649),MONTH(B1649),"")</f>
        <v/>
      </c>
      <c r="M1649" s="13" t="str">
        <f aca="false">IF(AND(ISNUMBER(B1649),ISNUMBER(I1649)),B1649-I1649+1,"")</f>
        <v/>
      </c>
      <c r="N1649" s="14" t="str">
        <f aca="false">IF(B1649="","",IF(M1649="","시작일 미입력",IF(M1649&lt;1,"시작일 이전(확인)",IF(M1649=1,"1일째",IF(M1649=2,"2일째",IF(M1649=3,"3일째",IF(M1649&lt;=7,"일주일 이내",IF(M1649&lt;=14,"이주일 이내","15일 이후"))))))))</f>
        <v/>
      </c>
      <c r="O1649" s="0" t="str">
        <f aca="false">IF(AND(COUNTA($A1649:$J1649)&gt;0,OR(클레임조회!$C$4="",AND(ISNUMBER($B1649),$B1649&gt;=클레임조회!$C$4)),OR(클레임조회!$C$5="",AND(ISNUMBER($B1649),$B1649&lt;=클레임조회!$C$5)),OR(클레임조회!$C$6="",$C1649=클레임조회!$C$6),OR(클레임조회!$C$7="",$D1649=클레임조회!$C$7),OR(클레임조회!$C$8="",$E1649=클레임조회!$C$8),OR(클레임조회!$C$9="",$F1649=클레임조회!$C$9),OR(클레임조회!$C$10="",ISNUMBER(SEARCH(클레임조회!$C$10,$C1649&amp;" "&amp;$F1649&amp;" "&amp;$G1649&amp;" "&amp;$H1649)))),COUNT(O$1:O1648)+1,"")</f>
        <v/>
      </c>
      <c r="P1649" s="0" t="str">
        <f aca="false">IF(AND(TRIM(C1649)&lt;&gt;"",COUNTIF(C$2:C1649,C1649)=1),MAX(P$1:P1648)+1,"")</f>
        <v/>
      </c>
      <c r="Q1649" s="0" t="str">
        <f aca="false">IF(AND(TRIM(F1649)&lt;&gt;"",COUNTIF(F$2:F1649,F1649)=1),MAX(Q$1:Q1648)+1,"")</f>
        <v/>
      </c>
    </row>
    <row r="1650" customFormat="false" ht="15" hidden="false" customHeight="false" outlineLevel="0" collapsed="false">
      <c r="A1650" s="9"/>
      <c r="B1650" s="10"/>
      <c r="C1650" s="11"/>
      <c r="D1650" s="11"/>
      <c r="E1650" s="11"/>
      <c r="F1650" s="11"/>
      <c r="G1650" s="12"/>
      <c r="H1650" s="12"/>
      <c r="I1650" s="10"/>
      <c r="J1650" s="12"/>
      <c r="K1650" s="13" t="str">
        <f aca="false">IF(ISNUMBER(B1650),YEAR(B1650),"")</f>
        <v/>
      </c>
      <c r="L1650" s="13" t="str">
        <f aca="false">IF(ISNUMBER(B1650),MONTH(B1650),"")</f>
        <v/>
      </c>
      <c r="M1650" s="13" t="str">
        <f aca="false">IF(AND(ISNUMBER(B1650),ISNUMBER(I1650)),B1650-I1650+1,"")</f>
        <v/>
      </c>
      <c r="N1650" s="14" t="str">
        <f aca="false">IF(B1650="","",IF(M1650="","시작일 미입력",IF(M1650&lt;1,"시작일 이전(확인)",IF(M1650=1,"1일째",IF(M1650=2,"2일째",IF(M1650=3,"3일째",IF(M1650&lt;=7,"일주일 이내",IF(M1650&lt;=14,"이주일 이내","15일 이후"))))))))</f>
        <v/>
      </c>
      <c r="O1650" s="0" t="str">
        <f aca="false">IF(AND(COUNTA($A1650:$J1650)&gt;0,OR(클레임조회!$C$4="",AND(ISNUMBER($B1650),$B1650&gt;=클레임조회!$C$4)),OR(클레임조회!$C$5="",AND(ISNUMBER($B1650),$B1650&lt;=클레임조회!$C$5)),OR(클레임조회!$C$6="",$C1650=클레임조회!$C$6),OR(클레임조회!$C$7="",$D1650=클레임조회!$C$7),OR(클레임조회!$C$8="",$E1650=클레임조회!$C$8),OR(클레임조회!$C$9="",$F1650=클레임조회!$C$9),OR(클레임조회!$C$10="",ISNUMBER(SEARCH(클레임조회!$C$10,$C1650&amp;" "&amp;$F1650&amp;" "&amp;$G1650&amp;" "&amp;$H1650)))),COUNT(O$1:O1649)+1,"")</f>
        <v/>
      </c>
      <c r="P1650" s="0" t="str">
        <f aca="false">IF(AND(TRIM(C1650)&lt;&gt;"",COUNTIF(C$2:C1650,C1650)=1),MAX(P$1:P1649)+1,"")</f>
        <v/>
      </c>
      <c r="Q1650" s="0" t="str">
        <f aca="false">IF(AND(TRIM(F1650)&lt;&gt;"",COUNTIF(F$2:F1650,F1650)=1),MAX(Q$1:Q1649)+1,"")</f>
        <v/>
      </c>
    </row>
    <row r="1651" customFormat="false" ht="15" hidden="false" customHeight="false" outlineLevel="0" collapsed="false">
      <c r="A1651" s="9"/>
      <c r="B1651" s="10"/>
      <c r="C1651" s="11"/>
      <c r="D1651" s="11"/>
      <c r="E1651" s="11"/>
      <c r="F1651" s="11"/>
      <c r="G1651" s="12"/>
      <c r="H1651" s="12"/>
      <c r="I1651" s="10"/>
      <c r="J1651" s="12"/>
      <c r="K1651" s="13" t="str">
        <f aca="false">IF(ISNUMBER(B1651),YEAR(B1651),"")</f>
        <v/>
      </c>
      <c r="L1651" s="13" t="str">
        <f aca="false">IF(ISNUMBER(B1651),MONTH(B1651),"")</f>
        <v/>
      </c>
      <c r="M1651" s="13" t="str">
        <f aca="false">IF(AND(ISNUMBER(B1651),ISNUMBER(I1651)),B1651-I1651+1,"")</f>
        <v/>
      </c>
      <c r="N1651" s="14" t="str">
        <f aca="false">IF(B1651="","",IF(M1651="","시작일 미입력",IF(M1651&lt;1,"시작일 이전(확인)",IF(M1651=1,"1일째",IF(M1651=2,"2일째",IF(M1651=3,"3일째",IF(M1651&lt;=7,"일주일 이내",IF(M1651&lt;=14,"이주일 이내","15일 이후"))))))))</f>
        <v/>
      </c>
      <c r="O1651" s="0" t="str">
        <f aca="false">IF(AND(COUNTA($A1651:$J1651)&gt;0,OR(클레임조회!$C$4="",AND(ISNUMBER($B1651),$B1651&gt;=클레임조회!$C$4)),OR(클레임조회!$C$5="",AND(ISNUMBER($B1651),$B1651&lt;=클레임조회!$C$5)),OR(클레임조회!$C$6="",$C1651=클레임조회!$C$6),OR(클레임조회!$C$7="",$D1651=클레임조회!$C$7),OR(클레임조회!$C$8="",$E1651=클레임조회!$C$8),OR(클레임조회!$C$9="",$F1651=클레임조회!$C$9),OR(클레임조회!$C$10="",ISNUMBER(SEARCH(클레임조회!$C$10,$C1651&amp;" "&amp;$F1651&amp;" "&amp;$G1651&amp;" "&amp;$H1651)))),COUNT(O$1:O1650)+1,"")</f>
        <v/>
      </c>
      <c r="P1651" s="0" t="str">
        <f aca="false">IF(AND(TRIM(C1651)&lt;&gt;"",COUNTIF(C$2:C1651,C1651)=1),MAX(P$1:P1650)+1,"")</f>
        <v/>
      </c>
      <c r="Q1651" s="0" t="str">
        <f aca="false">IF(AND(TRIM(F1651)&lt;&gt;"",COUNTIF(F$2:F1651,F1651)=1),MAX(Q$1:Q1650)+1,"")</f>
        <v/>
      </c>
    </row>
    <row r="1652" customFormat="false" ht="15" hidden="false" customHeight="false" outlineLevel="0" collapsed="false">
      <c r="A1652" s="9"/>
      <c r="B1652" s="10"/>
      <c r="C1652" s="11"/>
      <c r="D1652" s="11"/>
      <c r="E1652" s="11"/>
      <c r="F1652" s="11"/>
      <c r="G1652" s="12"/>
      <c r="H1652" s="12"/>
      <c r="I1652" s="10"/>
      <c r="J1652" s="12"/>
      <c r="K1652" s="13" t="str">
        <f aca="false">IF(ISNUMBER(B1652),YEAR(B1652),"")</f>
        <v/>
      </c>
      <c r="L1652" s="13" t="str">
        <f aca="false">IF(ISNUMBER(B1652),MONTH(B1652),"")</f>
        <v/>
      </c>
      <c r="M1652" s="13" t="str">
        <f aca="false">IF(AND(ISNUMBER(B1652),ISNUMBER(I1652)),B1652-I1652+1,"")</f>
        <v/>
      </c>
      <c r="N1652" s="14" t="str">
        <f aca="false">IF(B1652="","",IF(M1652="","시작일 미입력",IF(M1652&lt;1,"시작일 이전(확인)",IF(M1652=1,"1일째",IF(M1652=2,"2일째",IF(M1652=3,"3일째",IF(M1652&lt;=7,"일주일 이내",IF(M1652&lt;=14,"이주일 이내","15일 이후"))))))))</f>
        <v/>
      </c>
      <c r="O1652" s="0" t="str">
        <f aca="false">IF(AND(COUNTA($A1652:$J1652)&gt;0,OR(클레임조회!$C$4="",AND(ISNUMBER($B1652),$B1652&gt;=클레임조회!$C$4)),OR(클레임조회!$C$5="",AND(ISNUMBER($B1652),$B1652&lt;=클레임조회!$C$5)),OR(클레임조회!$C$6="",$C1652=클레임조회!$C$6),OR(클레임조회!$C$7="",$D1652=클레임조회!$C$7),OR(클레임조회!$C$8="",$E1652=클레임조회!$C$8),OR(클레임조회!$C$9="",$F1652=클레임조회!$C$9),OR(클레임조회!$C$10="",ISNUMBER(SEARCH(클레임조회!$C$10,$C1652&amp;" "&amp;$F1652&amp;" "&amp;$G1652&amp;" "&amp;$H1652)))),COUNT(O$1:O1651)+1,"")</f>
        <v/>
      </c>
      <c r="P1652" s="0" t="str">
        <f aca="false">IF(AND(TRIM(C1652)&lt;&gt;"",COUNTIF(C$2:C1652,C1652)=1),MAX(P$1:P1651)+1,"")</f>
        <v/>
      </c>
      <c r="Q1652" s="0" t="str">
        <f aca="false">IF(AND(TRIM(F1652)&lt;&gt;"",COUNTIF(F$2:F1652,F1652)=1),MAX(Q$1:Q1651)+1,"")</f>
        <v/>
      </c>
    </row>
    <row r="1653" customFormat="false" ht="15" hidden="false" customHeight="false" outlineLevel="0" collapsed="false">
      <c r="A1653" s="9"/>
      <c r="B1653" s="10"/>
      <c r="C1653" s="11"/>
      <c r="D1653" s="11"/>
      <c r="E1653" s="11"/>
      <c r="F1653" s="11"/>
      <c r="G1653" s="12"/>
      <c r="H1653" s="12"/>
      <c r="I1653" s="10"/>
      <c r="J1653" s="12"/>
      <c r="K1653" s="13" t="str">
        <f aca="false">IF(ISNUMBER(B1653),YEAR(B1653),"")</f>
        <v/>
      </c>
      <c r="L1653" s="13" t="str">
        <f aca="false">IF(ISNUMBER(B1653),MONTH(B1653),"")</f>
        <v/>
      </c>
      <c r="M1653" s="13" t="str">
        <f aca="false">IF(AND(ISNUMBER(B1653),ISNUMBER(I1653)),B1653-I1653+1,"")</f>
        <v/>
      </c>
      <c r="N1653" s="14" t="str">
        <f aca="false">IF(B1653="","",IF(M1653="","시작일 미입력",IF(M1653&lt;1,"시작일 이전(확인)",IF(M1653=1,"1일째",IF(M1653=2,"2일째",IF(M1653=3,"3일째",IF(M1653&lt;=7,"일주일 이내",IF(M1653&lt;=14,"이주일 이내","15일 이후"))))))))</f>
        <v/>
      </c>
      <c r="O1653" s="0" t="str">
        <f aca="false">IF(AND(COUNTA($A1653:$J1653)&gt;0,OR(클레임조회!$C$4="",AND(ISNUMBER($B1653),$B1653&gt;=클레임조회!$C$4)),OR(클레임조회!$C$5="",AND(ISNUMBER($B1653),$B1653&lt;=클레임조회!$C$5)),OR(클레임조회!$C$6="",$C1653=클레임조회!$C$6),OR(클레임조회!$C$7="",$D1653=클레임조회!$C$7),OR(클레임조회!$C$8="",$E1653=클레임조회!$C$8),OR(클레임조회!$C$9="",$F1653=클레임조회!$C$9),OR(클레임조회!$C$10="",ISNUMBER(SEARCH(클레임조회!$C$10,$C1653&amp;" "&amp;$F1653&amp;" "&amp;$G1653&amp;" "&amp;$H1653)))),COUNT(O$1:O1652)+1,"")</f>
        <v/>
      </c>
      <c r="P1653" s="0" t="str">
        <f aca="false">IF(AND(TRIM(C1653)&lt;&gt;"",COUNTIF(C$2:C1653,C1653)=1),MAX(P$1:P1652)+1,"")</f>
        <v/>
      </c>
      <c r="Q1653" s="0" t="str">
        <f aca="false">IF(AND(TRIM(F1653)&lt;&gt;"",COUNTIF(F$2:F1653,F1653)=1),MAX(Q$1:Q1652)+1,"")</f>
        <v/>
      </c>
    </row>
    <row r="1654" customFormat="false" ht="15" hidden="false" customHeight="false" outlineLevel="0" collapsed="false">
      <c r="A1654" s="9"/>
      <c r="B1654" s="10"/>
      <c r="C1654" s="11"/>
      <c r="D1654" s="11"/>
      <c r="E1654" s="11"/>
      <c r="F1654" s="11"/>
      <c r="G1654" s="12"/>
      <c r="H1654" s="12"/>
      <c r="I1654" s="10"/>
      <c r="J1654" s="12"/>
      <c r="K1654" s="13" t="str">
        <f aca="false">IF(ISNUMBER(B1654),YEAR(B1654),"")</f>
        <v/>
      </c>
      <c r="L1654" s="13" t="str">
        <f aca="false">IF(ISNUMBER(B1654),MONTH(B1654),"")</f>
        <v/>
      </c>
      <c r="M1654" s="13" t="str">
        <f aca="false">IF(AND(ISNUMBER(B1654),ISNUMBER(I1654)),B1654-I1654+1,"")</f>
        <v/>
      </c>
      <c r="N1654" s="14" t="str">
        <f aca="false">IF(B1654="","",IF(M1654="","시작일 미입력",IF(M1654&lt;1,"시작일 이전(확인)",IF(M1654=1,"1일째",IF(M1654=2,"2일째",IF(M1654=3,"3일째",IF(M1654&lt;=7,"일주일 이내",IF(M1654&lt;=14,"이주일 이내","15일 이후"))))))))</f>
        <v/>
      </c>
      <c r="O1654" s="0" t="str">
        <f aca="false">IF(AND(COUNTA($A1654:$J1654)&gt;0,OR(클레임조회!$C$4="",AND(ISNUMBER($B1654),$B1654&gt;=클레임조회!$C$4)),OR(클레임조회!$C$5="",AND(ISNUMBER($B1654),$B1654&lt;=클레임조회!$C$5)),OR(클레임조회!$C$6="",$C1654=클레임조회!$C$6),OR(클레임조회!$C$7="",$D1654=클레임조회!$C$7),OR(클레임조회!$C$8="",$E1654=클레임조회!$C$8),OR(클레임조회!$C$9="",$F1654=클레임조회!$C$9),OR(클레임조회!$C$10="",ISNUMBER(SEARCH(클레임조회!$C$10,$C1654&amp;" "&amp;$F1654&amp;" "&amp;$G1654&amp;" "&amp;$H1654)))),COUNT(O$1:O1653)+1,"")</f>
        <v/>
      </c>
      <c r="P1654" s="0" t="str">
        <f aca="false">IF(AND(TRIM(C1654)&lt;&gt;"",COUNTIF(C$2:C1654,C1654)=1),MAX(P$1:P1653)+1,"")</f>
        <v/>
      </c>
      <c r="Q1654" s="0" t="str">
        <f aca="false">IF(AND(TRIM(F1654)&lt;&gt;"",COUNTIF(F$2:F1654,F1654)=1),MAX(Q$1:Q1653)+1,"")</f>
        <v/>
      </c>
    </row>
    <row r="1655" customFormat="false" ht="15" hidden="false" customHeight="false" outlineLevel="0" collapsed="false">
      <c r="A1655" s="9"/>
      <c r="B1655" s="10"/>
      <c r="C1655" s="11"/>
      <c r="D1655" s="11"/>
      <c r="E1655" s="11"/>
      <c r="F1655" s="11"/>
      <c r="G1655" s="12"/>
      <c r="H1655" s="12"/>
      <c r="I1655" s="10"/>
      <c r="J1655" s="12"/>
      <c r="K1655" s="13" t="str">
        <f aca="false">IF(ISNUMBER(B1655),YEAR(B1655),"")</f>
        <v/>
      </c>
      <c r="L1655" s="13" t="str">
        <f aca="false">IF(ISNUMBER(B1655),MONTH(B1655),"")</f>
        <v/>
      </c>
      <c r="M1655" s="13" t="str">
        <f aca="false">IF(AND(ISNUMBER(B1655),ISNUMBER(I1655)),B1655-I1655+1,"")</f>
        <v/>
      </c>
      <c r="N1655" s="14" t="str">
        <f aca="false">IF(B1655="","",IF(M1655="","시작일 미입력",IF(M1655&lt;1,"시작일 이전(확인)",IF(M1655=1,"1일째",IF(M1655=2,"2일째",IF(M1655=3,"3일째",IF(M1655&lt;=7,"일주일 이내",IF(M1655&lt;=14,"이주일 이내","15일 이후"))))))))</f>
        <v/>
      </c>
      <c r="O1655" s="0" t="str">
        <f aca="false">IF(AND(COUNTA($A1655:$J1655)&gt;0,OR(클레임조회!$C$4="",AND(ISNUMBER($B1655),$B1655&gt;=클레임조회!$C$4)),OR(클레임조회!$C$5="",AND(ISNUMBER($B1655),$B1655&lt;=클레임조회!$C$5)),OR(클레임조회!$C$6="",$C1655=클레임조회!$C$6),OR(클레임조회!$C$7="",$D1655=클레임조회!$C$7),OR(클레임조회!$C$8="",$E1655=클레임조회!$C$8),OR(클레임조회!$C$9="",$F1655=클레임조회!$C$9),OR(클레임조회!$C$10="",ISNUMBER(SEARCH(클레임조회!$C$10,$C1655&amp;" "&amp;$F1655&amp;" "&amp;$G1655&amp;" "&amp;$H1655)))),COUNT(O$1:O1654)+1,"")</f>
        <v/>
      </c>
      <c r="P1655" s="0" t="str">
        <f aca="false">IF(AND(TRIM(C1655)&lt;&gt;"",COUNTIF(C$2:C1655,C1655)=1),MAX(P$1:P1654)+1,"")</f>
        <v/>
      </c>
      <c r="Q1655" s="0" t="str">
        <f aca="false">IF(AND(TRIM(F1655)&lt;&gt;"",COUNTIF(F$2:F1655,F1655)=1),MAX(Q$1:Q1654)+1,"")</f>
        <v/>
      </c>
    </row>
    <row r="1656" customFormat="false" ht="15" hidden="false" customHeight="false" outlineLevel="0" collapsed="false">
      <c r="A1656" s="9"/>
      <c r="B1656" s="10"/>
      <c r="C1656" s="11"/>
      <c r="D1656" s="11"/>
      <c r="E1656" s="11"/>
      <c r="F1656" s="11"/>
      <c r="G1656" s="12"/>
      <c r="H1656" s="12"/>
      <c r="I1656" s="10"/>
      <c r="J1656" s="12"/>
      <c r="K1656" s="13" t="str">
        <f aca="false">IF(ISNUMBER(B1656),YEAR(B1656),"")</f>
        <v/>
      </c>
      <c r="L1656" s="13" t="str">
        <f aca="false">IF(ISNUMBER(B1656),MONTH(B1656),"")</f>
        <v/>
      </c>
      <c r="M1656" s="13" t="str">
        <f aca="false">IF(AND(ISNUMBER(B1656),ISNUMBER(I1656)),B1656-I1656+1,"")</f>
        <v/>
      </c>
      <c r="N1656" s="14" t="str">
        <f aca="false">IF(B1656="","",IF(M1656="","시작일 미입력",IF(M1656&lt;1,"시작일 이전(확인)",IF(M1656=1,"1일째",IF(M1656=2,"2일째",IF(M1656=3,"3일째",IF(M1656&lt;=7,"일주일 이내",IF(M1656&lt;=14,"이주일 이내","15일 이후"))))))))</f>
        <v/>
      </c>
      <c r="O1656" s="0" t="str">
        <f aca="false">IF(AND(COUNTA($A1656:$J1656)&gt;0,OR(클레임조회!$C$4="",AND(ISNUMBER($B1656),$B1656&gt;=클레임조회!$C$4)),OR(클레임조회!$C$5="",AND(ISNUMBER($B1656),$B1656&lt;=클레임조회!$C$5)),OR(클레임조회!$C$6="",$C1656=클레임조회!$C$6),OR(클레임조회!$C$7="",$D1656=클레임조회!$C$7),OR(클레임조회!$C$8="",$E1656=클레임조회!$C$8),OR(클레임조회!$C$9="",$F1656=클레임조회!$C$9),OR(클레임조회!$C$10="",ISNUMBER(SEARCH(클레임조회!$C$10,$C1656&amp;" "&amp;$F1656&amp;" "&amp;$G1656&amp;" "&amp;$H1656)))),COUNT(O$1:O1655)+1,"")</f>
        <v/>
      </c>
      <c r="P1656" s="0" t="str">
        <f aca="false">IF(AND(TRIM(C1656)&lt;&gt;"",COUNTIF(C$2:C1656,C1656)=1),MAX(P$1:P1655)+1,"")</f>
        <v/>
      </c>
      <c r="Q1656" s="0" t="str">
        <f aca="false">IF(AND(TRIM(F1656)&lt;&gt;"",COUNTIF(F$2:F1656,F1656)=1),MAX(Q$1:Q1655)+1,"")</f>
        <v/>
      </c>
    </row>
    <row r="1657" customFormat="false" ht="15" hidden="false" customHeight="false" outlineLevel="0" collapsed="false">
      <c r="A1657" s="9"/>
      <c r="B1657" s="10"/>
      <c r="C1657" s="11"/>
      <c r="D1657" s="11"/>
      <c r="E1657" s="11"/>
      <c r="F1657" s="11"/>
      <c r="G1657" s="12"/>
      <c r="H1657" s="12"/>
      <c r="I1657" s="10"/>
      <c r="J1657" s="12"/>
      <c r="K1657" s="13" t="str">
        <f aca="false">IF(ISNUMBER(B1657),YEAR(B1657),"")</f>
        <v/>
      </c>
      <c r="L1657" s="13" t="str">
        <f aca="false">IF(ISNUMBER(B1657),MONTH(B1657),"")</f>
        <v/>
      </c>
      <c r="M1657" s="13" t="str">
        <f aca="false">IF(AND(ISNUMBER(B1657),ISNUMBER(I1657)),B1657-I1657+1,"")</f>
        <v/>
      </c>
      <c r="N1657" s="14" t="str">
        <f aca="false">IF(B1657="","",IF(M1657="","시작일 미입력",IF(M1657&lt;1,"시작일 이전(확인)",IF(M1657=1,"1일째",IF(M1657=2,"2일째",IF(M1657=3,"3일째",IF(M1657&lt;=7,"일주일 이내",IF(M1657&lt;=14,"이주일 이내","15일 이후"))))))))</f>
        <v/>
      </c>
      <c r="O1657" s="0" t="str">
        <f aca="false">IF(AND(COUNTA($A1657:$J1657)&gt;0,OR(클레임조회!$C$4="",AND(ISNUMBER($B1657),$B1657&gt;=클레임조회!$C$4)),OR(클레임조회!$C$5="",AND(ISNUMBER($B1657),$B1657&lt;=클레임조회!$C$5)),OR(클레임조회!$C$6="",$C1657=클레임조회!$C$6),OR(클레임조회!$C$7="",$D1657=클레임조회!$C$7),OR(클레임조회!$C$8="",$E1657=클레임조회!$C$8),OR(클레임조회!$C$9="",$F1657=클레임조회!$C$9),OR(클레임조회!$C$10="",ISNUMBER(SEARCH(클레임조회!$C$10,$C1657&amp;" "&amp;$F1657&amp;" "&amp;$G1657&amp;" "&amp;$H1657)))),COUNT(O$1:O1656)+1,"")</f>
        <v/>
      </c>
      <c r="P1657" s="0" t="str">
        <f aca="false">IF(AND(TRIM(C1657)&lt;&gt;"",COUNTIF(C$2:C1657,C1657)=1),MAX(P$1:P1656)+1,"")</f>
        <v/>
      </c>
      <c r="Q1657" s="0" t="str">
        <f aca="false">IF(AND(TRIM(F1657)&lt;&gt;"",COUNTIF(F$2:F1657,F1657)=1),MAX(Q$1:Q1656)+1,"")</f>
        <v/>
      </c>
    </row>
    <row r="1658" customFormat="false" ht="15" hidden="false" customHeight="false" outlineLevel="0" collapsed="false">
      <c r="A1658" s="9"/>
      <c r="B1658" s="10"/>
      <c r="C1658" s="11"/>
      <c r="D1658" s="11"/>
      <c r="E1658" s="11"/>
      <c r="F1658" s="11"/>
      <c r="G1658" s="12"/>
      <c r="H1658" s="12"/>
      <c r="I1658" s="10"/>
      <c r="J1658" s="12"/>
      <c r="K1658" s="13" t="str">
        <f aca="false">IF(ISNUMBER(B1658),YEAR(B1658),"")</f>
        <v/>
      </c>
      <c r="L1658" s="13" t="str">
        <f aca="false">IF(ISNUMBER(B1658),MONTH(B1658),"")</f>
        <v/>
      </c>
      <c r="M1658" s="13" t="str">
        <f aca="false">IF(AND(ISNUMBER(B1658),ISNUMBER(I1658)),B1658-I1658+1,"")</f>
        <v/>
      </c>
      <c r="N1658" s="14" t="str">
        <f aca="false">IF(B1658="","",IF(M1658="","시작일 미입력",IF(M1658&lt;1,"시작일 이전(확인)",IF(M1658=1,"1일째",IF(M1658=2,"2일째",IF(M1658=3,"3일째",IF(M1658&lt;=7,"일주일 이내",IF(M1658&lt;=14,"이주일 이내","15일 이후"))))))))</f>
        <v/>
      </c>
      <c r="O1658" s="0" t="str">
        <f aca="false">IF(AND(COUNTA($A1658:$J1658)&gt;0,OR(클레임조회!$C$4="",AND(ISNUMBER($B1658),$B1658&gt;=클레임조회!$C$4)),OR(클레임조회!$C$5="",AND(ISNUMBER($B1658),$B1658&lt;=클레임조회!$C$5)),OR(클레임조회!$C$6="",$C1658=클레임조회!$C$6),OR(클레임조회!$C$7="",$D1658=클레임조회!$C$7),OR(클레임조회!$C$8="",$E1658=클레임조회!$C$8),OR(클레임조회!$C$9="",$F1658=클레임조회!$C$9),OR(클레임조회!$C$10="",ISNUMBER(SEARCH(클레임조회!$C$10,$C1658&amp;" "&amp;$F1658&amp;" "&amp;$G1658&amp;" "&amp;$H1658)))),COUNT(O$1:O1657)+1,"")</f>
        <v/>
      </c>
      <c r="P1658" s="0" t="str">
        <f aca="false">IF(AND(TRIM(C1658)&lt;&gt;"",COUNTIF(C$2:C1658,C1658)=1),MAX(P$1:P1657)+1,"")</f>
        <v/>
      </c>
      <c r="Q1658" s="0" t="str">
        <f aca="false">IF(AND(TRIM(F1658)&lt;&gt;"",COUNTIF(F$2:F1658,F1658)=1),MAX(Q$1:Q1657)+1,"")</f>
        <v/>
      </c>
    </row>
    <row r="1659" customFormat="false" ht="15" hidden="false" customHeight="false" outlineLevel="0" collapsed="false">
      <c r="A1659" s="9"/>
      <c r="B1659" s="10"/>
      <c r="C1659" s="11"/>
      <c r="D1659" s="11"/>
      <c r="E1659" s="11"/>
      <c r="F1659" s="11"/>
      <c r="G1659" s="12"/>
      <c r="H1659" s="12"/>
      <c r="I1659" s="10"/>
      <c r="J1659" s="12"/>
      <c r="K1659" s="13" t="str">
        <f aca="false">IF(ISNUMBER(B1659),YEAR(B1659),"")</f>
        <v/>
      </c>
      <c r="L1659" s="13" t="str">
        <f aca="false">IF(ISNUMBER(B1659),MONTH(B1659),"")</f>
        <v/>
      </c>
      <c r="M1659" s="13" t="str">
        <f aca="false">IF(AND(ISNUMBER(B1659),ISNUMBER(I1659)),B1659-I1659+1,"")</f>
        <v/>
      </c>
      <c r="N1659" s="14" t="str">
        <f aca="false">IF(B1659="","",IF(M1659="","시작일 미입력",IF(M1659&lt;1,"시작일 이전(확인)",IF(M1659=1,"1일째",IF(M1659=2,"2일째",IF(M1659=3,"3일째",IF(M1659&lt;=7,"일주일 이내",IF(M1659&lt;=14,"이주일 이내","15일 이후"))))))))</f>
        <v/>
      </c>
      <c r="O1659" s="0" t="str">
        <f aca="false">IF(AND(COUNTA($A1659:$J1659)&gt;0,OR(클레임조회!$C$4="",AND(ISNUMBER($B1659),$B1659&gt;=클레임조회!$C$4)),OR(클레임조회!$C$5="",AND(ISNUMBER($B1659),$B1659&lt;=클레임조회!$C$5)),OR(클레임조회!$C$6="",$C1659=클레임조회!$C$6),OR(클레임조회!$C$7="",$D1659=클레임조회!$C$7),OR(클레임조회!$C$8="",$E1659=클레임조회!$C$8),OR(클레임조회!$C$9="",$F1659=클레임조회!$C$9),OR(클레임조회!$C$10="",ISNUMBER(SEARCH(클레임조회!$C$10,$C1659&amp;" "&amp;$F1659&amp;" "&amp;$G1659&amp;" "&amp;$H1659)))),COUNT(O$1:O1658)+1,"")</f>
        <v/>
      </c>
      <c r="P1659" s="0" t="str">
        <f aca="false">IF(AND(TRIM(C1659)&lt;&gt;"",COUNTIF(C$2:C1659,C1659)=1),MAX(P$1:P1658)+1,"")</f>
        <v/>
      </c>
      <c r="Q1659" s="0" t="str">
        <f aca="false">IF(AND(TRIM(F1659)&lt;&gt;"",COUNTIF(F$2:F1659,F1659)=1),MAX(Q$1:Q1658)+1,"")</f>
        <v/>
      </c>
    </row>
    <row r="1660" customFormat="false" ht="15" hidden="false" customHeight="false" outlineLevel="0" collapsed="false">
      <c r="A1660" s="9"/>
      <c r="B1660" s="10"/>
      <c r="C1660" s="11"/>
      <c r="D1660" s="11"/>
      <c r="E1660" s="11"/>
      <c r="F1660" s="11"/>
      <c r="G1660" s="12"/>
      <c r="H1660" s="12"/>
      <c r="I1660" s="10"/>
      <c r="J1660" s="12"/>
      <c r="K1660" s="13" t="str">
        <f aca="false">IF(ISNUMBER(B1660),YEAR(B1660),"")</f>
        <v/>
      </c>
      <c r="L1660" s="13" t="str">
        <f aca="false">IF(ISNUMBER(B1660),MONTH(B1660),"")</f>
        <v/>
      </c>
      <c r="M1660" s="13" t="str">
        <f aca="false">IF(AND(ISNUMBER(B1660),ISNUMBER(I1660)),B1660-I1660+1,"")</f>
        <v/>
      </c>
      <c r="N1660" s="14" t="str">
        <f aca="false">IF(B1660="","",IF(M1660="","시작일 미입력",IF(M1660&lt;1,"시작일 이전(확인)",IF(M1660=1,"1일째",IF(M1660=2,"2일째",IF(M1660=3,"3일째",IF(M1660&lt;=7,"일주일 이내",IF(M1660&lt;=14,"이주일 이내","15일 이후"))))))))</f>
        <v/>
      </c>
      <c r="O1660" s="0" t="str">
        <f aca="false">IF(AND(COUNTA($A1660:$J1660)&gt;0,OR(클레임조회!$C$4="",AND(ISNUMBER($B1660),$B1660&gt;=클레임조회!$C$4)),OR(클레임조회!$C$5="",AND(ISNUMBER($B1660),$B1660&lt;=클레임조회!$C$5)),OR(클레임조회!$C$6="",$C1660=클레임조회!$C$6),OR(클레임조회!$C$7="",$D1660=클레임조회!$C$7),OR(클레임조회!$C$8="",$E1660=클레임조회!$C$8),OR(클레임조회!$C$9="",$F1660=클레임조회!$C$9),OR(클레임조회!$C$10="",ISNUMBER(SEARCH(클레임조회!$C$10,$C1660&amp;" "&amp;$F1660&amp;" "&amp;$G1660&amp;" "&amp;$H1660)))),COUNT(O$1:O1659)+1,"")</f>
        <v/>
      </c>
      <c r="P1660" s="0" t="str">
        <f aca="false">IF(AND(TRIM(C1660)&lt;&gt;"",COUNTIF(C$2:C1660,C1660)=1),MAX(P$1:P1659)+1,"")</f>
        <v/>
      </c>
      <c r="Q1660" s="0" t="str">
        <f aca="false">IF(AND(TRIM(F1660)&lt;&gt;"",COUNTIF(F$2:F1660,F1660)=1),MAX(Q$1:Q1659)+1,"")</f>
        <v/>
      </c>
    </row>
    <row r="1661" customFormat="false" ht="15" hidden="false" customHeight="false" outlineLevel="0" collapsed="false">
      <c r="A1661" s="9"/>
      <c r="B1661" s="10"/>
      <c r="C1661" s="11"/>
      <c r="D1661" s="11"/>
      <c r="E1661" s="11"/>
      <c r="F1661" s="11"/>
      <c r="G1661" s="12"/>
      <c r="H1661" s="12"/>
      <c r="I1661" s="10"/>
      <c r="J1661" s="12"/>
      <c r="K1661" s="13" t="str">
        <f aca="false">IF(ISNUMBER(B1661),YEAR(B1661),"")</f>
        <v/>
      </c>
      <c r="L1661" s="13" t="str">
        <f aca="false">IF(ISNUMBER(B1661),MONTH(B1661),"")</f>
        <v/>
      </c>
      <c r="M1661" s="13" t="str">
        <f aca="false">IF(AND(ISNUMBER(B1661),ISNUMBER(I1661)),B1661-I1661+1,"")</f>
        <v/>
      </c>
      <c r="N1661" s="14" t="str">
        <f aca="false">IF(B1661="","",IF(M1661="","시작일 미입력",IF(M1661&lt;1,"시작일 이전(확인)",IF(M1661=1,"1일째",IF(M1661=2,"2일째",IF(M1661=3,"3일째",IF(M1661&lt;=7,"일주일 이내",IF(M1661&lt;=14,"이주일 이내","15일 이후"))))))))</f>
        <v/>
      </c>
      <c r="O1661" s="0" t="str">
        <f aca="false">IF(AND(COUNTA($A1661:$J1661)&gt;0,OR(클레임조회!$C$4="",AND(ISNUMBER($B1661),$B1661&gt;=클레임조회!$C$4)),OR(클레임조회!$C$5="",AND(ISNUMBER($B1661),$B1661&lt;=클레임조회!$C$5)),OR(클레임조회!$C$6="",$C1661=클레임조회!$C$6),OR(클레임조회!$C$7="",$D1661=클레임조회!$C$7),OR(클레임조회!$C$8="",$E1661=클레임조회!$C$8),OR(클레임조회!$C$9="",$F1661=클레임조회!$C$9),OR(클레임조회!$C$10="",ISNUMBER(SEARCH(클레임조회!$C$10,$C1661&amp;" "&amp;$F1661&amp;" "&amp;$G1661&amp;" "&amp;$H1661)))),COUNT(O$1:O1660)+1,"")</f>
        <v/>
      </c>
      <c r="P1661" s="0" t="str">
        <f aca="false">IF(AND(TRIM(C1661)&lt;&gt;"",COUNTIF(C$2:C1661,C1661)=1),MAX(P$1:P1660)+1,"")</f>
        <v/>
      </c>
      <c r="Q1661" s="0" t="str">
        <f aca="false">IF(AND(TRIM(F1661)&lt;&gt;"",COUNTIF(F$2:F1661,F1661)=1),MAX(Q$1:Q1660)+1,"")</f>
        <v/>
      </c>
    </row>
    <row r="1662" customFormat="false" ht="15" hidden="false" customHeight="false" outlineLevel="0" collapsed="false">
      <c r="A1662" s="9"/>
      <c r="B1662" s="10"/>
      <c r="C1662" s="11"/>
      <c r="D1662" s="11"/>
      <c r="E1662" s="11"/>
      <c r="F1662" s="11"/>
      <c r="G1662" s="12"/>
      <c r="H1662" s="12"/>
      <c r="I1662" s="10"/>
      <c r="J1662" s="12"/>
      <c r="K1662" s="13" t="str">
        <f aca="false">IF(ISNUMBER(B1662),YEAR(B1662),"")</f>
        <v/>
      </c>
      <c r="L1662" s="13" t="str">
        <f aca="false">IF(ISNUMBER(B1662),MONTH(B1662),"")</f>
        <v/>
      </c>
      <c r="M1662" s="13" t="str">
        <f aca="false">IF(AND(ISNUMBER(B1662),ISNUMBER(I1662)),B1662-I1662+1,"")</f>
        <v/>
      </c>
      <c r="N1662" s="14" t="str">
        <f aca="false">IF(B1662="","",IF(M1662="","시작일 미입력",IF(M1662&lt;1,"시작일 이전(확인)",IF(M1662=1,"1일째",IF(M1662=2,"2일째",IF(M1662=3,"3일째",IF(M1662&lt;=7,"일주일 이내",IF(M1662&lt;=14,"이주일 이내","15일 이후"))))))))</f>
        <v/>
      </c>
      <c r="O1662" s="0" t="str">
        <f aca="false">IF(AND(COUNTA($A1662:$J1662)&gt;0,OR(클레임조회!$C$4="",AND(ISNUMBER($B1662),$B1662&gt;=클레임조회!$C$4)),OR(클레임조회!$C$5="",AND(ISNUMBER($B1662),$B1662&lt;=클레임조회!$C$5)),OR(클레임조회!$C$6="",$C1662=클레임조회!$C$6),OR(클레임조회!$C$7="",$D1662=클레임조회!$C$7),OR(클레임조회!$C$8="",$E1662=클레임조회!$C$8),OR(클레임조회!$C$9="",$F1662=클레임조회!$C$9),OR(클레임조회!$C$10="",ISNUMBER(SEARCH(클레임조회!$C$10,$C1662&amp;" "&amp;$F1662&amp;" "&amp;$G1662&amp;" "&amp;$H1662)))),COUNT(O$1:O1661)+1,"")</f>
        <v/>
      </c>
      <c r="P1662" s="0" t="str">
        <f aca="false">IF(AND(TRIM(C1662)&lt;&gt;"",COUNTIF(C$2:C1662,C1662)=1),MAX(P$1:P1661)+1,"")</f>
        <v/>
      </c>
      <c r="Q1662" s="0" t="str">
        <f aca="false">IF(AND(TRIM(F1662)&lt;&gt;"",COUNTIF(F$2:F1662,F1662)=1),MAX(Q$1:Q1661)+1,"")</f>
        <v/>
      </c>
    </row>
    <row r="1663" customFormat="false" ht="15" hidden="false" customHeight="false" outlineLevel="0" collapsed="false">
      <c r="A1663" s="9"/>
      <c r="B1663" s="10"/>
      <c r="C1663" s="11"/>
      <c r="D1663" s="11"/>
      <c r="E1663" s="11"/>
      <c r="F1663" s="11"/>
      <c r="G1663" s="12"/>
      <c r="H1663" s="12"/>
      <c r="I1663" s="10"/>
      <c r="J1663" s="12"/>
      <c r="K1663" s="13" t="str">
        <f aca="false">IF(ISNUMBER(B1663),YEAR(B1663),"")</f>
        <v/>
      </c>
      <c r="L1663" s="13" t="str">
        <f aca="false">IF(ISNUMBER(B1663),MONTH(B1663),"")</f>
        <v/>
      </c>
      <c r="M1663" s="13" t="str">
        <f aca="false">IF(AND(ISNUMBER(B1663),ISNUMBER(I1663)),B1663-I1663+1,"")</f>
        <v/>
      </c>
      <c r="N1663" s="14" t="str">
        <f aca="false">IF(B1663="","",IF(M1663="","시작일 미입력",IF(M1663&lt;1,"시작일 이전(확인)",IF(M1663=1,"1일째",IF(M1663=2,"2일째",IF(M1663=3,"3일째",IF(M1663&lt;=7,"일주일 이내",IF(M1663&lt;=14,"이주일 이내","15일 이후"))))))))</f>
        <v/>
      </c>
      <c r="O1663" s="0" t="str">
        <f aca="false">IF(AND(COUNTA($A1663:$J1663)&gt;0,OR(클레임조회!$C$4="",AND(ISNUMBER($B1663),$B1663&gt;=클레임조회!$C$4)),OR(클레임조회!$C$5="",AND(ISNUMBER($B1663),$B1663&lt;=클레임조회!$C$5)),OR(클레임조회!$C$6="",$C1663=클레임조회!$C$6),OR(클레임조회!$C$7="",$D1663=클레임조회!$C$7),OR(클레임조회!$C$8="",$E1663=클레임조회!$C$8),OR(클레임조회!$C$9="",$F1663=클레임조회!$C$9),OR(클레임조회!$C$10="",ISNUMBER(SEARCH(클레임조회!$C$10,$C1663&amp;" "&amp;$F1663&amp;" "&amp;$G1663&amp;" "&amp;$H1663)))),COUNT(O$1:O1662)+1,"")</f>
        <v/>
      </c>
      <c r="P1663" s="0" t="str">
        <f aca="false">IF(AND(TRIM(C1663)&lt;&gt;"",COUNTIF(C$2:C1663,C1663)=1),MAX(P$1:P1662)+1,"")</f>
        <v/>
      </c>
      <c r="Q1663" s="0" t="str">
        <f aca="false">IF(AND(TRIM(F1663)&lt;&gt;"",COUNTIF(F$2:F1663,F1663)=1),MAX(Q$1:Q1662)+1,"")</f>
        <v/>
      </c>
    </row>
    <row r="1664" customFormat="false" ht="15" hidden="false" customHeight="false" outlineLevel="0" collapsed="false">
      <c r="A1664" s="9"/>
      <c r="B1664" s="10"/>
      <c r="C1664" s="11"/>
      <c r="D1664" s="11"/>
      <c r="E1664" s="11"/>
      <c r="F1664" s="11"/>
      <c r="G1664" s="12"/>
      <c r="H1664" s="12"/>
      <c r="I1664" s="10"/>
      <c r="J1664" s="12"/>
      <c r="K1664" s="13" t="str">
        <f aca="false">IF(ISNUMBER(B1664),YEAR(B1664),"")</f>
        <v/>
      </c>
      <c r="L1664" s="13" t="str">
        <f aca="false">IF(ISNUMBER(B1664),MONTH(B1664),"")</f>
        <v/>
      </c>
      <c r="M1664" s="13" t="str">
        <f aca="false">IF(AND(ISNUMBER(B1664),ISNUMBER(I1664)),B1664-I1664+1,"")</f>
        <v/>
      </c>
      <c r="N1664" s="14" t="str">
        <f aca="false">IF(B1664="","",IF(M1664="","시작일 미입력",IF(M1664&lt;1,"시작일 이전(확인)",IF(M1664=1,"1일째",IF(M1664=2,"2일째",IF(M1664=3,"3일째",IF(M1664&lt;=7,"일주일 이내",IF(M1664&lt;=14,"이주일 이내","15일 이후"))))))))</f>
        <v/>
      </c>
      <c r="O1664" s="0" t="str">
        <f aca="false">IF(AND(COUNTA($A1664:$J1664)&gt;0,OR(클레임조회!$C$4="",AND(ISNUMBER($B1664),$B1664&gt;=클레임조회!$C$4)),OR(클레임조회!$C$5="",AND(ISNUMBER($B1664),$B1664&lt;=클레임조회!$C$5)),OR(클레임조회!$C$6="",$C1664=클레임조회!$C$6),OR(클레임조회!$C$7="",$D1664=클레임조회!$C$7),OR(클레임조회!$C$8="",$E1664=클레임조회!$C$8),OR(클레임조회!$C$9="",$F1664=클레임조회!$C$9),OR(클레임조회!$C$10="",ISNUMBER(SEARCH(클레임조회!$C$10,$C1664&amp;" "&amp;$F1664&amp;" "&amp;$G1664&amp;" "&amp;$H1664)))),COUNT(O$1:O1663)+1,"")</f>
        <v/>
      </c>
      <c r="P1664" s="0" t="str">
        <f aca="false">IF(AND(TRIM(C1664)&lt;&gt;"",COUNTIF(C$2:C1664,C1664)=1),MAX(P$1:P1663)+1,"")</f>
        <v/>
      </c>
      <c r="Q1664" s="0" t="str">
        <f aca="false">IF(AND(TRIM(F1664)&lt;&gt;"",COUNTIF(F$2:F1664,F1664)=1),MAX(Q$1:Q1663)+1,"")</f>
        <v/>
      </c>
    </row>
    <row r="1665" customFormat="false" ht="15" hidden="false" customHeight="false" outlineLevel="0" collapsed="false">
      <c r="A1665" s="9"/>
      <c r="B1665" s="10"/>
      <c r="C1665" s="11"/>
      <c r="D1665" s="11"/>
      <c r="E1665" s="11"/>
      <c r="F1665" s="11"/>
      <c r="G1665" s="12"/>
      <c r="H1665" s="12"/>
      <c r="I1665" s="10"/>
      <c r="J1665" s="12"/>
      <c r="K1665" s="13" t="str">
        <f aca="false">IF(ISNUMBER(B1665),YEAR(B1665),"")</f>
        <v/>
      </c>
      <c r="L1665" s="13" t="str">
        <f aca="false">IF(ISNUMBER(B1665),MONTH(B1665),"")</f>
        <v/>
      </c>
      <c r="M1665" s="13" t="str">
        <f aca="false">IF(AND(ISNUMBER(B1665),ISNUMBER(I1665)),B1665-I1665+1,"")</f>
        <v/>
      </c>
      <c r="N1665" s="14" t="str">
        <f aca="false">IF(B1665="","",IF(M1665="","시작일 미입력",IF(M1665&lt;1,"시작일 이전(확인)",IF(M1665=1,"1일째",IF(M1665=2,"2일째",IF(M1665=3,"3일째",IF(M1665&lt;=7,"일주일 이내",IF(M1665&lt;=14,"이주일 이내","15일 이후"))))))))</f>
        <v/>
      </c>
      <c r="O1665" s="0" t="str">
        <f aca="false">IF(AND(COUNTA($A1665:$J1665)&gt;0,OR(클레임조회!$C$4="",AND(ISNUMBER($B1665),$B1665&gt;=클레임조회!$C$4)),OR(클레임조회!$C$5="",AND(ISNUMBER($B1665),$B1665&lt;=클레임조회!$C$5)),OR(클레임조회!$C$6="",$C1665=클레임조회!$C$6),OR(클레임조회!$C$7="",$D1665=클레임조회!$C$7),OR(클레임조회!$C$8="",$E1665=클레임조회!$C$8),OR(클레임조회!$C$9="",$F1665=클레임조회!$C$9),OR(클레임조회!$C$10="",ISNUMBER(SEARCH(클레임조회!$C$10,$C1665&amp;" "&amp;$F1665&amp;" "&amp;$G1665&amp;" "&amp;$H1665)))),COUNT(O$1:O1664)+1,"")</f>
        <v/>
      </c>
      <c r="P1665" s="0" t="str">
        <f aca="false">IF(AND(TRIM(C1665)&lt;&gt;"",COUNTIF(C$2:C1665,C1665)=1),MAX(P$1:P1664)+1,"")</f>
        <v/>
      </c>
      <c r="Q1665" s="0" t="str">
        <f aca="false">IF(AND(TRIM(F1665)&lt;&gt;"",COUNTIF(F$2:F1665,F1665)=1),MAX(Q$1:Q1664)+1,"")</f>
        <v/>
      </c>
    </row>
    <row r="1666" customFormat="false" ht="15" hidden="false" customHeight="false" outlineLevel="0" collapsed="false">
      <c r="A1666" s="9"/>
      <c r="B1666" s="10"/>
      <c r="C1666" s="11"/>
      <c r="D1666" s="11"/>
      <c r="E1666" s="11"/>
      <c r="F1666" s="11"/>
      <c r="G1666" s="12"/>
      <c r="H1666" s="12"/>
      <c r="I1666" s="10"/>
      <c r="J1666" s="12"/>
      <c r="K1666" s="13" t="str">
        <f aca="false">IF(ISNUMBER(B1666),YEAR(B1666),"")</f>
        <v/>
      </c>
      <c r="L1666" s="13" t="str">
        <f aca="false">IF(ISNUMBER(B1666),MONTH(B1666),"")</f>
        <v/>
      </c>
      <c r="M1666" s="13" t="str">
        <f aca="false">IF(AND(ISNUMBER(B1666),ISNUMBER(I1666)),B1666-I1666+1,"")</f>
        <v/>
      </c>
      <c r="N1666" s="14" t="str">
        <f aca="false">IF(B1666="","",IF(M1666="","시작일 미입력",IF(M1666&lt;1,"시작일 이전(확인)",IF(M1666=1,"1일째",IF(M1666=2,"2일째",IF(M1666=3,"3일째",IF(M1666&lt;=7,"일주일 이내",IF(M1666&lt;=14,"이주일 이내","15일 이후"))))))))</f>
        <v/>
      </c>
      <c r="O1666" s="0" t="str">
        <f aca="false">IF(AND(COUNTA($A1666:$J1666)&gt;0,OR(클레임조회!$C$4="",AND(ISNUMBER($B1666),$B1666&gt;=클레임조회!$C$4)),OR(클레임조회!$C$5="",AND(ISNUMBER($B1666),$B1666&lt;=클레임조회!$C$5)),OR(클레임조회!$C$6="",$C1666=클레임조회!$C$6),OR(클레임조회!$C$7="",$D1666=클레임조회!$C$7),OR(클레임조회!$C$8="",$E1666=클레임조회!$C$8),OR(클레임조회!$C$9="",$F1666=클레임조회!$C$9),OR(클레임조회!$C$10="",ISNUMBER(SEARCH(클레임조회!$C$10,$C1666&amp;" "&amp;$F1666&amp;" "&amp;$G1666&amp;" "&amp;$H1666)))),COUNT(O$1:O1665)+1,"")</f>
        <v/>
      </c>
      <c r="P1666" s="0" t="str">
        <f aca="false">IF(AND(TRIM(C1666)&lt;&gt;"",COUNTIF(C$2:C1666,C1666)=1),MAX(P$1:P1665)+1,"")</f>
        <v/>
      </c>
      <c r="Q1666" s="0" t="str">
        <f aca="false">IF(AND(TRIM(F1666)&lt;&gt;"",COUNTIF(F$2:F1666,F1666)=1),MAX(Q$1:Q1665)+1,"")</f>
        <v/>
      </c>
    </row>
    <row r="1667" customFormat="false" ht="15" hidden="false" customHeight="false" outlineLevel="0" collapsed="false">
      <c r="A1667" s="9"/>
      <c r="B1667" s="10"/>
      <c r="C1667" s="11"/>
      <c r="D1667" s="11"/>
      <c r="E1667" s="11"/>
      <c r="F1667" s="11"/>
      <c r="G1667" s="12"/>
      <c r="H1667" s="12"/>
      <c r="I1667" s="10"/>
      <c r="J1667" s="12"/>
      <c r="K1667" s="13" t="str">
        <f aca="false">IF(ISNUMBER(B1667),YEAR(B1667),"")</f>
        <v/>
      </c>
      <c r="L1667" s="13" t="str">
        <f aca="false">IF(ISNUMBER(B1667),MONTH(B1667),"")</f>
        <v/>
      </c>
      <c r="M1667" s="13" t="str">
        <f aca="false">IF(AND(ISNUMBER(B1667),ISNUMBER(I1667)),B1667-I1667+1,"")</f>
        <v/>
      </c>
      <c r="N1667" s="14" t="str">
        <f aca="false">IF(B1667="","",IF(M1667="","시작일 미입력",IF(M1667&lt;1,"시작일 이전(확인)",IF(M1667=1,"1일째",IF(M1667=2,"2일째",IF(M1667=3,"3일째",IF(M1667&lt;=7,"일주일 이내",IF(M1667&lt;=14,"이주일 이내","15일 이후"))))))))</f>
        <v/>
      </c>
      <c r="O1667" s="0" t="str">
        <f aca="false">IF(AND(COUNTA($A1667:$J1667)&gt;0,OR(클레임조회!$C$4="",AND(ISNUMBER($B1667),$B1667&gt;=클레임조회!$C$4)),OR(클레임조회!$C$5="",AND(ISNUMBER($B1667),$B1667&lt;=클레임조회!$C$5)),OR(클레임조회!$C$6="",$C1667=클레임조회!$C$6),OR(클레임조회!$C$7="",$D1667=클레임조회!$C$7),OR(클레임조회!$C$8="",$E1667=클레임조회!$C$8),OR(클레임조회!$C$9="",$F1667=클레임조회!$C$9),OR(클레임조회!$C$10="",ISNUMBER(SEARCH(클레임조회!$C$10,$C1667&amp;" "&amp;$F1667&amp;" "&amp;$G1667&amp;" "&amp;$H1667)))),COUNT(O$1:O1666)+1,"")</f>
        <v/>
      </c>
      <c r="P1667" s="0" t="str">
        <f aca="false">IF(AND(TRIM(C1667)&lt;&gt;"",COUNTIF(C$2:C1667,C1667)=1),MAX(P$1:P1666)+1,"")</f>
        <v/>
      </c>
      <c r="Q1667" s="0" t="str">
        <f aca="false">IF(AND(TRIM(F1667)&lt;&gt;"",COUNTIF(F$2:F1667,F1667)=1),MAX(Q$1:Q1666)+1,"")</f>
        <v/>
      </c>
    </row>
    <row r="1668" customFormat="false" ht="15" hidden="false" customHeight="false" outlineLevel="0" collapsed="false">
      <c r="A1668" s="9"/>
      <c r="B1668" s="10"/>
      <c r="C1668" s="11"/>
      <c r="D1668" s="11"/>
      <c r="E1668" s="11"/>
      <c r="F1668" s="11"/>
      <c r="G1668" s="12"/>
      <c r="H1668" s="12"/>
      <c r="I1668" s="10"/>
      <c r="J1668" s="12"/>
      <c r="K1668" s="13" t="str">
        <f aca="false">IF(ISNUMBER(B1668),YEAR(B1668),"")</f>
        <v/>
      </c>
      <c r="L1668" s="13" t="str">
        <f aca="false">IF(ISNUMBER(B1668),MONTH(B1668),"")</f>
        <v/>
      </c>
      <c r="M1668" s="13" t="str">
        <f aca="false">IF(AND(ISNUMBER(B1668),ISNUMBER(I1668)),B1668-I1668+1,"")</f>
        <v/>
      </c>
      <c r="N1668" s="14" t="str">
        <f aca="false">IF(B1668="","",IF(M1668="","시작일 미입력",IF(M1668&lt;1,"시작일 이전(확인)",IF(M1668=1,"1일째",IF(M1668=2,"2일째",IF(M1668=3,"3일째",IF(M1668&lt;=7,"일주일 이내",IF(M1668&lt;=14,"이주일 이내","15일 이후"))))))))</f>
        <v/>
      </c>
      <c r="O1668" s="0" t="str">
        <f aca="false">IF(AND(COUNTA($A1668:$J1668)&gt;0,OR(클레임조회!$C$4="",AND(ISNUMBER($B1668),$B1668&gt;=클레임조회!$C$4)),OR(클레임조회!$C$5="",AND(ISNUMBER($B1668),$B1668&lt;=클레임조회!$C$5)),OR(클레임조회!$C$6="",$C1668=클레임조회!$C$6),OR(클레임조회!$C$7="",$D1668=클레임조회!$C$7),OR(클레임조회!$C$8="",$E1668=클레임조회!$C$8),OR(클레임조회!$C$9="",$F1668=클레임조회!$C$9),OR(클레임조회!$C$10="",ISNUMBER(SEARCH(클레임조회!$C$10,$C1668&amp;" "&amp;$F1668&amp;" "&amp;$G1668&amp;" "&amp;$H1668)))),COUNT(O$1:O1667)+1,"")</f>
        <v/>
      </c>
      <c r="P1668" s="0" t="str">
        <f aca="false">IF(AND(TRIM(C1668)&lt;&gt;"",COUNTIF(C$2:C1668,C1668)=1),MAX(P$1:P1667)+1,"")</f>
        <v/>
      </c>
      <c r="Q1668" s="0" t="str">
        <f aca="false">IF(AND(TRIM(F1668)&lt;&gt;"",COUNTIF(F$2:F1668,F1668)=1),MAX(Q$1:Q1667)+1,"")</f>
        <v/>
      </c>
    </row>
    <row r="1669" customFormat="false" ht="15" hidden="false" customHeight="false" outlineLevel="0" collapsed="false">
      <c r="A1669" s="9"/>
      <c r="B1669" s="10"/>
      <c r="C1669" s="11"/>
      <c r="D1669" s="11"/>
      <c r="E1669" s="11"/>
      <c r="F1669" s="11"/>
      <c r="G1669" s="12"/>
      <c r="H1669" s="12"/>
      <c r="I1669" s="10"/>
      <c r="J1669" s="12"/>
      <c r="K1669" s="13" t="str">
        <f aca="false">IF(ISNUMBER(B1669),YEAR(B1669),"")</f>
        <v/>
      </c>
      <c r="L1669" s="13" t="str">
        <f aca="false">IF(ISNUMBER(B1669),MONTH(B1669),"")</f>
        <v/>
      </c>
      <c r="M1669" s="13" t="str">
        <f aca="false">IF(AND(ISNUMBER(B1669),ISNUMBER(I1669)),B1669-I1669+1,"")</f>
        <v/>
      </c>
      <c r="N1669" s="14" t="str">
        <f aca="false">IF(B1669="","",IF(M1669="","시작일 미입력",IF(M1669&lt;1,"시작일 이전(확인)",IF(M1669=1,"1일째",IF(M1669=2,"2일째",IF(M1669=3,"3일째",IF(M1669&lt;=7,"일주일 이내",IF(M1669&lt;=14,"이주일 이내","15일 이후"))))))))</f>
        <v/>
      </c>
      <c r="O1669" s="0" t="str">
        <f aca="false">IF(AND(COUNTA($A1669:$J1669)&gt;0,OR(클레임조회!$C$4="",AND(ISNUMBER($B1669),$B1669&gt;=클레임조회!$C$4)),OR(클레임조회!$C$5="",AND(ISNUMBER($B1669),$B1669&lt;=클레임조회!$C$5)),OR(클레임조회!$C$6="",$C1669=클레임조회!$C$6),OR(클레임조회!$C$7="",$D1669=클레임조회!$C$7),OR(클레임조회!$C$8="",$E1669=클레임조회!$C$8),OR(클레임조회!$C$9="",$F1669=클레임조회!$C$9),OR(클레임조회!$C$10="",ISNUMBER(SEARCH(클레임조회!$C$10,$C1669&amp;" "&amp;$F1669&amp;" "&amp;$G1669&amp;" "&amp;$H1669)))),COUNT(O$1:O1668)+1,"")</f>
        <v/>
      </c>
      <c r="P1669" s="0" t="str">
        <f aca="false">IF(AND(TRIM(C1669)&lt;&gt;"",COUNTIF(C$2:C1669,C1669)=1),MAX(P$1:P1668)+1,"")</f>
        <v/>
      </c>
      <c r="Q1669" s="0" t="str">
        <f aca="false">IF(AND(TRIM(F1669)&lt;&gt;"",COUNTIF(F$2:F1669,F1669)=1),MAX(Q$1:Q1668)+1,"")</f>
        <v/>
      </c>
    </row>
    <row r="1670" customFormat="false" ht="15" hidden="false" customHeight="false" outlineLevel="0" collapsed="false">
      <c r="A1670" s="9"/>
      <c r="B1670" s="10"/>
      <c r="C1670" s="11"/>
      <c r="D1670" s="11"/>
      <c r="E1670" s="11"/>
      <c r="F1670" s="11"/>
      <c r="G1670" s="12"/>
      <c r="H1670" s="12"/>
      <c r="I1670" s="10"/>
      <c r="J1670" s="12"/>
      <c r="K1670" s="13" t="str">
        <f aca="false">IF(ISNUMBER(B1670),YEAR(B1670),"")</f>
        <v/>
      </c>
      <c r="L1670" s="13" t="str">
        <f aca="false">IF(ISNUMBER(B1670),MONTH(B1670),"")</f>
        <v/>
      </c>
      <c r="M1670" s="13" t="str">
        <f aca="false">IF(AND(ISNUMBER(B1670),ISNUMBER(I1670)),B1670-I1670+1,"")</f>
        <v/>
      </c>
      <c r="N1670" s="14" t="str">
        <f aca="false">IF(B1670="","",IF(M1670="","시작일 미입력",IF(M1670&lt;1,"시작일 이전(확인)",IF(M1670=1,"1일째",IF(M1670=2,"2일째",IF(M1670=3,"3일째",IF(M1670&lt;=7,"일주일 이내",IF(M1670&lt;=14,"이주일 이내","15일 이후"))))))))</f>
        <v/>
      </c>
      <c r="O1670" s="0" t="str">
        <f aca="false">IF(AND(COUNTA($A1670:$J1670)&gt;0,OR(클레임조회!$C$4="",AND(ISNUMBER($B1670),$B1670&gt;=클레임조회!$C$4)),OR(클레임조회!$C$5="",AND(ISNUMBER($B1670),$B1670&lt;=클레임조회!$C$5)),OR(클레임조회!$C$6="",$C1670=클레임조회!$C$6),OR(클레임조회!$C$7="",$D1670=클레임조회!$C$7),OR(클레임조회!$C$8="",$E1670=클레임조회!$C$8),OR(클레임조회!$C$9="",$F1670=클레임조회!$C$9),OR(클레임조회!$C$10="",ISNUMBER(SEARCH(클레임조회!$C$10,$C1670&amp;" "&amp;$F1670&amp;" "&amp;$G1670&amp;" "&amp;$H1670)))),COUNT(O$1:O1669)+1,"")</f>
        <v/>
      </c>
      <c r="P1670" s="0" t="str">
        <f aca="false">IF(AND(TRIM(C1670)&lt;&gt;"",COUNTIF(C$2:C1670,C1670)=1),MAX(P$1:P1669)+1,"")</f>
        <v/>
      </c>
      <c r="Q1670" s="0" t="str">
        <f aca="false">IF(AND(TRIM(F1670)&lt;&gt;"",COUNTIF(F$2:F1670,F1670)=1),MAX(Q$1:Q1669)+1,"")</f>
        <v/>
      </c>
    </row>
    <row r="1671" customFormat="false" ht="15" hidden="false" customHeight="false" outlineLevel="0" collapsed="false">
      <c r="A1671" s="9"/>
      <c r="B1671" s="10"/>
      <c r="C1671" s="11"/>
      <c r="D1671" s="11"/>
      <c r="E1671" s="11"/>
      <c r="F1671" s="11"/>
      <c r="G1671" s="12"/>
      <c r="H1671" s="12"/>
      <c r="I1671" s="10"/>
      <c r="J1671" s="12"/>
      <c r="K1671" s="13" t="str">
        <f aca="false">IF(ISNUMBER(B1671),YEAR(B1671),"")</f>
        <v/>
      </c>
      <c r="L1671" s="13" t="str">
        <f aca="false">IF(ISNUMBER(B1671),MONTH(B1671),"")</f>
        <v/>
      </c>
      <c r="M1671" s="13" t="str">
        <f aca="false">IF(AND(ISNUMBER(B1671),ISNUMBER(I1671)),B1671-I1671+1,"")</f>
        <v/>
      </c>
      <c r="N1671" s="14" t="str">
        <f aca="false">IF(B1671="","",IF(M1671="","시작일 미입력",IF(M1671&lt;1,"시작일 이전(확인)",IF(M1671=1,"1일째",IF(M1671=2,"2일째",IF(M1671=3,"3일째",IF(M1671&lt;=7,"일주일 이내",IF(M1671&lt;=14,"이주일 이내","15일 이후"))))))))</f>
        <v/>
      </c>
      <c r="O1671" s="0" t="str">
        <f aca="false">IF(AND(COUNTA($A1671:$J1671)&gt;0,OR(클레임조회!$C$4="",AND(ISNUMBER($B1671),$B1671&gt;=클레임조회!$C$4)),OR(클레임조회!$C$5="",AND(ISNUMBER($B1671),$B1671&lt;=클레임조회!$C$5)),OR(클레임조회!$C$6="",$C1671=클레임조회!$C$6),OR(클레임조회!$C$7="",$D1671=클레임조회!$C$7),OR(클레임조회!$C$8="",$E1671=클레임조회!$C$8),OR(클레임조회!$C$9="",$F1671=클레임조회!$C$9),OR(클레임조회!$C$10="",ISNUMBER(SEARCH(클레임조회!$C$10,$C1671&amp;" "&amp;$F1671&amp;" "&amp;$G1671&amp;" "&amp;$H1671)))),COUNT(O$1:O1670)+1,"")</f>
        <v/>
      </c>
      <c r="P1671" s="0" t="str">
        <f aca="false">IF(AND(TRIM(C1671)&lt;&gt;"",COUNTIF(C$2:C1671,C1671)=1),MAX(P$1:P1670)+1,"")</f>
        <v/>
      </c>
      <c r="Q1671" s="0" t="str">
        <f aca="false">IF(AND(TRIM(F1671)&lt;&gt;"",COUNTIF(F$2:F1671,F1671)=1),MAX(Q$1:Q1670)+1,"")</f>
        <v/>
      </c>
    </row>
    <row r="1672" customFormat="false" ht="15" hidden="false" customHeight="false" outlineLevel="0" collapsed="false">
      <c r="A1672" s="9"/>
      <c r="B1672" s="10"/>
      <c r="C1672" s="11"/>
      <c r="D1672" s="11"/>
      <c r="E1672" s="11"/>
      <c r="F1672" s="11"/>
      <c r="G1672" s="12"/>
      <c r="H1672" s="12"/>
      <c r="I1672" s="10"/>
      <c r="J1672" s="12"/>
      <c r="K1672" s="13" t="str">
        <f aca="false">IF(ISNUMBER(B1672),YEAR(B1672),"")</f>
        <v/>
      </c>
      <c r="L1672" s="13" t="str">
        <f aca="false">IF(ISNUMBER(B1672),MONTH(B1672),"")</f>
        <v/>
      </c>
      <c r="M1672" s="13" t="str">
        <f aca="false">IF(AND(ISNUMBER(B1672),ISNUMBER(I1672)),B1672-I1672+1,"")</f>
        <v/>
      </c>
      <c r="N1672" s="14" t="str">
        <f aca="false">IF(B1672="","",IF(M1672="","시작일 미입력",IF(M1672&lt;1,"시작일 이전(확인)",IF(M1672=1,"1일째",IF(M1672=2,"2일째",IF(M1672=3,"3일째",IF(M1672&lt;=7,"일주일 이내",IF(M1672&lt;=14,"이주일 이내","15일 이후"))))))))</f>
        <v/>
      </c>
      <c r="O1672" s="0" t="str">
        <f aca="false">IF(AND(COUNTA($A1672:$J1672)&gt;0,OR(클레임조회!$C$4="",AND(ISNUMBER($B1672),$B1672&gt;=클레임조회!$C$4)),OR(클레임조회!$C$5="",AND(ISNUMBER($B1672),$B1672&lt;=클레임조회!$C$5)),OR(클레임조회!$C$6="",$C1672=클레임조회!$C$6),OR(클레임조회!$C$7="",$D1672=클레임조회!$C$7),OR(클레임조회!$C$8="",$E1672=클레임조회!$C$8),OR(클레임조회!$C$9="",$F1672=클레임조회!$C$9),OR(클레임조회!$C$10="",ISNUMBER(SEARCH(클레임조회!$C$10,$C1672&amp;" "&amp;$F1672&amp;" "&amp;$G1672&amp;" "&amp;$H1672)))),COUNT(O$1:O1671)+1,"")</f>
        <v/>
      </c>
      <c r="P1672" s="0" t="str">
        <f aca="false">IF(AND(TRIM(C1672)&lt;&gt;"",COUNTIF(C$2:C1672,C1672)=1),MAX(P$1:P1671)+1,"")</f>
        <v/>
      </c>
      <c r="Q1672" s="0" t="str">
        <f aca="false">IF(AND(TRIM(F1672)&lt;&gt;"",COUNTIF(F$2:F1672,F1672)=1),MAX(Q$1:Q1671)+1,"")</f>
        <v/>
      </c>
    </row>
    <row r="1673" customFormat="false" ht="15" hidden="false" customHeight="false" outlineLevel="0" collapsed="false">
      <c r="A1673" s="9"/>
      <c r="B1673" s="10"/>
      <c r="C1673" s="11"/>
      <c r="D1673" s="11"/>
      <c r="E1673" s="11"/>
      <c r="F1673" s="11"/>
      <c r="G1673" s="12"/>
      <c r="H1673" s="12"/>
      <c r="I1673" s="10"/>
      <c r="J1673" s="12"/>
      <c r="K1673" s="13" t="str">
        <f aca="false">IF(ISNUMBER(B1673),YEAR(B1673),"")</f>
        <v/>
      </c>
      <c r="L1673" s="13" t="str">
        <f aca="false">IF(ISNUMBER(B1673),MONTH(B1673),"")</f>
        <v/>
      </c>
      <c r="M1673" s="13" t="str">
        <f aca="false">IF(AND(ISNUMBER(B1673),ISNUMBER(I1673)),B1673-I1673+1,"")</f>
        <v/>
      </c>
      <c r="N1673" s="14" t="str">
        <f aca="false">IF(B1673="","",IF(M1673="","시작일 미입력",IF(M1673&lt;1,"시작일 이전(확인)",IF(M1673=1,"1일째",IF(M1673=2,"2일째",IF(M1673=3,"3일째",IF(M1673&lt;=7,"일주일 이내",IF(M1673&lt;=14,"이주일 이내","15일 이후"))))))))</f>
        <v/>
      </c>
      <c r="O1673" s="0" t="str">
        <f aca="false">IF(AND(COUNTA($A1673:$J1673)&gt;0,OR(클레임조회!$C$4="",AND(ISNUMBER($B1673),$B1673&gt;=클레임조회!$C$4)),OR(클레임조회!$C$5="",AND(ISNUMBER($B1673),$B1673&lt;=클레임조회!$C$5)),OR(클레임조회!$C$6="",$C1673=클레임조회!$C$6),OR(클레임조회!$C$7="",$D1673=클레임조회!$C$7),OR(클레임조회!$C$8="",$E1673=클레임조회!$C$8),OR(클레임조회!$C$9="",$F1673=클레임조회!$C$9),OR(클레임조회!$C$10="",ISNUMBER(SEARCH(클레임조회!$C$10,$C1673&amp;" "&amp;$F1673&amp;" "&amp;$G1673&amp;" "&amp;$H1673)))),COUNT(O$1:O1672)+1,"")</f>
        <v/>
      </c>
      <c r="P1673" s="0" t="str">
        <f aca="false">IF(AND(TRIM(C1673)&lt;&gt;"",COUNTIF(C$2:C1673,C1673)=1),MAX(P$1:P1672)+1,"")</f>
        <v/>
      </c>
      <c r="Q1673" s="0" t="str">
        <f aca="false">IF(AND(TRIM(F1673)&lt;&gt;"",COUNTIF(F$2:F1673,F1673)=1),MAX(Q$1:Q1672)+1,"")</f>
        <v/>
      </c>
    </row>
    <row r="1674" customFormat="false" ht="15" hidden="false" customHeight="false" outlineLevel="0" collapsed="false">
      <c r="A1674" s="9"/>
      <c r="B1674" s="10"/>
      <c r="C1674" s="11"/>
      <c r="D1674" s="11"/>
      <c r="E1674" s="11"/>
      <c r="F1674" s="11"/>
      <c r="G1674" s="12"/>
      <c r="H1674" s="12"/>
      <c r="I1674" s="10"/>
      <c r="J1674" s="12"/>
      <c r="K1674" s="13" t="str">
        <f aca="false">IF(ISNUMBER(B1674),YEAR(B1674),"")</f>
        <v/>
      </c>
      <c r="L1674" s="13" t="str">
        <f aca="false">IF(ISNUMBER(B1674),MONTH(B1674),"")</f>
        <v/>
      </c>
      <c r="M1674" s="13" t="str">
        <f aca="false">IF(AND(ISNUMBER(B1674),ISNUMBER(I1674)),B1674-I1674+1,"")</f>
        <v/>
      </c>
      <c r="N1674" s="14" t="str">
        <f aca="false">IF(B1674="","",IF(M1674="","시작일 미입력",IF(M1674&lt;1,"시작일 이전(확인)",IF(M1674=1,"1일째",IF(M1674=2,"2일째",IF(M1674=3,"3일째",IF(M1674&lt;=7,"일주일 이내",IF(M1674&lt;=14,"이주일 이내","15일 이후"))))))))</f>
        <v/>
      </c>
      <c r="O1674" s="0" t="str">
        <f aca="false">IF(AND(COUNTA($A1674:$J1674)&gt;0,OR(클레임조회!$C$4="",AND(ISNUMBER($B1674),$B1674&gt;=클레임조회!$C$4)),OR(클레임조회!$C$5="",AND(ISNUMBER($B1674),$B1674&lt;=클레임조회!$C$5)),OR(클레임조회!$C$6="",$C1674=클레임조회!$C$6),OR(클레임조회!$C$7="",$D1674=클레임조회!$C$7),OR(클레임조회!$C$8="",$E1674=클레임조회!$C$8),OR(클레임조회!$C$9="",$F1674=클레임조회!$C$9),OR(클레임조회!$C$10="",ISNUMBER(SEARCH(클레임조회!$C$10,$C1674&amp;" "&amp;$F1674&amp;" "&amp;$G1674&amp;" "&amp;$H1674)))),COUNT(O$1:O1673)+1,"")</f>
        <v/>
      </c>
      <c r="P1674" s="0" t="str">
        <f aca="false">IF(AND(TRIM(C1674)&lt;&gt;"",COUNTIF(C$2:C1674,C1674)=1),MAX(P$1:P1673)+1,"")</f>
        <v/>
      </c>
      <c r="Q1674" s="0" t="str">
        <f aca="false">IF(AND(TRIM(F1674)&lt;&gt;"",COUNTIF(F$2:F1674,F1674)=1),MAX(Q$1:Q1673)+1,"")</f>
        <v/>
      </c>
    </row>
    <row r="1675" customFormat="false" ht="15" hidden="false" customHeight="false" outlineLevel="0" collapsed="false">
      <c r="A1675" s="9"/>
      <c r="B1675" s="10"/>
      <c r="C1675" s="11"/>
      <c r="D1675" s="11"/>
      <c r="E1675" s="11"/>
      <c r="F1675" s="11"/>
      <c r="G1675" s="12"/>
      <c r="H1675" s="12"/>
      <c r="I1675" s="10"/>
      <c r="J1675" s="12"/>
      <c r="K1675" s="13" t="str">
        <f aca="false">IF(ISNUMBER(B1675),YEAR(B1675),"")</f>
        <v/>
      </c>
      <c r="L1675" s="13" t="str">
        <f aca="false">IF(ISNUMBER(B1675),MONTH(B1675),"")</f>
        <v/>
      </c>
      <c r="M1675" s="13" t="str">
        <f aca="false">IF(AND(ISNUMBER(B1675),ISNUMBER(I1675)),B1675-I1675+1,"")</f>
        <v/>
      </c>
      <c r="N1675" s="14" t="str">
        <f aca="false">IF(B1675="","",IF(M1675="","시작일 미입력",IF(M1675&lt;1,"시작일 이전(확인)",IF(M1675=1,"1일째",IF(M1675=2,"2일째",IF(M1675=3,"3일째",IF(M1675&lt;=7,"일주일 이내",IF(M1675&lt;=14,"이주일 이내","15일 이후"))))))))</f>
        <v/>
      </c>
      <c r="O1675" s="0" t="str">
        <f aca="false">IF(AND(COUNTA($A1675:$J1675)&gt;0,OR(클레임조회!$C$4="",AND(ISNUMBER($B1675),$B1675&gt;=클레임조회!$C$4)),OR(클레임조회!$C$5="",AND(ISNUMBER($B1675),$B1675&lt;=클레임조회!$C$5)),OR(클레임조회!$C$6="",$C1675=클레임조회!$C$6),OR(클레임조회!$C$7="",$D1675=클레임조회!$C$7),OR(클레임조회!$C$8="",$E1675=클레임조회!$C$8),OR(클레임조회!$C$9="",$F1675=클레임조회!$C$9),OR(클레임조회!$C$10="",ISNUMBER(SEARCH(클레임조회!$C$10,$C1675&amp;" "&amp;$F1675&amp;" "&amp;$G1675&amp;" "&amp;$H1675)))),COUNT(O$1:O1674)+1,"")</f>
        <v/>
      </c>
      <c r="P1675" s="0" t="str">
        <f aca="false">IF(AND(TRIM(C1675)&lt;&gt;"",COUNTIF(C$2:C1675,C1675)=1),MAX(P$1:P1674)+1,"")</f>
        <v/>
      </c>
      <c r="Q1675" s="0" t="str">
        <f aca="false">IF(AND(TRIM(F1675)&lt;&gt;"",COUNTIF(F$2:F1675,F1675)=1),MAX(Q$1:Q1674)+1,"")</f>
        <v/>
      </c>
    </row>
    <row r="1676" customFormat="false" ht="15" hidden="false" customHeight="false" outlineLevel="0" collapsed="false">
      <c r="A1676" s="9"/>
      <c r="B1676" s="10"/>
      <c r="C1676" s="11"/>
      <c r="D1676" s="11"/>
      <c r="E1676" s="11"/>
      <c r="F1676" s="11"/>
      <c r="G1676" s="12"/>
      <c r="H1676" s="12"/>
      <c r="I1676" s="10"/>
      <c r="J1676" s="12"/>
      <c r="K1676" s="13" t="str">
        <f aca="false">IF(ISNUMBER(B1676),YEAR(B1676),"")</f>
        <v/>
      </c>
      <c r="L1676" s="13" t="str">
        <f aca="false">IF(ISNUMBER(B1676),MONTH(B1676),"")</f>
        <v/>
      </c>
      <c r="M1676" s="13" t="str">
        <f aca="false">IF(AND(ISNUMBER(B1676),ISNUMBER(I1676)),B1676-I1676+1,"")</f>
        <v/>
      </c>
      <c r="N1676" s="14" t="str">
        <f aca="false">IF(B1676="","",IF(M1676="","시작일 미입력",IF(M1676&lt;1,"시작일 이전(확인)",IF(M1676=1,"1일째",IF(M1676=2,"2일째",IF(M1676=3,"3일째",IF(M1676&lt;=7,"일주일 이내",IF(M1676&lt;=14,"이주일 이내","15일 이후"))))))))</f>
        <v/>
      </c>
      <c r="O1676" s="0" t="str">
        <f aca="false">IF(AND(COUNTA($A1676:$J1676)&gt;0,OR(클레임조회!$C$4="",AND(ISNUMBER($B1676),$B1676&gt;=클레임조회!$C$4)),OR(클레임조회!$C$5="",AND(ISNUMBER($B1676),$B1676&lt;=클레임조회!$C$5)),OR(클레임조회!$C$6="",$C1676=클레임조회!$C$6),OR(클레임조회!$C$7="",$D1676=클레임조회!$C$7),OR(클레임조회!$C$8="",$E1676=클레임조회!$C$8),OR(클레임조회!$C$9="",$F1676=클레임조회!$C$9),OR(클레임조회!$C$10="",ISNUMBER(SEARCH(클레임조회!$C$10,$C1676&amp;" "&amp;$F1676&amp;" "&amp;$G1676&amp;" "&amp;$H1676)))),COUNT(O$1:O1675)+1,"")</f>
        <v/>
      </c>
      <c r="P1676" s="0" t="str">
        <f aca="false">IF(AND(TRIM(C1676)&lt;&gt;"",COUNTIF(C$2:C1676,C1676)=1),MAX(P$1:P1675)+1,"")</f>
        <v/>
      </c>
      <c r="Q1676" s="0" t="str">
        <f aca="false">IF(AND(TRIM(F1676)&lt;&gt;"",COUNTIF(F$2:F1676,F1676)=1),MAX(Q$1:Q1675)+1,"")</f>
        <v/>
      </c>
    </row>
    <row r="1677" customFormat="false" ht="15" hidden="false" customHeight="false" outlineLevel="0" collapsed="false">
      <c r="A1677" s="9"/>
      <c r="B1677" s="10"/>
      <c r="C1677" s="11"/>
      <c r="D1677" s="11"/>
      <c r="E1677" s="11"/>
      <c r="F1677" s="11"/>
      <c r="G1677" s="12"/>
      <c r="H1677" s="12"/>
      <c r="I1677" s="10"/>
      <c r="J1677" s="12"/>
      <c r="K1677" s="13" t="str">
        <f aca="false">IF(ISNUMBER(B1677),YEAR(B1677),"")</f>
        <v/>
      </c>
      <c r="L1677" s="13" t="str">
        <f aca="false">IF(ISNUMBER(B1677),MONTH(B1677),"")</f>
        <v/>
      </c>
      <c r="M1677" s="13" t="str">
        <f aca="false">IF(AND(ISNUMBER(B1677),ISNUMBER(I1677)),B1677-I1677+1,"")</f>
        <v/>
      </c>
      <c r="N1677" s="14" t="str">
        <f aca="false">IF(B1677="","",IF(M1677="","시작일 미입력",IF(M1677&lt;1,"시작일 이전(확인)",IF(M1677=1,"1일째",IF(M1677=2,"2일째",IF(M1677=3,"3일째",IF(M1677&lt;=7,"일주일 이내",IF(M1677&lt;=14,"이주일 이내","15일 이후"))))))))</f>
        <v/>
      </c>
      <c r="O1677" s="0" t="str">
        <f aca="false">IF(AND(COUNTA($A1677:$J1677)&gt;0,OR(클레임조회!$C$4="",AND(ISNUMBER($B1677),$B1677&gt;=클레임조회!$C$4)),OR(클레임조회!$C$5="",AND(ISNUMBER($B1677),$B1677&lt;=클레임조회!$C$5)),OR(클레임조회!$C$6="",$C1677=클레임조회!$C$6),OR(클레임조회!$C$7="",$D1677=클레임조회!$C$7),OR(클레임조회!$C$8="",$E1677=클레임조회!$C$8),OR(클레임조회!$C$9="",$F1677=클레임조회!$C$9),OR(클레임조회!$C$10="",ISNUMBER(SEARCH(클레임조회!$C$10,$C1677&amp;" "&amp;$F1677&amp;" "&amp;$G1677&amp;" "&amp;$H1677)))),COUNT(O$1:O1676)+1,"")</f>
        <v/>
      </c>
      <c r="P1677" s="0" t="str">
        <f aca="false">IF(AND(TRIM(C1677)&lt;&gt;"",COUNTIF(C$2:C1677,C1677)=1),MAX(P$1:P1676)+1,"")</f>
        <v/>
      </c>
      <c r="Q1677" s="0" t="str">
        <f aca="false">IF(AND(TRIM(F1677)&lt;&gt;"",COUNTIF(F$2:F1677,F1677)=1),MAX(Q$1:Q1676)+1,"")</f>
        <v/>
      </c>
    </row>
    <row r="1678" customFormat="false" ht="15" hidden="false" customHeight="false" outlineLevel="0" collapsed="false">
      <c r="A1678" s="9"/>
      <c r="B1678" s="10"/>
      <c r="C1678" s="11"/>
      <c r="D1678" s="11"/>
      <c r="E1678" s="11"/>
      <c r="F1678" s="11"/>
      <c r="G1678" s="12"/>
      <c r="H1678" s="12"/>
      <c r="I1678" s="10"/>
      <c r="J1678" s="12"/>
      <c r="K1678" s="13" t="str">
        <f aca="false">IF(ISNUMBER(B1678),YEAR(B1678),"")</f>
        <v/>
      </c>
      <c r="L1678" s="13" t="str">
        <f aca="false">IF(ISNUMBER(B1678),MONTH(B1678),"")</f>
        <v/>
      </c>
      <c r="M1678" s="13" t="str">
        <f aca="false">IF(AND(ISNUMBER(B1678),ISNUMBER(I1678)),B1678-I1678+1,"")</f>
        <v/>
      </c>
      <c r="N1678" s="14" t="str">
        <f aca="false">IF(B1678="","",IF(M1678="","시작일 미입력",IF(M1678&lt;1,"시작일 이전(확인)",IF(M1678=1,"1일째",IF(M1678=2,"2일째",IF(M1678=3,"3일째",IF(M1678&lt;=7,"일주일 이내",IF(M1678&lt;=14,"이주일 이내","15일 이후"))))))))</f>
        <v/>
      </c>
      <c r="O1678" s="0" t="str">
        <f aca="false">IF(AND(COUNTA($A1678:$J1678)&gt;0,OR(클레임조회!$C$4="",AND(ISNUMBER($B1678),$B1678&gt;=클레임조회!$C$4)),OR(클레임조회!$C$5="",AND(ISNUMBER($B1678),$B1678&lt;=클레임조회!$C$5)),OR(클레임조회!$C$6="",$C1678=클레임조회!$C$6),OR(클레임조회!$C$7="",$D1678=클레임조회!$C$7),OR(클레임조회!$C$8="",$E1678=클레임조회!$C$8),OR(클레임조회!$C$9="",$F1678=클레임조회!$C$9),OR(클레임조회!$C$10="",ISNUMBER(SEARCH(클레임조회!$C$10,$C1678&amp;" "&amp;$F1678&amp;" "&amp;$G1678&amp;" "&amp;$H1678)))),COUNT(O$1:O1677)+1,"")</f>
        <v/>
      </c>
      <c r="P1678" s="0" t="str">
        <f aca="false">IF(AND(TRIM(C1678)&lt;&gt;"",COUNTIF(C$2:C1678,C1678)=1),MAX(P$1:P1677)+1,"")</f>
        <v/>
      </c>
      <c r="Q1678" s="0" t="str">
        <f aca="false">IF(AND(TRIM(F1678)&lt;&gt;"",COUNTIF(F$2:F1678,F1678)=1),MAX(Q$1:Q1677)+1,"")</f>
        <v/>
      </c>
    </row>
    <row r="1679" customFormat="false" ht="15" hidden="false" customHeight="false" outlineLevel="0" collapsed="false">
      <c r="A1679" s="9"/>
      <c r="B1679" s="10"/>
      <c r="C1679" s="11"/>
      <c r="D1679" s="11"/>
      <c r="E1679" s="11"/>
      <c r="F1679" s="11"/>
      <c r="G1679" s="12"/>
      <c r="H1679" s="12"/>
      <c r="I1679" s="10"/>
      <c r="J1679" s="12"/>
      <c r="K1679" s="13" t="str">
        <f aca="false">IF(ISNUMBER(B1679),YEAR(B1679),"")</f>
        <v/>
      </c>
      <c r="L1679" s="13" t="str">
        <f aca="false">IF(ISNUMBER(B1679),MONTH(B1679),"")</f>
        <v/>
      </c>
      <c r="M1679" s="13" t="str">
        <f aca="false">IF(AND(ISNUMBER(B1679),ISNUMBER(I1679)),B1679-I1679+1,"")</f>
        <v/>
      </c>
      <c r="N1679" s="14" t="str">
        <f aca="false">IF(B1679="","",IF(M1679="","시작일 미입력",IF(M1679&lt;1,"시작일 이전(확인)",IF(M1679=1,"1일째",IF(M1679=2,"2일째",IF(M1679=3,"3일째",IF(M1679&lt;=7,"일주일 이내",IF(M1679&lt;=14,"이주일 이내","15일 이후"))))))))</f>
        <v/>
      </c>
      <c r="O1679" s="0" t="str">
        <f aca="false">IF(AND(COUNTA($A1679:$J1679)&gt;0,OR(클레임조회!$C$4="",AND(ISNUMBER($B1679),$B1679&gt;=클레임조회!$C$4)),OR(클레임조회!$C$5="",AND(ISNUMBER($B1679),$B1679&lt;=클레임조회!$C$5)),OR(클레임조회!$C$6="",$C1679=클레임조회!$C$6),OR(클레임조회!$C$7="",$D1679=클레임조회!$C$7),OR(클레임조회!$C$8="",$E1679=클레임조회!$C$8),OR(클레임조회!$C$9="",$F1679=클레임조회!$C$9),OR(클레임조회!$C$10="",ISNUMBER(SEARCH(클레임조회!$C$10,$C1679&amp;" "&amp;$F1679&amp;" "&amp;$G1679&amp;" "&amp;$H1679)))),COUNT(O$1:O1678)+1,"")</f>
        <v/>
      </c>
      <c r="P1679" s="0" t="str">
        <f aca="false">IF(AND(TRIM(C1679)&lt;&gt;"",COUNTIF(C$2:C1679,C1679)=1),MAX(P$1:P1678)+1,"")</f>
        <v/>
      </c>
      <c r="Q1679" s="0" t="str">
        <f aca="false">IF(AND(TRIM(F1679)&lt;&gt;"",COUNTIF(F$2:F1679,F1679)=1),MAX(Q$1:Q1678)+1,"")</f>
        <v/>
      </c>
    </row>
    <row r="1680" customFormat="false" ht="15" hidden="false" customHeight="false" outlineLevel="0" collapsed="false">
      <c r="A1680" s="9"/>
      <c r="B1680" s="10"/>
      <c r="C1680" s="11"/>
      <c r="D1680" s="11"/>
      <c r="E1680" s="11"/>
      <c r="F1680" s="11"/>
      <c r="G1680" s="12"/>
      <c r="H1680" s="12"/>
      <c r="I1680" s="10"/>
      <c r="J1680" s="12"/>
      <c r="K1680" s="13" t="str">
        <f aca="false">IF(ISNUMBER(B1680),YEAR(B1680),"")</f>
        <v/>
      </c>
      <c r="L1680" s="13" t="str">
        <f aca="false">IF(ISNUMBER(B1680),MONTH(B1680),"")</f>
        <v/>
      </c>
      <c r="M1680" s="13" t="str">
        <f aca="false">IF(AND(ISNUMBER(B1680),ISNUMBER(I1680)),B1680-I1680+1,"")</f>
        <v/>
      </c>
      <c r="N1680" s="14" t="str">
        <f aca="false">IF(B1680="","",IF(M1680="","시작일 미입력",IF(M1680&lt;1,"시작일 이전(확인)",IF(M1680=1,"1일째",IF(M1680=2,"2일째",IF(M1680=3,"3일째",IF(M1680&lt;=7,"일주일 이내",IF(M1680&lt;=14,"이주일 이내","15일 이후"))))))))</f>
        <v/>
      </c>
      <c r="O1680" s="0" t="str">
        <f aca="false">IF(AND(COUNTA($A1680:$J1680)&gt;0,OR(클레임조회!$C$4="",AND(ISNUMBER($B1680),$B1680&gt;=클레임조회!$C$4)),OR(클레임조회!$C$5="",AND(ISNUMBER($B1680),$B1680&lt;=클레임조회!$C$5)),OR(클레임조회!$C$6="",$C1680=클레임조회!$C$6),OR(클레임조회!$C$7="",$D1680=클레임조회!$C$7),OR(클레임조회!$C$8="",$E1680=클레임조회!$C$8),OR(클레임조회!$C$9="",$F1680=클레임조회!$C$9),OR(클레임조회!$C$10="",ISNUMBER(SEARCH(클레임조회!$C$10,$C1680&amp;" "&amp;$F1680&amp;" "&amp;$G1680&amp;" "&amp;$H1680)))),COUNT(O$1:O1679)+1,"")</f>
        <v/>
      </c>
      <c r="P1680" s="0" t="str">
        <f aca="false">IF(AND(TRIM(C1680)&lt;&gt;"",COUNTIF(C$2:C1680,C1680)=1),MAX(P$1:P1679)+1,"")</f>
        <v/>
      </c>
      <c r="Q1680" s="0" t="str">
        <f aca="false">IF(AND(TRIM(F1680)&lt;&gt;"",COUNTIF(F$2:F1680,F1680)=1),MAX(Q$1:Q1679)+1,"")</f>
        <v/>
      </c>
    </row>
    <row r="1681" customFormat="false" ht="15" hidden="false" customHeight="false" outlineLevel="0" collapsed="false">
      <c r="A1681" s="9"/>
      <c r="B1681" s="10"/>
      <c r="C1681" s="11"/>
      <c r="D1681" s="11"/>
      <c r="E1681" s="11"/>
      <c r="F1681" s="11"/>
      <c r="G1681" s="12"/>
      <c r="H1681" s="12"/>
      <c r="I1681" s="10"/>
      <c r="J1681" s="12"/>
      <c r="K1681" s="13" t="str">
        <f aca="false">IF(ISNUMBER(B1681),YEAR(B1681),"")</f>
        <v/>
      </c>
      <c r="L1681" s="13" t="str">
        <f aca="false">IF(ISNUMBER(B1681),MONTH(B1681),"")</f>
        <v/>
      </c>
      <c r="M1681" s="13" t="str">
        <f aca="false">IF(AND(ISNUMBER(B1681),ISNUMBER(I1681)),B1681-I1681+1,"")</f>
        <v/>
      </c>
      <c r="N1681" s="14" t="str">
        <f aca="false">IF(B1681="","",IF(M1681="","시작일 미입력",IF(M1681&lt;1,"시작일 이전(확인)",IF(M1681=1,"1일째",IF(M1681=2,"2일째",IF(M1681=3,"3일째",IF(M1681&lt;=7,"일주일 이내",IF(M1681&lt;=14,"이주일 이내","15일 이후"))))))))</f>
        <v/>
      </c>
      <c r="O1681" s="0" t="str">
        <f aca="false">IF(AND(COUNTA($A1681:$J1681)&gt;0,OR(클레임조회!$C$4="",AND(ISNUMBER($B1681),$B1681&gt;=클레임조회!$C$4)),OR(클레임조회!$C$5="",AND(ISNUMBER($B1681),$B1681&lt;=클레임조회!$C$5)),OR(클레임조회!$C$6="",$C1681=클레임조회!$C$6),OR(클레임조회!$C$7="",$D1681=클레임조회!$C$7),OR(클레임조회!$C$8="",$E1681=클레임조회!$C$8),OR(클레임조회!$C$9="",$F1681=클레임조회!$C$9),OR(클레임조회!$C$10="",ISNUMBER(SEARCH(클레임조회!$C$10,$C1681&amp;" "&amp;$F1681&amp;" "&amp;$G1681&amp;" "&amp;$H1681)))),COUNT(O$1:O1680)+1,"")</f>
        <v/>
      </c>
      <c r="P1681" s="0" t="str">
        <f aca="false">IF(AND(TRIM(C1681)&lt;&gt;"",COUNTIF(C$2:C1681,C1681)=1),MAX(P$1:P1680)+1,"")</f>
        <v/>
      </c>
      <c r="Q1681" s="0" t="str">
        <f aca="false">IF(AND(TRIM(F1681)&lt;&gt;"",COUNTIF(F$2:F1681,F1681)=1),MAX(Q$1:Q1680)+1,"")</f>
        <v/>
      </c>
    </row>
    <row r="1682" customFormat="false" ht="15" hidden="false" customHeight="false" outlineLevel="0" collapsed="false">
      <c r="A1682" s="9"/>
      <c r="B1682" s="10"/>
      <c r="C1682" s="11"/>
      <c r="D1682" s="11"/>
      <c r="E1682" s="11"/>
      <c r="F1682" s="11"/>
      <c r="G1682" s="12"/>
      <c r="H1682" s="12"/>
      <c r="I1682" s="10"/>
      <c r="J1682" s="12"/>
      <c r="K1682" s="13" t="str">
        <f aca="false">IF(ISNUMBER(B1682),YEAR(B1682),"")</f>
        <v/>
      </c>
      <c r="L1682" s="13" t="str">
        <f aca="false">IF(ISNUMBER(B1682),MONTH(B1682),"")</f>
        <v/>
      </c>
      <c r="M1682" s="13" t="str">
        <f aca="false">IF(AND(ISNUMBER(B1682),ISNUMBER(I1682)),B1682-I1682+1,"")</f>
        <v/>
      </c>
      <c r="N1682" s="14" t="str">
        <f aca="false">IF(B1682="","",IF(M1682="","시작일 미입력",IF(M1682&lt;1,"시작일 이전(확인)",IF(M1682=1,"1일째",IF(M1682=2,"2일째",IF(M1682=3,"3일째",IF(M1682&lt;=7,"일주일 이내",IF(M1682&lt;=14,"이주일 이내","15일 이후"))))))))</f>
        <v/>
      </c>
      <c r="O1682" s="0" t="str">
        <f aca="false">IF(AND(COUNTA($A1682:$J1682)&gt;0,OR(클레임조회!$C$4="",AND(ISNUMBER($B1682),$B1682&gt;=클레임조회!$C$4)),OR(클레임조회!$C$5="",AND(ISNUMBER($B1682),$B1682&lt;=클레임조회!$C$5)),OR(클레임조회!$C$6="",$C1682=클레임조회!$C$6),OR(클레임조회!$C$7="",$D1682=클레임조회!$C$7),OR(클레임조회!$C$8="",$E1682=클레임조회!$C$8),OR(클레임조회!$C$9="",$F1682=클레임조회!$C$9),OR(클레임조회!$C$10="",ISNUMBER(SEARCH(클레임조회!$C$10,$C1682&amp;" "&amp;$F1682&amp;" "&amp;$G1682&amp;" "&amp;$H1682)))),COUNT(O$1:O1681)+1,"")</f>
        <v/>
      </c>
      <c r="P1682" s="0" t="str">
        <f aca="false">IF(AND(TRIM(C1682)&lt;&gt;"",COUNTIF(C$2:C1682,C1682)=1),MAX(P$1:P1681)+1,"")</f>
        <v/>
      </c>
      <c r="Q1682" s="0" t="str">
        <f aca="false">IF(AND(TRIM(F1682)&lt;&gt;"",COUNTIF(F$2:F1682,F1682)=1),MAX(Q$1:Q1681)+1,"")</f>
        <v/>
      </c>
    </row>
    <row r="1683" customFormat="false" ht="15" hidden="false" customHeight="false" outlineLevel="0" collapsed="false">
      <c r="A1683" s="9"/>
      <c r="B1683" s="10"/>
      <c r="C1683" s="11"/>
      <c r="D1683" s="11"/>
      <c r="E1683" s="11"/>
      <c r="F1683" s="11"/>
      <c r="G1683" s="12"/>
      <c r="H1683" s="12"/>
      <c r="I1683" s="10"/>
      <c r="J1683" s="12"/>
      <c r="K1683" s="13" t="str">
        <f aca="false">IF(ISNUMBER(B1683),YEAR(B1683),"")</f>
        <v/>
      </c>
      <c r="L1683" s="13" t="str">
        <f aca="false">IF(ISNUMBER(B1683),MONTH(B1683),"")</f>
        <v/>
      </c>
      <c r="M1683" s="13" t="str">
        <f aca="false">IF(AND(ISNUMBER(B1683),ISNUMBER(I1683)),B1683-I1683+1,"")</f>
        <v/>
      </c>
      <c r="N1683" s="14" t="str">
        <f aca="false">IF(B1683="","",IF(M1683="","시작일 미입력",IF(M1683&lt;1,"시작일 이전(확인)",IF(M1683=1,"1일째",IF(M1683=2,"2일째",IF(M1683=3,"3일째",IF(M1683&lt;=7,"일주일 이내",IF(M1683&lt;=14,"이주일 이내","15일 이후"))))))))</f>
        <v/>
      </c>
      <c r="O1683" s="0" t="str">
        <f aca="false">IF(AND(COUNTA($A1683:$J1683)&gt;0,OR(클레임조회!$C$4="",AND(ISNUMBER($B1683),$B1683&gt;=클레임조회!$C$4)),OR(클레임조회!$C$5="",AND(ISNUMBER($B1683),$B1683&lt;=클레임조회!$C$5)),OR(클레임조회!$C$6="",$C1683=클레임조회!$C$6),OR(클레임조회!$C$7="",$D1683=클레임조회!$C$7),OR(클레임조회!$C$8="",$E1683=클레임조회!$C$8),OR(클레임조회!$C$9="",$F1683=클레임조회!$C$9),OR(클레임조회!$C$10="",ISNUMBER(SEARCH(클레임조회!$C$10,$C1683&amp;" "&amp;$F1683&amp;" "&amp;$G1683&amp;" "&amp;$H1683)))),COUNT(O$1:O1682)+1,"")</f>
        <v/>
      </c>
      <c r="P1683" s="0" t="str">
        <f aca="false">IF(AND(TRIM(C1683)&lt;&gt;"",COUNTIF(C$2:C1683,C1683)=1),MAX(P$1:P1682)+1,"")</f>
        <v/>
      </c>
      <c r="Q1683" s="0" t="str">
        <f aca="false">IF(AND(TRIM(F1683)&lt;&gt;"",COUNTIF(F$2:F1683,F1683)=1),MAX(Q$1:Q1682)+1,"")</f>
        <v/>
      </c>
    </row>
    <row r="1684" customFormat="false" ht="15" hidden="false" customHeight="false" outlineLevel="0" collapsed="false">
      <c r="A1684" s="9"/>
      <c r="B1684" s="10"/>
      <c r="C1684" s="11"/>
      <c r="D1684" s="11"/>
      <c r="E1684" s="11"/>
      <c r="F1684" s="11"/>
      <c r="G1684" s="12"/>
      <c r="H1684" s="12"/>
      <c r="I1684" s="10"/>
      <c r="J1684" s="12"/>
      <c r="K1684" s="13" t="str">
        <f aca="false">IF(ISNUMBER(B1684),YEAR(B1684),"")</f>
        <v/>
      </c>
      <c r="L1684" s="13" t="str">
        <f aca="false">IF(ISNUMBER(B1684),MONTH(B1684),"")</f>
        <v/>
      </c>
      <c r="M1684" s="13" t="str">
        <f aca="false">IF(AND(ISNUMBER(B1684),ISNUMBER(I1684)),B1684-I1684+1,"")</f>
        <v/>
      </c>
      <c r="N1684" s="14" t="str">
        <f aca="false">IF(B1684="","",IF(M1684="","시작일 미입력",IF(M1684&lt;1,"시작일 이전(확인)",IF(M1684=1,"1일째",IF(M1684=2,"2일째",IF(M1684=3,"3일째",IF(M1684&lt;=7,"일주일 이내",IF(M1684&lt;=14,"이주일 이내","15일 이후"))))))))</f>
        <v/>
      </c>
      <c r="O1684" s="0" t="str">
        <f aca="false">IF(AND(COUNTA($A1684:$J1684)&gt;0,OR(클레임조회!$C$4="",AND(ISNUMBER($B1684),$B1684&gt;=클레임조회!$C$4)),OR(클레임조회!$C$5="",AND(ISNUMBER($B1684),$B1684&lt;=클레임조회!$C$5)),OR(클레임조회!$C$6="",$C1684=클레임조회!$C$6),OR(클레임조회!$C$7="",$D1684=클레임조회!$C$7),OR(클레임조회!$C$8="",$E1684=클레임조회!$C$8),OR(클레임조회!$C$9="",$F1684=클레임조회!$C$9),OR(클레임조회!$C$10="",ISNUMBER(SEARCH(클레임조회!$C$10,$C1684&amp;" "&amp;$F1684&amp;" "&amp;$G1684&amp;" "&amp;$H1684)))),COUNT(O$1:O1683)+1,"")</f>
        <v/>
      </c>
      <c r="P1684" s="0" t="str">
        <f aca="false">IF(AND(TRIM(C1684)&lt;&gt;"",COUNTIF(C$2:C1684,C1684)=1),MAX(P$1:P1683)+1,"")</f>
        <v/>
      </c>
      <c r="Q1684" s="0" t="str">
        <f aca="false">IF(AND(TRIM(F1684)&lt;&gt;"",COUNTIF(F$2:F1684,F1684)=1),MAX(Q$1:Q1683)+1,"")</f>
        <v/>
      </c>
    </row>
    <row r="1685" customFormat="false" ht="15" hidden="false" customHeight="false" outlineLevel="0" collapsed="false">
      <c r="A1685" s="9"/>
      <c r="B1685" s="10"/>
      <c r="C1685" s="11"/>
      <c r="D1685" s="11"/>
      <c r="E1685" s="11"/>
      <c r="F1685" s="11"/>
      <c r="G1685" s="12"/>
      <c r="H1685" s="12"/>
      <c r="I1685" s="10"/>
      <c r="J1685" s="12"/>
      <c r="K1685" s="13" t="str">
        <f aca="false">IF(ISNUMBER(B1685),YEAR(B1685),"")</f>
        <v/>
      </c>
      <c r="L1685" s="13" t="str">
        <f aca="false">IF(ISNUMBER(B1685),MONTH(B1685),"")</f>
        <v/>
      </c>
      <c r="M1685" s="13" t="str">
        <f aca="false">IF(AND(ISNUMBER(B1685),ISNUMBER(I1685)),B1685-I1685+1,"")</f>
        <v/>
      </c>
      <c r="N1685" s="14" t="str">
        <f aca="false">IF(B1685="","",IF(M1685="","시작일 미입력",IF(M1685&lt;1,"시작일 이전(확인)",IF(M1685=1,"1일째",IF(M1685=2,"2일째",IF(M1685=3,"3일째",IF(M1685&lt;=7,"일주일 이내",IF(M1685&lt;=14,"이주일 이내","15일 이후"))))))))</f>
        <v/>
      </c>
      <c r="O1685" s="0" t="str">
        <f aca="false">IF(AND(COUNTA($A1685:$J1685)&gt;0,OR(클레임조회!$C$4="",AND(ISNUMBER($B1685),$B1685&gt;=클레임조회!$C$4)),OR(클레임조회!$C$5="",AND(ISNUMBER($B1685),$B1685&lt;=클레임조회!$C$5)),OR(클레임조회!$C$6="",$C1685=클레임조회!$C$6),OR(클레임조회!$C$7="",$D1685=클레임조회!$C$7),OR(클레임조회!$C$8="",$E1685=클레임조회!$C$8),OR(클레임조회!$C$9="",$F1685=클레임조회!$C$9),OR(클레임조회!$C$10="",ISNUMBER(SEARCH(클레임조회!$C$10,$C1685&amp;" "&amp;$F1685&amp;" "&amp;$G1685&amp;" "&amp;$H1685)))),COUNT(O$1:O1684)+1,"")</f>
        <v/>
      </c>
      <c r="P1685" s="0" t="str">
        <f aca="false">IF(AND(TRIM(C1685)&lt;&gt;"",COUNTIF(C$2:C1685,C1685)=1),MAX(P$1:P1684)+1,"")</f>
        <v/>
      </c>
      <c r="Q1685" s="0" t="str">
        <f aca="false">IF(AND(TRIM(F1685)&lt;&gt;"",COUNTIF(F$2:F1685,F1685)=1),MAX(Q$1:Q1684)+1,"")</f>
        <v/>
      </c>
    </row>
    <row r="1686" customFormat="false" ht="15" hidden="false" customHeight="false" outlineLevel="0" collapsed="false">
      <c r="A1686" s="9"/>
      <c r="B1686" s="10"/>
      <c r="C1686" s="11"/>
      <c r="D1686" s="11"/>
      <c r="E1686" s="11"/>
      <c r="F1686" s="11"/>
      <c r="G1686" s="12"/>
      <c r="H1686" s="12"/>
      <c r="I1686" s="10"/>
      <c r="J1686" s="12"/>
      <c r="K1686" s="13" t="str">
        <f aca="false">IF(ISNUMBER(B1686),YEAR(B1686),"")</f>
        <v/>
      </c>
      <c r="L1686" s="13" t="str">
        <f aca="false">IF(ISNUMBER(B1686),MONTH(B1686),"")</f>
        <v/>
      </c>
      <c r="M1686" s="13" t="str">
        <f aca="false">IF(AND(ISNUMBER(B1686),ISNUMBER(I1686)),B1686-I1686+1,"")</f>
        <v/>
      </c>
      <c r="N1686" s="14" t="str">
        <f aca="false">IF(B1686="","",IF(M1686="","시작일 미입력",IF(M1686&lt;1,"시작일 이전(확인)",IF(M1686=1,"1일째",IF(M1686=2,"2일째",IF(M1686=3,"3일째",IF(M1686&lt;=7,"일주일 이내",IF(M1686&lt;=14,"이주일 이내","15일 이후"))))))))</f>
        <v/>
      </c>
      <c r="O1686" s="0" t="str">
        <f aca="false">IF(AND(COUNTA($A1686:$J1686)&gt;0,OR(클레임조회!$C$4="",AND(ISNUMBER($B1686),$B1686&gt;=클레임조회!$C$4)),OR(클레임조회!$C$5="",AND(ISNUMBER($B1686),$B1686&lt;=클레임조회!$C$5)),OR(클레임조회!$C$6="",$C1686=클레임조회!$C$6),OR(클레임조회!$C$7="",$D1686=클레임조회!$C$7),OR(클레임조회!$C$8="",$E1686=클레임조회!$C$8),OR(클레임조회!$C$9="",$F1686=클레임조회!$C$9),OR(클레임조회!$C$10="",ISNUMBER(SEARCH(클레임조회!$C$10,$C1686&amp;" "&amp;$F1686&amp;" "&amp;$G1686&amp;" "&amp;$H1686)))),COUNT(O$1:O1685)+1,"")</f>
        <v/>
      </c>
      <c r="P1686" s="0" t="str">
        <f aca="false">IF(AND(TRIM(C1686)&lt;&gt;"",COUNTIF(C$2:C1686,C1686)=1),MAX(P$1:P1685)+1,"")</f>
        <v/>
      </c>
      <c r="Q1686" s="0" t="str">
        <f aca="false">IF(AND(TRIM(F1686)&lt;&gt;"",COUNTIF(F$2:F1686,F1686)=1),MAX(Q$1:Q1685)+1,"")</f>
        <v/>
      </c>
    </row>
    <row r="1687" customFormat="false" ht="15" hidden="false" customHeight="false" outlineLevel="0" collapsed="false">
      <c r="A1687" s="9"/>
      <c r="B1687" s="10"/>
      <c r="C1687" s="11"/>
      <c r="D1687" s="11"/>
      <c r="E1687" s="11"/>
      <c r="F1687" s="11"/>
      <c r="G1687" s="12"/>
      <c r="H1687" s="12"/>
      <c r="I1687" s="10"/>
      <c r="J1687" s="12"/>
      <c r="K1687" s="13" t="str">
        <f aca="false">IF(ISNUMBER(B1687),YEAR(B1687),"")</f>
        <v/>
      </c>
      <c r="L1687" s="13" t="str">
        <f aca="false">IF(ISNUMBER(B1687),MONTH(B1687),"")</f>
        <v/>
      </c>
      <c r="M1687" s="13" t="str">
        <f aca="false">IF(AND(ISNUMBER(B1687),ISNUMBER(I1687)),B1687-I1687+1,"")</f>
        <v/>
      </c>
      <c r="N1687" s="14" t="str">
        <f aca="false">IF(B1687="","",IF(M1687="","시작일 미입력",IF(M1687&lt;1,"시작일 이전(확인)",IF(M1687=1,"1일째",IF(M1687=2,"2일째",IF(M1687=3,"3일째",IF(M1687&lt;=7,"일주일 이내",IF(M1687&lt;=14,"이주일 이내","15일 이후"))))))))</f>
        <v/>
      </c>
      <c r="O1687" s="0" t="str">
        <f aca="false">IF(AND(COUNTA($A1687:$J1687)&gt;0,OR(클레임조회!$C$4="",AND(ISNUMBER($B1687),$B1687&gt;=클레임조회!$C$4)),OR(클레임조회!$C$5="",AND(ISNUMBER($B1687),$B1687&lt;=클레임조회!$C$5)),OR(클레임조회!$C$6="",$C1687=클레임조회!$C$6),OR(클레임조회!$C$7="",$D1687=클레임조회!$C$7),OR(클레임조회!$C$8="",$E1687=클레임조회!$C$8),OR(클레임조회!$C$9="",$F1687=클레임조회!$C$9),OR(클레임조회!$C$10="",ISNUMBER(SEARCH(클레임조회!$C$10,$C1687&amp;" "&amp;$F1687&amp;" "&amp;$G1687&amp;" "&amp;$H1687)))),COUNT(O$1:O1686)+1,"")</f>
        <v/>
      </c>
      <c r="P1687" s="0" t="str">
        <f aca="false">IF(AND(TRIM(C1687)&lt;&gt;"",COUNTIF(C$2:C1687,C1687)=1),MAX(P$1:P1686)+1,"")</f>
        <v/>
      </c>
      <c r="Q1687" s="0" t="str">
        <f aca="false">IF(AND(TRIM(F1687)&lt;&gt;"",COUNTIF(F$2:F1687,F1687)=1),MAX(Q$1:Q1686)+1,"")</f>
        <v/>
      </c>
    </row>
    <row r="1688" customFormat="false" ht="15" hidden="false" customHeight="false" outlineLevel="0" collapsed="false">
      <c r="A1688" s="9"/>
      <c r="B1688" s="10"/>
      <c r="C1688" s="11"/>
      <c r="D1688" s="11"/>
      <c r="E1688" s="11"/>
      <c r="F1688" s="11"/>
      <c r="G1688" s="12"/>
      <c r="H1688" s="12"/>
      <c r="I1688" s="10"/>
      <c r="J1688" s="12"/>
      <c r="K1688" s="13" t="str">
        <f aca="false">IF(ISNUMBER(B1688),YEAR(B1688),"")</f>
        <v/>
      </c>
      <c r="L1688" s="13" t="str">
        <f aca="false">IF(ISNUMBER(B1688),MONTH(B1688),"")</f>
        <v/>
      </c>
      <c r="M1688" s="13" t="str">
        <f aca="false">IF(AND(ISNUMBER(B1688),ISNUMBER(I1688)),B1688-I1688+1,"")</f>
        <v/>
      </c>
      <c r="N1688" s="14" t="str">
        <f aca="false">IF(B1688="","",IF(M1688="","시작일 미입력",IF(M1688&lt;1,"시작일 이전(확인)",IF(M1688=1,"1일째",IF(M1688=2,"2일째",IF(M1688=3,"3일째",IF(M1688&lt;=7,"일주일 이내",IF(M1688&lt;=14,"이주일 이내","15일 이후"))))))))</f>
        <v/>
      </c>
      <c r="O1688" s="0" t="str">
        <f aca="false">IF(AND(COUNTA($A1688:$J1688)&gt;0,OR(클레임조회!$C$4="",AND(ISNUMBER($B1688),$B1688&gt;=클레임조회!$C$4)),OR(클레임조회!$C$5="",AND(ISNUMBER($B1688),$B1688&lt;=클레임조회!$C$5)),OR(클레임조회!$C$6="",$C1688=클레임조회!$C$6),OR(클레임조회!$C$7="",$D1688=클레임조회!$C$7),OR(클레임조회!$C$8="",$E1688=클레임조회!$C$8),OR(클레임조회!$C$9="",$F1688=클레임조회!$C$9),OR(클레임조회!$C$10="",ISNUMBER(SEARCH(클레임조회!$C$10,$C1688&amp;" "&amp;$F1688&amp;" "&amp;$G1688&amp;" "&amp;$H1688)))),COUNT(O$1:O1687)+1,"")</f>
        <v/>
      </c>
      <c r="P1688" s="0" t="str">
        <f aca="false">IF(AND(TRIM(C1688)&lt;&gt;"",COUNTIF(C$2:C1688,C1688)=1),MAX(P$1:P1687)+1,"")</f>
        <v/>
      </c>
      <c r="Q1688" s="0" t="str">
        <f aca="false">IF(AND(TRIM(F1688)&lt;&gt;"",COUNTIF(F$2:F1688,F1688)=1),MAX(Q$1:Q1687)+1,"")</f>
        <v/>
      </c>
    </row>
    <row r="1689" customFormat="false" ht="15" hidden="false" customHeight="false" outlineLevel="0" collapsed="false">
      <c r="A1689" s="9"/>
      <c r="B1689" s="10"/>
      <c r="C1689" s="11"/>
      <c r="D1689" s="11"/>
      <c r="E1689" s="11"/>
      <c r="F1689" s="11"/>
      <c r="G1689" s="12"/>
      <c r="H1689" s="12"/>
      <c r="I1689" s="10"/>
      <c r="J1689" s="12"/>
      <c r="K1689" s="13" t="str">
        <f aca="false">IF(ISNUMBER(B1689),YEAR(B1689),"")</f>
        <v/>
      </c>
      <c r="L1689" s="13" t="str">
        <f aca="false">IF(ISNUMBER(B1689),MONTH(B1689),"")</f>
        <v/>
      </c>
      <c r="M1689" s="13" t="str">
        <f aca="false">IF(AND(ISNUMBER(B1689),ISNUMBER(I1689)),B1689-I1689+1,"")</f>
        <v/>
      </c>
      <c r="N1689" s="14" t="str">
        <f aca="false">IF(B1689="","",IF(M1689="","시작일 미입력",IF(M1689&lt;1,"시작일 이전(확인)",IF(M1689=1,"1일째",IF(M1689=2,"2일째",IF(M1689=3,"3일째",IF(M1689&lt;=7,"일주일 이내",IF(M1689&lt;=14,"이주일 이내","15일 이후"))))))))</f>
        <v/>
      </c>
      <c r="O1689" s="0" t="str">
        <f aca="false">IF(AND(COUNTA($A1689:$J1689)&gt;0,OR(클레임조회!$C$4="",AND(ISNUMBER($B1689),$B1689&gt;=클레임조회!$C$4)),OR(클레임조회!$C$5="",AND(ISNUMBER($B1689),$B1689&lt;=클레임조회!$C$5)),OR(클레임조회!$C$6="",$C1689=클레임조회!$C$6),OR(클레임조회!$C$7="",$D1689=클레임조회!$C$7),OR(클레임조회!$C$8="",$E1689=클레임조회!$C$8),OR(클레임조회!$C$9="",$F1689=클레임조회!$C$9),OR(클레임조회!$C$10="",ISNUMBER(SEARCH(클레임조회!$C$10,$C1689&amp;" "&amp;$F1689&amp;" "&amp;$G1689&amp;" "&amp;$H1689)))),COUNT(O$1:O1688)+1,"")</f>
        <v/>
      </c>
      <c r="P1689" s="0" t="str">
        <f aca="false">IF(AND(TRIM(C1689)&lt;&gt;"",COUNTIF(C$2:C1689,C1689)=1),MAX(P$1:P1688)+1,"")</f>
        <v/>
      </c>
      <c r="Q1689" s="0" t="str">
        <f aca="false">IF(AND(TRIM(F1689)&lt;&gt;"",COUNTIF(F$2:F1689,F1689)=1),MAX(Q$1:Q1688)+1,"")</f>
        <v/>
      </c>
    </row>
    <row r="1690" customFormat="false" ht="15" hidden="false" customHeight="false" outlineLevel="0" collapsed="false">
      <c r="A1690" s="9"/>
      <c r="B1690" s="10"/>
      <c r="C1690" s="11"/>
      <c r="D1690" s="11"/>
      <c r="E1690" s="11"/>
      <c r="F1690" s="11"/>
      <c r="G1690" s="12"/>
      <c r="H1690" s="12"/>
      <c r="I1690" s="10"/>
      <c r="J1690" s="12"/>
      <c r="K1690" s="13" t="str">
        <f aca="false">IF(ISNUMBER(B1690),YEAR(B1690),"")</f>
        <v/>
      </c>
      <c r="L1690" s="13" t="str">
        <f aca="false">IF(ISNUMBER(B1690),MONTH(B1690),"")</f>
        <v/>
      </c>
      <c r="M1690" s="13" t="str">
        <f aca="false">IF(AND(ISNUMBER(B1690),ISNUMBER(I1690)),B1690-I1690+1,"")</f>
        <v/>
      </c>
      <c r="N1690" s="14" t="str">
        <f aca="false">IF(B1690="","",IF(M1690="","시작일 미입력",IF(M1690&lt;1,"시작일 이전(확인)",IF(M1690=1,"1일째",IF(M1690=2,"2일째",IF(M1690=3,"3일째",IF(M1690&lt;=7,"일주일 이내",IF(M1690&lt;=14,"이주일 이내","15일 이후"))))))))</f>
        <v/>
      </c>
      <c r="O1690" s="0" t="str">
        <f aca="false">IF(AND(COUNTA($A1690:$J1690)&gt;0,OR(클레임조회!$C$4="",AND(ISNUMBER($B1690),$B1690&gt;=클레임조회!$C$4)),OR(클레임조회!$C$5="",AND(ISNUMBER($B1690),$B1690&lt;=클레임조회!$C$5)),OR(클레임조회!$C$6="",$C1690=클레임조회!$C$6),OR(클레임조회!$C$7="",$D1690=클레임조회!$C$7),OR(클레임조회!$C$8="",$E1690=클레임조회!$C$8),OR(클레임조회!$C$9="",$F1690=클레임조회!$C$9),OR(클레임조회!$C$10="",ISNUMBER(SEARCH(클레임조회!$C$10,$C1690&amp;" "&amp;$F1690&amp;" "&amp;$G1690&amp;" "&amp;$H1690)))),COUNT(O$1:O1689)+1,"")</f>
        <v/>
      </c>
      <c r="P1690" s="0" t="str">
        <f aca="false">IF(AND(TRIM(C1690)&lt;&gt;"",COUNTIF(C$2:C1690,C1690)=1),MAX(P$1:P1689)+1,"")</f>
        <v/>
      </c>
      <c r="Q1690" s="0" t="str">
        <f aca="false">IF(AND(TRIM(F1690)&lt;&gt;"",COUNTIF(F$2:F1690,F1690)=1),MAX(Q$1:Q1689)+1,"")</f>
        <v/>
      </c>
    </row>
    <row r="1691" customFormat="false" ht="15" hidden="false" customHeight="false" outlineLevel="0" collapsed="false">
      <c r="A1691" s="9"/>
      <c r="B1691" s="10"/>
      <c r="C1691" s="11"/>
      <c r="D1691" s="11"/>
      <c r="E1691" s="11"/>
      <c r="F1691" s="11"/>
      <c r="G1691" s="12"/>
      <c r="H1691" s="12"/>
      <c r="I1691" s="10"/>
      <c r="J1691" s="12"/>
      <c r="K1691" s="13" t="str">
        <f aca="false">IF(ISNUMBER(B1691),YEAR(B1691),"")</f>
        <v/>
      </c>
      <c r="L1691" s="13" t="str">
        <f aca="false">IF(ISNUMBER(B1691),MONTH(B1691),"")</f>
        <v/>
      </c>
      <c r="M1691" s="13" t="str">
        <f aca="false">IF(AND(ISNUMBER(B1691),ISNUMBER(I1691)),B1691-I1691+1,"")</f>
        <v/>
      </c>
      <c r="N1691" s="14" t="str">
        <f aca="false">IF(B1691="","",IF(M1691="","시작일 미입력",IF(M1691&lt;1,"시작일 이전(확인)",IF(M1691=1,"1일째",IF(M1691=2,"2일째",IF(M1691=3,"3일째",IF(M1691&lt;=7,"일주일 이내",IF(M1691&lt;=14,"이주일 이내","15일 이후"))))))))</f>
        <v/>
      </c>
      <c r="O1691" s="0" t="str">
        <f aca="false">IF(AND(COUNTA($A1691:$J1691)&gt;0,OR(클레임조회!$C$4="",AND(ISNUMBER($B1691),$B1691&gt;=클레임조회!$C$4)),OR(클레임조회!$C$5="",AND(ISNUMBER($B1691),$B1691&lt;=클레임조회!$C$5)),OR(클레임조회!$C$6="",$C1691=클레임조회!$C$6),OR(클레임조회!$C$7="",$D1691=클레임조회!$C$7),OR(클레임조회!$C$8="",$E1691=클레임조회!$C$8),OR(클레임조회!$C$9="",$F1691=클레임조회!$C$9),OR(클레임조회!$C$10="",ISNUMBER(SEARCH(클레임조회!$C$10,$C1691&amp;" "&amp;$F1691&amp;" "&amp;$G1691&amp;" "&amp;$H1691)))),COUNT(O$1:O1690)+1,"")</f>
        <v/>
      </c>
      <c r="P1691" s="0" t="str">
        <f aca="false">IF(AND(TRIM(C1691)&lt;&gt;"",COUNTIF(C$2:C1691,C1691)=1),MAX(P$1:P1690)+1,"")</f>
        <v/>
      </c>
      <c r="Q1691" s="0" t="str">
        <f aca="false">IF(AND(TRIM(F1691)&lt;&gt;"",COUNTIF(F$2:F1691,F1691)=1),MAX(Q$1:Q1690)+1,"")</f>
        <v/>
      </c>
    </row>
    <row r="1692" customFormat="false" ht="15" hidden="false" customHeight="false" outlineLevel="0" collapsed="false">
      <c r="A1692" s="9"/>
      <c r="B1692" s="10"/>
      <c r="C1692" s="11"/>
      <c r="D1692" s="11"/>
      <c r="E1692" s="11"/>
      <c r="F1692" s="11"/>
      <c r="G1692" s="12"/>
      <c r="H1692" s="12"/>
      <c r="I1692" s="10"/>
      <c r="J1692" s="12"/>
      <c r="K1692" s="13" t="str">
        <f aca="false">IF(ISNUMBER(B1692),YEAR(B1692),"")</f>
        <v/>
      </c>
      <c r="L1692" s="13" t="str">
        <f aca="false">IF(ISNUMBER(B1692),MONTH(B1692),"")</f>
        <v/>
      </c>
      <c r="M1692" s="13" t="str">
        <f aca="false">IF(AND(ISNUMBER(B1692),ISNUMBER(I1692)),B1692-I1692+1,"")</f>
        <v/>
      </c>
      <c r="N1692" s="14" t="str">
        <f aca="false">IF(B1692="","",IF(M1692="","시작일 미입력",IF(M1692&lt;1,"시작일 이전(확인)",IF(M1692=1,"1일째",IF(M1692=2,"2일째",IF(M1692=3,"3일째",IF(M1692&lt;=7,"일주일 이내",IF(M1692&lt;=14,"이주일 이내","15일 이후"))))))))</f>
        <v/>
      </c>
      <c r="O1692" s="0" t="str">
        <f aca="false">IF(AND(COUNTA($A1692:$J1692)&gt;0,OR(클레임조회!$C$4="",AND(ISNUMBER($B1692),$B1692&gt;=클레임조회!$C$4)),OR(클레임조회!$C$5="",AND(ISNUMBER($B1692),$B1692&lt;=클레임조회!$C$5)),OR(클레임조회!$C$6="",$C1692=클레임조회!$C$6),OR(클레임조회!$C$7="",$D1692=클레임조회!$C$7),OR(클레임조회!$C$8="",$E1692=클레임조회!$C$8),OR(클레임조회!$C$9="",$F1692=클레임조회!$C$9),OR(클레임조회!$C$10="",ISNUMBER(SEARCH(클레임조회!$C$10,$C1692&amp;" "&amp;$F1692&amp;" "&amp;$G1692&amp;" "&amp;$H1692)))),COUNT(O$1:O1691)+1,"")</f>
        <v/>
      </c>
      <c r="P1692" s="0" t="str">
        <f aca="false">IF(AND(TRIM(C1692)&lt;&gt;"",COUNTIF(C$2:C1692,C1692)=1),MAX(P$1:P1691)+1,"")</f>
        <v/>
      </c>
      <c r="Q1692" s="0" t="str">
        <f aca="false">IF(AND(TRIM(F1692)&lt;&gt;"",COUNTIF(F$2:F1692,F1692)=1),MAX(Q$1:Q1691)+1,"")</f>
        <v/>
      </c>
    </row>
    <row r="1693" customFormat="false" ht="15" hidden="false" customHeight="false" outlineLevel="0" collapsed="false">
      <c r="A1693" s="9"/>
      <c r="B1693" s="10"/>
      <c r="C1693" s="11"/>
      <c r="D1693" s="11"/>
      <c r="E1693" s="11"/>
      <c r="F1693" s="11"/>
      <c r="G1693" s="12"/>
      <c r="H1693" s="12"/>
      <c r="I1693" s="10"/>
      <c r="J1693" s="12"/>
      <c r="K1693" s="13" t="str">
        <f aca="false">IF(ISNUMBER(B1693),YEAR(B1693),"")</f>
        <v/>
      </c>
      <c r="L1693" s="13" t="str">
        <f aca="false">IF(ISNUMBER(B1693),MONTH(B1693),"")</f>
        <v/>
      </c>
      <c r="M1693" s="13" t="str">
        <f aca="false">IF(AND(ISNUMBER(B1693),ISNUMBER(I1693)),B1693-I1693+1,"")</f>
        <v/>
      </c>
      <c r="N1693" s="14" t="str">
        <f aca="false">IF(B1693="","",IF(M1693="","시작일 미입력",IF(M1693&lt;1,"시작일 이전(확인)",IF(M1693=1,"1일째",IF(M1693=2,"2일째",IF(M1693=3,"3일째",IF(M1693&lt;=7,"일주일 이내",IF(M1693&lt;=14,"이주일 이내","15일 이후"))))))))</f>
        <v/>
      </c>
      <c r="O1693" s="0" t="str">
        <f aca="false">IF(AND(COUNTA($A1693:$J1693)&gt;0,OR(클레임조회!$C$4="",AND(ISNUMBER($B1693),$B1693&gt;=클레임조회!$C$4)),OR(클레임조회!$C$5="",AND(ISNUMBER($B1693),$B1693&lt;=클레임조회!$C$5)),OR(클레임조회!$C$6="",$C1693=클레임조회!$C$6),OR(클레임조회!$C$7="",$D1693=클레임조회!$C$7),OR(클레임조회!$C$8="",$E1693=클레임조회!$C$8),OR(클레임조회!$C$9="",$F1693=클레임조회!$C$9),OR(클레임조회!$C$10="",ISNUMBER(SEARCH(클레임조회!$C$10,$C1693&amp;" "&amp;$F1693&amp;" "&amp;$G1693&amp;" "&amp;$H1693)))),COUNT(O$1:O1692)+1,"")</f>
        <v/>
      </c>
      <c r="P1693" s="0" t="str">
        <f aca="false">IF(AND(TRIM(C1693)&lt;&gt;"",COUNTIF(C$2:C1693,C1693)=1),MAX(P$1:P1692)+1,"")</f>
        <v/>
      </c>
      <c r="Q1693" s="0" t="str">
        <f aca="false">IF(AND(TRIM(F1693)&lt;&gt;"",COUNTIF(F$2:F1693,F1693)=1),MAX(Q$1:Q1692)+1,"")</f>
        <v/>
      </c>
    </row>
    <row r="1694" customFormat="false" ht="15" hidden="false" customHeight="false" outlineLevel="0" collapsed="false">
      <c r="A1694" s="9"/>
      <c r="B1694" s="10"/>
      <c r="C1694" s="11"/>
      <c r="D1694" s="11"/>
      <c r="E1694" s="11"/>
      <c r="F1694" s="11"/>
      <c r="G1694" s="12"/>
      <c r="H1694" s="12"/>
      <c r="I1694" s="10"/>
      <c r="J1694" s="12"/>
      <c r="K1694" s="13" t="str">
        <f aca="false">IF(ISNUMBER(B1694),YEAR(B1694),"")</f>
        <v/>
      </c>
      <c r="L1694" s="13" t="str">
        <f aca="false">IF(ISNUMBER(B1694),MONTH(B1694),"")</f>
        <v/>
      </c>
      <c r="M1694" s="13" t="str">
        <f aca="false">IF(AND(ISNUMBER(B1694),ISNUMBER(I1694)),B1694-I1694+1,"")</f>
        <v/>
      </c>
      <c r="N1694" s="14" t="str">
        <f aca="false">IF(B1694="","",IF(M1694="","시작일 미입력",IF(M1694&lt;1,"시작일 이전(확인)",IF(M1694=1,"1일째",IF(M1694=2,"2일째",IF(M1694=3,"3일째",IF(M1694&lt;=7,"일주일 이내",IF(M1694&lt;=14,"이주일 이내","15일 이후"))))))))</f>
        <v/>
      </c>
      <c r="O1694" s="0" t="str">
        <f aca="false">IF(AND(COUNTA($A1694:$J1694)&gt;0,OR(클레임조회!$C$4="",AND(ISNUMBER($B1694),$B1694&gt;=클레임조회!$C$4)),OR(클레임조회!$C$5="",AND(ISNUMBER($B1694),$B1694&lt;=클레임조회!$C$5)),OR(클레임조회!$C$6="",$C1694=클레임조회!$C$6),OR(클레임조회!$C$7="",$D1694=클레임조회!$C$7),OR(클레임조회!$C$8="",$E1694=클레임조회!$C$8),OR(클레임조회!$C$9="",$F1694=클레임조회!$C$9),OR(클레임조회!$C$10="",ISNUMBER(SEARCH(클레임조회!$C$10,$C1694&amp;" "&amp;$F1694&amp;" "&amp;$G1694&amp;" "&amp;$H1694)))),COUNT(O$1:O1693)+1,"")</f>
        <v/>
      </c>
      <c r="P1694" s="0" t="str">
        <f aca="false">IF(AND(TRIM(C1694)&lt;&gt;"",COUNTIF(C$2:C1694,C1694)=1),MAX(P$1:P1693)+1,"")</f>
        <v/>
      </c>
      <c r="Q1694" s="0" t="str">
        <f aca="false">IF(AND(TRIM(F1694)&lt;&gt;"",COUNTIF(F$2:F1694,F1694)=1),MAX(Q$1:Q1693)+1,"")</f>
        <v/>
      </c>
    </row>
    <row r="1695" customFormat="false" ht="15" hidden="false" customHeight="false" outlineLevel="0" collapsed="false">
      <c r="A1695" s="9"/>
      <c r="B1695" s="10"/>
      <c r="C1695" s="11"/>
      <c r="D1695" s="11"/>
      <c r="E1695" s="11"/>
      <c r="F1695" s="11"/>
      <c r="G1695" s="12"/>
      <c r="H1695" s="12"/>
      <c r="I1695" s="10"/>
      <c r="J1695" s="12"/>
      <c r="K1695" s="13" t="str">
        <f aca="false">IF(ISNUMBER(B1695),YEAR(B1695),"")</f>
        <v/>
      </c>
      <c r="L1695" s="13" t="str">
        <f aca="false">IF(ISNUMBER(B1695),MONTH(B1695),"")</f>
        <v/>
      </c>
      <c r="M1695" s="13" t="str">
        <f aca="false">IF(AND(ISNUMBER(B1695),ISNUMBER(I1695)),B1695-I1695+1,"")</f>
        <v/>
      </c>
      <c r="N1695" s="14" t="str">
        <f aca="false">IF(B1695="","",IF(M1695="","시작일 미입력",IF(M1695&lt;1,"시작일 이전(확인)",IF(M1695=1,"1일째",IF(M1695=2,"2일째",IF(M1695=3,"3일째",IF(M1695&lt;=7,"일주일 이내",IF(M1695&lt;=14,"이주일 이내","15일 이후"))))))))</f>
        <v/>
      </c>
      <c r="O1695" s="0" t="str">
        <f aca="false">IF(AND(COUNTA($A1695:$J1695)&gt;0,OR(클레임조회!$C$4="",AND(ISNUMBER($B1695),$B1695&gt;=클레임조회!$C$4)),OR(클레임조회!$C$5="",AND(ISNUMBER($B1695),$B1695&lt;=클레임조회!$C$5)),OR(클레임조회!$C$6="",$C1695=클레임조회!$C$6),OR(클레임조회!$C$7="",$D1695=클레임조회!$C$7),OR(클레임조회!$C$8="",$E1695=클레임조회!$C$8),OR(클레임조회!$C$9="",$F1695=클레임조회!$C$9),OR(클레임조회!$C$10="",ISNUMBER(SEARCH(클레임조회!$C$10,$C1695&amp;" "&amp;$F1695&amp;" "&amp;$G1695&amp;" "&amp;$H1695)))),COUNT(O$1:O1694)+1,"")</f>
        <v/>
      </c>
      <c r="P1695" s="0" t="str">
        <f aca="false">IF(AND(TRIM(C1695)&lt;&gt;"",COUNTIF(C$2:C1695,C1695)=1),MAX(P$1:P1694)+1,"")</f>
        <v/>
      </c>
      <c r="Q1695" s="0" t="str">
        <f aca="false">IF(AND(TRIM(F1695)&lt;&gt;"",COUNTIF(F$2:F1695,F1695)=1),MAX(Q$1:Q1694)+1,"")</f>
        <v/>
      </c>
    </row>
    <row r="1696" customFormat="false" ht="15" hidden="false" customHeight="false" outlineLevel="0" collapsed="false">
      <c r="A1696" s="9"/>
      <c r="B1696" s="10"/>
      <c r="C1696" s="11"/>
      <c r="D1696" s="11"/>
      <c r="E1696" s="11"/>
      <c r="F1696" s="11"/>
      <c r="G1696" s="12"/>
      <c r="H1696" s="12"/>
      <c r="I1696" s="10"/>
      <c r="J1696" s="12"/>
      <c r="K1696" s="13" t="str">
        <f aca="false">IF(ISNUMBER(B1696),YEAR(B1696),"")</f>
        <v/>
      </c>
      <c r="L1696" s="13" t="str">
        <f aca="false">IF(ISNUMBER(B1696),MONTH(B1696),"")</f>
        <v/>
      </c>
      <c r="M1696" s="13" t="str">
        <f aca="false">IF(AND(ISNUMBER(B1696),ISNUMBER(I1696)),B1696-I1696+1,"")</f>
        <v/>
      </c>
      <c r="N1696" s="14" t="str">
        <f aca="false">IF(B1696="","",IF(M1696="","시작일 미입력",IF(M1696&lt;1,"시작일 이전(확인)",IF(M1696=1,"1일째",IF(M1696=2,"2일째",IF(M1696=3,"3일째",IF(M1696&lt;=7,"일주일 이내",IF(M1696&lt;=14,"이주일 이내","15일 이후"))))))))</f>
        <v/>
      </c>
      <c r="O1696" s="0" t="str">
        <f aca="false">IF(AND(COUNTA($A1696:$J1696)&gt;0,OR(클레임조회!$C$4="",AND(ISNUMBER($B1696),$B1696&gt;=클레임조회!$C$4)),OR(클레임조회!$C$5="",AND(ISNUMBER($B1696),$B1696&lt;=클레임조회!$C$5)),OR(클레임조회!$C$6="",$C1696=클레임조회!$C$6),OR(클레임조회!$C$7="",$D1696=클레임조회!$C$7),OR(클레임조회!$C$8="",$E1696=클레임조회!$C$8),OR(클레임조회!$C$9="",$F1696=클레임조회!$C$9),OR(클레임조회!$C$10="",ISNUMBER(SEARCH(클레임조회!$C$10,$C1696&amp;" "&amp;$F1696&amp;" "&amp;$G1696&amp;" "&amp;$H1696)))),COUNT(O$1:O1695)+1,"")</f>
        <v/>
      </c>
      <c r="P1696" s="0" t="str">
        <f aca="false">IF(AND(TRIM(C1696)&lt;&gt;"",COUNTIF(C$2:C1696,C1696)=1),MAX(P$1:P1695)+1,"")</f>
        <v/>
      </c>
      <c r="Q1696" s="0" t="str">
        <f aca="false">IF(AND(TRIM(F1696)&lt;&gt;"",COUNTIF(F$2:F1696,F1696)=1),MAX(Q$1:Q1695)+1,"")</f>
        <v/>
      </c>
    </row>
    <row r="1697" customFormat="false" ht="15" hidden="false" customHeight="false" outlineLevel="0" collapsed="false">
      <c r="A1697" s="9"/>
      <c r="B1697" s="10"/>
      <c r="C1697" s="11"/>
      <c r="D1697" s="11"/>
      <c r="E1697" s="11"/>
      <c r="F1697" s="11"/>
      <c r="G1697" s="12"/>
      <c r="H1697" s="12"/>
      <c r="I1697" s="10"/>
      <c r="J1697" s="12"/>
      <c r="K1697" s="13" t="str">
        <f aca="false">IF(ISNUMBER(B1697),YEAR(B1697),"")</f>
        <v/>
      </c>
      <c r="L1697" s="13" t="str">
        <f aca="false">IF(ISNUMBER(B1697),MONTH(B1697),"")</f>
        <v/>
      </c>
      <c r="M1697" s="13" t="str">
        <f aca="false">IF(AND(ISNUMBER(B1697),ISNUMBER(I1697)),B1697-I1697+1,"")</f>
        <v/>
      </c>
      <c r="N1697" s="14" t="str">
        <f aca="false">IF(B1697="","",IF(M1697="","시작일 미입력",IF(M1697&lt;1,"시작일 이전(확인)",IF(M1697=1,"1일째",IF(M1697=2,"2일째",IF(M1697=3,"3일째",IF(M1697&lt;=7,"일주일 이내",IF(M1697&lt;=14,"이주일 이내","15일 이후"))))))))</f>
        <v/>
      </c>
      <c r="O1697" s="0" t="str">
        <f aca="false">IF(AND(COUNTA($A1697:$J1697)&gt;0,OR(클레임조회!$C$4="",AND(ISNUMBER($B1697),$B1697&gt;=클레임조회!$C$4)),OR(클레임조회!$C$5="",AND(ISNUMBER($B1697),$B1697&lt;=클레임조회!$C$5)),OR(클레임조회!$C$6="",$C1697=클레임조회!$C$6),OR(클레임조회!$C$7="",$D1697=클레임조회!$C$7),OR(클레임조회!$C$8="",$E1697=클레임조회!$C$8),OR(클레임조회!$C$9="",$F1697=클레임조회!$C$9),OR(클레임조회!$C$10="",ISNUMBER(SEARCH(클레임조회!$C$10,$C1697&amp;" "&amp;$F1697&amp;" "&amp;$G1697&amp;" "&amp;$H1697)))),COUNT(O$1:O1696)+1,"")</f>
        <v/>
      </c>
      <c r="P1697" s="0" t="str">
        <f aca="false">IF(AND(TRIM(C1697)&lt;&gt;"",COUNTIF(C$2:C1697,C1697)=1),MAX(P$1:P1696)+1,"")</f>
        <v/>
      </c>
      <c r="Q1697" s="0" t="str">
        <f aca="false">IF(AND(TRIM(F1697)&lt;&gt;"",COUNTIF(F$2:F1697,F1697)=1),MAX(Q$1:Q1696)+1,"")</f>
        <v/>
      </c>
    </row>
    <row r="1698" customFormat="false" ht="15" hidden="false" customHeight="false" outlineLevel="0" collapsed="false">
      <c r="A1698" s="9"/>
      <c r="B1698" s="10"/>
      <c r="C1698" s="11"/>
      <c r="D1698" s="11"/>
      <c r="E1698" s="11"/>
      <c r="F1698" s="11"/>
      <c r="G1698" s="12"/>
      <c r="H1698" s="12"/>
      <c r="I1698" s="10"/>
      <c r="J1698" s="12"/>
      <c r="K1698" s="13" t="str">
        <f aca="false">IF(ISNUMBER(B1698),YEAR(B1698),"")</f>
        <v/>
      </c>
      <c r="L1698" s="13" t="str">
        <f aca="false">IF(ISNUMBER(B1698),MONTH(B1698),"")</f>
        <v/>
      </c>
      <c r="M1698" s="13" t="str">
        <f aca="false">IF(AND(ISNUMBER(B1698),ISNUMBER(I1698)),B1698-I1698+1,"")</f>
        <v/>
      </c>
      <c r="N1698" s="14" t="str">
        <f aca="false">IF(B1698="","",IF(M1698="","시작일 미입력",IF(M1698&lt;1,"시작일 이전(확인)",IF(M1698=1,"1일째",IF(M1698=2,"2일째",IF(M1698=3,"3일째",IF(M1698&lt;=7,"일주일 이내",IF(M1698&lt;=14,"이주일 이내","15일 이후"))))))))</f>
        <v/>
      </c>
      <c r="O1698" s="0" t="str">
        <f aca="false">IF(AND(COUNTA($A1698:$J1698)&gt;0,OR(클레임조회!$C$4="",AND(ISNUMBER($B1698),$B1698&gt;=클레임조회!$C$4)),OR(클레임조회!$C$5="",AND(ISNUMBER($B1698),$B1698&lt;=클레임조회!$C$5)),OR(클레임조회!$C$6="",$C1698=클레임조회!$C$6),OR(클레임조회!$C$7="",$D1698=클레임조회!$C$7),OR(클레임조회!$C$8="",$E1698=클레임조회!$C$8),OR(클레임조회!$C$9="",$F1698=클레임조회!$C$9),OR(클레임조회!$C$10="",ISNUMBER(SEARCH(클레임조회!$C$10,$C1698&amp;" "&amp;$F1698&amp;" "&amp;$G1698&amp;" "&amp;$H1698)))),COUNT(O$1:O1697)+1,"")</f>
        <v/>
      </c>
      <c r="P1698" s="0" t="str">
        <f aca="false">IF(AND(TRIM(C1698)&lt;&gt;"",COUNTIF(C$2:C1698,C1698)=1),MAX(P$1:P1697)+1,"")</f>
        <v/>
      </c>
      <c r="Q1698" s="0" t="str">
        <f aca="false">IF(AND(TRIM(F1698)&lt;&gt;"",COUNTIF(F$2:F1698,F1698)=1),MAX(Q$1:Q1697)+1,"")</f>
        <v/>
      </c>
    </row>
    <row r="1699" customFormat="false" ht="15" hidden="false" customHeight="false" outlineLevel="0" collapsed="false">
      <c r="A1699" s="9"/>
      <c r="B1699" s="10"/>
      <c r="C1699" s="11"/>
      <c r="D1699" s="11"/>
      <c r="E1699" s="11"/>
      <c r="F1699" s="11"/>
      <c r="G1699" s="12"/>
      <c r="H1699" s="12"/>
      <c r="I1699" s="10"/>
      <c r="J1699" s="12"/>
      <c r="K1699" s="13" t="str">
        <f aca="false">IF(ISNUMBER(B1699),YEAR(B1699),"")</f>
        <v/>
      </c>
      <c r="L1699" s="13" t="str">
        <f aca="false">IF(ISNUMBER(B1699),MONTH(B1699),"")</f>
        <v/>
      </c>
      <c r="M1699" s="13" t="str">
        <f aca="false">IF(AND(ISNUMBER(B1699),ISNUMBER(I1699)),B1699-I1699+1,"")</f>
        <v/>
      </c>
      <c r="N1699" s="14" t="str">
        <f aca="false">IF(B1699="","",IF(M1699="","시작일 미입력",IF(M1699&lt;1,"시작일 이전(확인)",IF(M1699=1,"1일째",IF(M1699=2,"2일째",IF(M1699=3,"3일째",IF(M1699&lt;=7,"일주일 이내",IF(M1699&lt;=14,"이주일 이내","15일 이후"))))))))</f>
        <v/>
      </c>
      <c r="O1699" s="0" t="str">
        <f aca="false">IF(AND(COUNTA($A1699:$J1699)&gt;0,OR(클레임조회!$C$4="",AND(ISNUMBER($B1699),$B1699&gt;=클레임조회!$C$4)),OR(클레임조회!$C$5="",AND(ISNUMBER($B1699),$B1699&lt;=클레임조회!$C$5)),OR(클레임조회!$C$6="",$C1699=클레임조회!$C$6),OR(클레임조회!$C$7="",$D1699=클레임조회!$C$7),OR(클레임조회!$C$8="",$E1699=클레임조회!$C$8),OR(클레임조회!$C$9="",$F1699=클레임조회!$C$9),OR(클레임조회!$C$10="",ISNUMBER(SEARCH(클레임조회!$C$10,$C1699&amp;" "&amp;$F1699&amp;" "&amp;$G1699&amp;" "&amp;$H1699)))),COUNT(O$1:O1698)+1,"")</f>
        <v/>
      </c>
      <c r="P1699" s="0" t="str">
        <f aca="false">IF(AND(TRIM(C1699)&lt;&gt;"",COUNTIF(C$2:C1699,C1699)=1),MAX(P$1:P1698)+1,"")</f>
        <v/>
      </c>
      <c r="Q1699" s="0" t="str">
        <f aca="false">IF(AND(TRIM(F1699)&lt;&gt;"",COUNTIF(F$2:F1699,F1699)=1),MAX(Q$1:Q1698)+1,"")</f>
        <v/>
      </c>
    </row>
    <row r="1700" customFormat="false" ht="15" hidden="false" customHeight="false" outlineLevel="0" collapsed="false">
      <c r="A1700" s="9"/>
      <c r="B1700" s="10"/>
      <c r="C1700" s="11"/>
      <c r="D1700" s="11"/>
      <c r="E1700" s="11"/>
      <c r="F1700" s="11"/>
      <c r="G1700" s="12"/>
      <c r="H1700" s="12"/>
      <c r="I1700" s="10"/>
      <c r="J1700" s="12"/>
      <c r="K1700" s="13" t="str">
        <f aca="false">IF(ISNUMBER(B1700),YEAR(B1700),"")</f>
        <v/>
      </c>
      <c r="L1700" s="13" t="str">
        <f aca="false">IF(ISNUMBER(B1700),MONTH(B1700),"")</f>
        <v/>
      </c>
      <c r="M1700" s="13" t="str">
        <f aca="false">IF(AND(ISNUMBER(B1700),ISNUMBER(I1700)),B1700-I1700+1,"")</f>
        <v/>
      </c>
      <c r="N1700" s="14" t="str">
        <f aca="false">IF(B1700="","",IF(M1700="","시작일 미입력",IF(M1700&lt;1,"시작일 이전(확인)",IF(M1700=1,"1일째",IF(M1700=2,"2일째",IF(M1700=3,"3일째",IF(M1700&lt;=7,"일주일 이내",IF(M1700&lt;=14,"이주일 이내","15일 이후"))))))))</f>
        <v/>
      </c>
      <c r="O1700" s="0" t="str">
        <f aca="false">IF(AND(COUNTA($A1700:$J1700)&gt;0,OR(클레임조회!$C$4="",AND(ISNUMBER($B1700),$B1700&gt;=클레임조회!$C$4)),OR(클레임조회!$C$5="",AND(ISNUMBER($B1700),$B1700&lt;=클레임조회!$C$5)),OR(클레임조회!$C$6="",$C1700=클레임조회!$C$6),OR(클레임조회!$C$7="",$D1700=클레임조회!$C$7),OR(클레임조회!$C$8="",$E1700=클레임조회!$C$8),OR(클레임조회!$C$9="",$F1700=클레임조회!$C$9),OR(클레임조회!$C$10="",ISNUMBER(SEARCH(클레임조회!$C$10,$C1700&amp;" "&amp;$F1700&amp;" "&amp;$G1700&amp;" "&amp;$H1700)))),COUNT(O$1:O1699)+1,"")</f>
        <v/>
      </c>
      <c r="P1700" s="0" t="str">
        <f aca="false">IF(AND(TRIM(C1700)&lt;&gt;"",COUNTIF(C$2:C1700,C1700)=1),MAX(P$1:P1699)+1,"")</f>
        <v/>
      </c>
      <c r="Q1700" s="0" t="str">
        <f aca="false">IF(AND(TRIM(F1700)&lt;&gt;"",COUNTIF(F$2:F1700,F1700)=1),MAX(Q$1:Q1699)+1,"")</f>
        <v/>
      </c>
    </row>
    <row r="1701" customFormat="false" ht="15" hidden="false" customHeight="false" outlineLevel="0" collapsed="false">
      <c r="A1701" s="9"/>
      <c r="B1701" s="10"/>
      <c r="C1701" s="11"/>
      <c r="D1701" s="11"/>
      <c r="E1701" s="11"/>
      <c r="F1701" s="11"/>
      <c r="G1701" s="12"/>
      <c r="H1701" s="12"/>
      <c r="I1701" s="10"/>
      <c r="J1701" s="12"/>
      <c r="K1701" s="13" t="str">
        <f aca="false">IF(ISNUMBER(B1701),YEAR(B1701),"")</f>
        <v/>
      </c>
      <c r="L1701" s="13" t="str">
        <f aca="false">IF(ISNUMBER(B1701),MONTH(B1701),"")</f>
        <v/>
      </c>
      <c r="M1701" s="13" t="str">
        <f aca="false">IF(AND(ISNUMBER(B1701),ISNUMBER(I1701)),B1701-I1701+1,"")</f>
        <v/>
      </c>
      <c r="N1701" s="14" t="str">
        <f aca="false">IF(B1701="","",IF(M1701="","시작일 미입력",IF(M1701&lt;1,"시작일 이전(확인)",IF(M1701=1,"1일째",IF(M1701=2,"2일째",IF(M1701=3,"3일째",IF(M1701&lt;=7,"일주일 이내",IF(M1701&lt;=14,"이주일 이내","15일 이후"))))))))</f>
        <v/>
      </c>
      <c r="O1701" s="0" t="str">
        <f aca="false">IF(AND(COUNTA($A1701:$J1701)&gt;0,OR(클레임조회!$C$4="",AND(ISNUMBER($B1701),$B1701&gt;=클레임조회!$C$4)),OR(클레임조회!$C$5="",AND(ISNUMBER($B1701),$B1701&lt;=클레임조회!$C$5)),OR(클레임조회!$C$6="",$C1701=클레임조회!$C$6),OR(클레임조회!$C$7="",$D1701=클레임조회!$C$7),OR(클레임조회!$C$8="",$E1701=클레임조회!$C$8),OR(클레임조회!$C$9="",$F1701=클레임조회!$C$9),OR(클레임조회!$C$10="",ISNUMBER(SEARCH(클레임조회!$C$10,$C1701&amp;" "&amp;$F1701&amp;" "&amp;$G1701&amp;" "&amp;$H1701)))),COUNT(O$1:O1700)+1,"")</f>
        <v/>
      </c>
      <c r="P1701" s="0" t="str">
        <f aca="false">IF(AND(TRIM(C1701)&lt;&gt;"",COUNTIF(C$2:C1701,C1701)=1),MAX(P$1:P1700)+1,"")</f>
        <v/>
      </c>
      <c r="Q1701" s="0" t="str">
        <f aca="false">IF(AND(TRIM(F1701)&lt;&gt;"",COUNTIF(F$2:F1701,F1701)=1),MAX(Q$1:Q1700)+1,"")</f>
        <v/>
      </c>
    </row>
    <row r="1702" customFormat="false" ht="15" hidden="false" customHeight="false" outlineLevel="0" collapsed="false">
      <c r="A1702" s="9"/>
      <c r="B1702" s="10"/>
      <c r="C1702" s="11"/>
      <c r="D1702" s="11"/>
      <c r="E1702" s="11"/>
      <c r="F1702" s="11"/>
      <c r="G1702" s="12"/>
      <c r="H1702" s="12"/>
      <c r="I1702" s="10"/>
      <c r="J1702" s="12"/>
      <c r="K1702" s="13" t="str">
        <f aca="false">IF(ISNUMBER(B1702),YEAR(B1702),"")</f>
        <v/>
      </c>
      <c r="L1702" s="13" t="str">
        <f aca="false">IF(ISNUMBER(B1702),MONTH(B1702),"")</f>
        <v/>
      </c>
      <c r="M1702" s="13" t="str">
        <f aca="false">IF(AND(ISNUMBER(B1702),ISNUMBER(I1702)),B1702-I1702+1,"")</f>
        <v/>
      </c>
      <c r="N1702" s="14" t="str">
        <f aca="false">IF(B1702="","",IF(M1702="","시작일 미입력",IF(M1702&lt;1,"시작일 이전(확인)",IF(M1702=1,"1일째",IF(M1702=2,"2일째",IF(M1702=3,"3일째",IF(M1702&lt;=7,"일주일 이내",IF(M1702&lt;=14,"이주일 이내","15일 이후"))))))))</f>
        <v/>
      </c>
      <c r="O1702" s="0" t="str">
        <f aca="false">IF(AND(COUNTA($A1702:$J1702)&gt;0,OR(클레임조회!$C$4="",AND(ISNUMBER($B1702),$B1702&gt;=클레임조회!$C$4)),OR(클레임조회!$C$5="",AND(ISNUMBER($B1702),$B1702&lt;=클레임조회!$C$5)),OR(클레임조회!$C$6="",$C1702=클레임조회!$C$6),OR(클레임조회!$C$7="",$D1702=클레임조회!$C$7),OR(클레임조회!$C$8="",$E1702=클레임조회!$C$8),OR(클레임조회!$C$9="",$F1702=클레임조회!$C$9),OR(클레임조회!$C$10="",ISNUMBER(SEARCH(클레임조회!$C$10,$C1702&amp;" "&amp;$F1702&amp;" "&amp;$G1702&amp;" "&amp;$H1702)))),COUNT(O$1:O1701)+1,"")</f>
        <v/>
      </c>
      <c r="P1702" s="0" t="str">
        <f aca="false">IF(AND(TRIM(C1702)&lt;&gt;"",COUNTIF(C$2:C1702,C1702)=1),MAX(P$1:P1701)+1,"")</f>
        <v/>
      </c>
      <c r="Q1702" s="0" t="str">
        <f aca="false">IF(AND(TRIM(F1702)&lt;&gt;"",COUNTIF(F$2:F1702,F1702)=1),MAX(Q$1:Q1701)+1,"")</f>
        <v/>
      </c>
    </row>
    <row r="1703" customFormat="false" ht="15" hidden="false" customHeight="false" outlineLevel="0" collapsed="false">
      <c r="A1703" s="9"/>
      <c r="B1703" s="10"/>
      <c r="C1703" s="11"/>
      <c r="D1703" s="11"/>
      <c r="E1703" s="11"/>
      <c r="F1703" s="11"/>
      <c r="G1703" s="12"/>
      <c r="H1703" s="12"/>
      <c r="I1703" s="10"/>
      <c r="J1703" s="12"/>
      <c r="K1703" s="13" t="str">
        <f aca="false">IF(ISNUMBER(B1703),YEAR(B1703),"")</f>
        <v/>
      </c>
      <c r="L1703" s="13" t="str">
        <f aca="false">IF(ISNUMBER(B1703),MONTH(B1703),"")</f>
        <v/>
      </c>
      <c r="M1703" s="13" t="str">
        <f aca="false">IF(AND(ISNUMBER(B1703),ISNUMBER(I1703)),B1703-I1703+1,"")</f>
        <v/>
      </c>
      <c r="N1703" s="14" t="str">
        <f aca="false">IF(B1703="","",IF(M1703="","시작일 미입력",IF(M1703&lt;1,"시작일 이전(확인)",IF(M1703=1,"1일째",IF(M1703=2,"2일째",IF(M1703=3,"3일째",IF(M1703&lt;=7,"일주일 이내",IF(M1703&lt;=14,"이주일 이내","15일 이후"))))))))</f>
        <v/>
      </c>
      <c r="O1703" s="0" t="str">
        <f aca="false">IF(AND(COUNTA($A1703:$J1703)&gt;0,OR(클레임조회!$C$4="",AND(ISNUMBER($B1703),$B1703&gt;=클레임조회!$C$4)),OR(클레임조회!$C$5="",AND(ISNUMBER($B1703),$B1703&lt;=클레임조회!$C$5)),OR(클레임조회!$C$6="",$C1703=클레임조회!$C$6),OR(클레임조회!$C$7="",$D1703=클레임조회!$C$7),OR(클레임조회!$C$8="",$E1703=클레임조회!$C$8),OR(클레임조회!$C$9="",$F1703=클레임조회!$C$9),OR(클레임조회!$C$10="",ISNUMBER(SEARCH(클레임조회!$C$10,$C1703&amp;" "&amp;$F1703&amp;" "&amp;$G1703&amp;" "&amp;$H1703)))),COUNT(O$1:O1702)+1,"")</f>
        <v/>
      </c>
      <c r="P1703" s="0" t="str">
        <f aca="false">IF(AND(TRIM(C1703)&lt;&gt;"",COUNTIF(C$2:C1703,C1703)=1),MAX(P$1:P1702)+1,"")</f>
        <v/>
      </c>
      <c r="Q1703" s="0" t="str">
        <f aca="false">IF(AND(TRIM(F1703)&lt;&gt;"",COUNTIF(F$2:F1703,F1703)=1),MAX(Q$1:Q1702)+1,"")</f>
        <v/>
      </c>
    </row>
    <row r="1704" customFormat="false" ht="15" hidden="false" customHeight="false" outlineLevel="0" collapsed="false">
      <c r="A1704" s="9"/>
      <c r="B1704" s="10"/>
      <c r="C1704" s="11"/>
      <c r="D1704" s="11"/>
      <c r="E1704" s="11"/>
      <c r="F1704" s="11"/>
      <c r="G1704" s="12"/>
      <c r="H1704" s="12"/>
      <c r="I1704" s="10"/>
      <c r="J1704" s="12"/>
      <c r="K1704" s="13" t="str">
        <f aca="false">IF(ISNUMBER(B1704),YEAR(B1704),"")</f>
        <v/>
      </c>
      <c r="L1704" s="13" t="str">
        <f aca="false">IF(ISNUMBER(B1704),MONTH(B1704),"")</f>
        <v/>
      </c>
      <c r="M1704" s="13" t="str">
        <f aca="false">IF(AND(ISNUMBER(B1704),ISNUMBER(I1704)),B1704-I1704+1,"")</f>
        <v/>
      </c>
      <c r="N1704" s="14" t="str">
        <f aca="false">IF(B1704="","",IF(M1704="","시작일 미입력",IF(M1704&lt;1,"시작일 이전(확인)",IF(M1704=1,"1일째",IF(M1704=2,"2일째",IF(M1704=3,"3일째",IF(M1704&lt;=7,"일주일 이내",IF(M1704&lt;=14,"이주일 이내","15일 이후"))))))))</f>
        <v/>
      </c>
      <c r="O1704" s="0" t="str">
        <f aca="false">IF(AND(COUNTA($A1704:$J1704)&gt;0,OR(클레임조회!$C$4="",AND(ISNUMBER($B1704),$B1704&gt;=클레임조회!$C$4)),OR(클레임조회!$C$5="",AND(ISNUMBER($B1704),$B1704&lt;=클레임조회!$C$5)),OR(클레임조회!$C$6="",$C1704=클레임조회!$C$6),OR(클레임조회!$C$7="",$D1704=클레임조회!$C$7),OR(클레임조회!$C$8="",$E1704=클레임조회!$C$8),OR(클레임조회!$C$9="",$F1704=클레임조회!$C$9),OR(클레임조회!$C$10="",ISNUMBER(SEARCH(클레임조회!$C$10,$C1704&amp;" "&amp;$F1704&amp;" "&amp;$G1704&amp;" "&amp;$H1704)))),COUNT(O$1:O1703)+1,"")</f>
        <v/>
      </c>
      <c r="P1704" s="0" t="str">
        <f aca="false">IF(AND(TRIM(C1704)&lt;&gt;"",COUNTIF(C$2:C1704,C1704)=1),MAX(P$1:P1703)+1,"")</f>
        <v/>
      </c>
      <c r="Q1704" s="0" t="str">
        <f aca="false">IF(AND(TRIM(F1704)&lt;&gt;"",COUNTIF(F$2:F1704,F1704)=1),MAX(Q$1:Q1703)+1,"")</f>
        <v/>
      </c>
    </row>
    <row r="1705" customFormat="false" ht="15" hidden="false" customHeight="false" outlineLevel="0" collapsed="false">
      <c r="A1705" s="9"/>
      <c r="B1705" s="10"/>
      <c r="C1705" s="11"/>
      <c r="D1705" s="11"/>
      <c r="E1705" s="11"/>
      <c r="F1705" s="11"/>
      <c r="G1705" s="12"/>
      <c r="H1705" s="12"/>
      <c r="I1705" s="10"/>
      <c r="J1705" s="12"/>
      <c r="K1705" s="13" t="str">
        <f aca="false">IF(ISNUMBER(B1705),YEAR(B1705),"")</f>
        <v/>
      </c>
      <c r="L1705" s="13" t="str">
        <f aca="false">IF(ISNUMBER(B1705),MONTH(B1705),"")</f>
        <v/>
      </c>
      <c r="M1705" s="13" t="str">
        <f aca="false">IF(AND(ISNUMBER(B1705),ISNUMBER(I1705)),B1705-I1705+1,"")</f>
        <v/>
      </c>
      <c r="N1705" s="14" t="str">
        <f aca="false">IF(B1705="","",IF(M1705="","시작일 미입력",IF(M1705&lt;1,"시작일 이전(확인)",IF(M1705=1,"1일째",IF(M1705=2,"2일째",IF(M1705=3,"3일째",IF(M1705&lt;=7,"일주일 이내",IF(M1705&lt;=14,"이주일 이내","15일 이후"))))))))</f>
        <v/>
      </c>
      <c r="O1705" s="0" t="str">
        <f aca="false">IF(AND(COUNTA($A1705:$J1705)&gt;0,OR(클레임조회!$C$4="",AND(ISNUMBER($B1705),$B1705&gt;=클레임조회!$C$4)),OR(클레임조회!$C$5="",AND(ISNUMBER($B1705),$B1705&lt;=클레임조회!$C$5)),OR(클레임조회!$C$6="",$C1705=클레임조회!$C$6),OR(클레임조회!$C$7="",$D1705=클레임조회!$C$7),OR(클레임조회!$C$8="",$E1705=클레임조회!$C$8),OR(클레임조회!$C$9="",$F1705=클레임조회!$C$9),OR(클레임조회!$C$10="",ISNUMBER(SEARCH(클레임조회!$C$10,$C1705&amp;" "&amp;$F1705&amp;" "&amp;$G1705&amp;" "&amp;$H1705)))),COUNT(O$1:O1704)+1,"")</f>
        <v/>
      </c>
      <c r="P1705" s="0" t="str">
        <f aca="false">IF(AND(TRIM(C1705)&lt;&gt;"",COUNTIF(C$2:C1705,C1705)=1),MAX(P$1:P1704)+1,"")</f>
        <v/>
      </c>
      <c r="Q1705" s="0" t="str">
        <f aca="false">IF(AND(TRIM(F1705)&lt;&gt;"",COUNTIF(F$2:F1705,F1705)=1),MAX(Q$1:Q1704)+1,"")</f>
        <v/>
      </c>
    </row>
    <row r="1706" customFormat="false" ht="15" hidden="false" customHeight="false" outlineLevel="0" collapsed="false">
      <c r="A1706" s="9"/>
      <c r="B1706" s="10"/>
      <c r="C1706" s="11"/>
      <c r="D1706" s="11"/>
      <c r="E1706" s="11"/>
      <c r="F1706" s="11"/>
      <c r="G1706" s="12"/>
      <c r="H1706" s="12"/>
      <c r="I1706" s="10"/>
      <c r="J1706" s="12"/>
      <c r="K1706" s="13" t="str">
        <f aca="false">IF(ISNUMBER(B1706),YEAR(B1706),"")</f>
        <v/>
      </c>
      <c r="L1706" s="13" t="str">
        <f aca="false">IF(ISNUMBER(B1706),MONTH(B1706),"")</f>
        <v/>
      </c>
      <c r="M1706" s="13" t="str">
        <f aca="false">IF(AND(ISNUMBER(B1706),ISNUMBER(I1706)),B1706-I1706+1,"")</f>
        <v/>
      </c>
      <c r="N1706" s="14" t="str">
        <f aca="false">IF(B1706="","",IF(M1706="","시작일 미입력",IF(M1706&lt;1,"시작일 이전(확인)",IF(M1706=1,"1일째",IF(M1706=2,"2일째",IF(M1706=3,"3일째",IF(M1706&lt;=7,"일주일 이내",IF(M1706&lt;=14,"이주일 이내","15일 이후"))))))))</f>
        <v/>
      </c>
      <c r="O1706" s="0" t="str">
        <f aca="false">IF(AND(COUNTA($A1706:$J1706)&gt;0,OR(클레임조회!$C$4="",AND(ISNUMBER($B1706),$B1706&gt;=클레임조회!$C$4)),OR(클레임조회!$C$5="",AND(ISNUMBER($B1706),$B1706&lt;=클레임조회!$C$5)),OR(클레임조회!$C$6="",$C1706=클레임조회!$C$6),OR(클레임조회!$C$7="",$D1706=클레임조회!$C$7),OR(클레임조회!$C$8="",$E1706=클레임조회!$C$8),OR(클레임조회!$C$9="",$F1706=클레임조회!$C$9),OR(클레임조회!$C$10="",ISNUMBER(SEARCH(클레임조회!$C$10,$C1706&amp;" "&amp;$F1706&amp;" "&amp;$G1706&amp;" "&amp;$H1706)))),COUNT(O$1:O1705)+1,"")</f>
        <v/>
      </c>
      <c r="P1706" s="0" t="str">
        <f aca="false">IF(AND(TRIM(C1706)&lt;&gt;"",COUNTIF(C$2:C1706,C1706)=1),MAX(P$1:P1705)+1,"")</f>
        <v/>
      </c>
      <c r="Q1706" s="0" t="str">
        <f aca="false">IF(AND(TRIM(F1706)&lt;&gt;"",COUNTIF(F$2:F1706,F1706)=1),MAX(Q$1:Q1705)+1,"")</f>
        <v/>
      </c>
    </row>
    <row r="1707" customFormat="false" ht="15" hidden="false" customHeight="false" outlineLevel="0" collapsed="false">
      <c r="A1707" s="9"/>
      <c r="B1707" s="10"/>
      <c r="C1707" s="11"/>
      <c r="D1707" s="11"/>
      <c r="E1707" s="11"/>
      <c r="F1707" s="11"/>
      <c r="G1707" s="12"/>
      <c r="H1707" s="12"/>
      <c r="I1707" s="10"/>
      <c r="J1707" s="12"/>
      <c r="K1707" s="13" t="str">
        <f aca="false">IF(ISNUMBER(B1707),YEAR(B1707),"")</f>
        <v/>
      </c>
      <c r="L1707" s="13" t="str">
        <f aca="false">IF(ISNUMBER(B1707),MONTH(B1707),"")</f>
        <v/>
      </c>
      <c r="M1707" s="13" t="str">
        <f aca="false">IF(AND(ISNUMBER(B1707),ISNUMBER(I1707)),B1707-I1707+1,"")</f>
        <v/>
      </c>
      <c r="N1707" s="14" t="str">
        <f aca="false">IF(B1707="","",IF(M1707="","시작일 미입력",IF(M1707&lt;1,"시작일 이전(확인)",IF(M1707=1,"1일째",IF(M1707=2,"2일째",IF(M1707=3,"3일째",IF(M1707&lt;=7,"일주일 이내",IF(M1707&lt;=14,"이주일 이내","15일 이후"))))))))</f>
        <v/>
      </c>
      <c r="O1707" s="0" t="str">
        <f aca="false">IF(AND(COUNTA($A1707:$J1707)&gt;0,OR(클레임조회!$C$4="",AND(ISNUMBER($B1707),$B1707&gt;=클레임조회!$C$4)),OR(클레임조회!$C$5="",AND(ISNUMBER($B1707),$B1707&lt;=클레임조회!$C$5)),OR(클레임조회!$C$6="",$C1707=클레임조회!$C$6),OR(클레임조회!$C$7="",$D1707=클레임조회!$C$7),OR(클레임조회!$C$8="",$E1707=클레임조회!$C$8),OR(클레임조회!$C$9="",$F1707=클레임조회!$C$9),OR(클레임조회!$C$10="",ISNUMBER(SEARCH(클레임조회!$C$10,$C1707&amp;" "&amp;$F1707&amp;" "&amp;$G1707&amp;" "&amp;$H1707)))),COUNT(O$1:O1706)+1,"")</f>
        <v/>
      </c>
      <c r="P1707" s="0" t="str">
        <f aca="false">IF(AND(TRIM(C1707)&lt;&gt;"",COUNTIF(C$2:C1707,C1707)=1),MAX(P$1:P1706)+1,"")</f>
        <v/>
      </c>
      <c r="Q1707" s="0" t="str">
        <f aca="false">IF(AND(TRIM(F1707)&lt;&gt;"",COUNTIF(F$2:F1707,F1707)=1),MAX(Q$1:Q1706)+1,"")</f>
        <v/>
      </c>
    </row>
    <row r="1708" customFormat="false" ht="15" hidden="false" customHeight="false" outlineLevel="0" collapsed="false">
      <c r="A1708" s="9"/>
      <c r="B1708" s="10"/>
      <c r="C1708" s="11"/>
      <c r="D1708" s="11"/>
      <c r="E1708" s="11"/>
      <c r="F1708" s="11"/>
      <c r="G1708" s="12"/>
      <c r="H1708" s="12"/>
      <c r="I1708" s="10"/>
      <c r="J1708" s="12"/>
      <c r="K1708" s="13" t="str">
        <f aca="false">IF(ISNUMBER(B1708),YEAR(B1708),"")</f>
        <v/>
      </c>
      <c r="L1708" s="13" t="str">
        <f aca="false">IF(ISNUMBER(B1708),MONTH(B1708),"")</f>
        <v/>
      </c>
      <c r="M1708" s="13" t="str">
        <f aca="false">IF(AND(ISNUMBER(B1708),ISNUMBER(I1708)),B1708-I1708+1,"")</f>
        <v/>
      </c>
      <c r="N1708" s="14" t="str">
        <f aca="false">IF(B1708="","",IF(M1708="","시작일 미입력",IF(M1708&lt;1,"시작일 이전(확인)",IF(M1708=1,"1일째",IF(M1708=2,"2일째",IF(M1708=3,"3일째",IF(M1708&lt;=7,"일주일 이내",IF(M1708&lt;=14,"이주일 이내","15일 이후"))))))))</f>
        <v/>
      </c>
      <c r="O1708" s="0" t="str">
        <f aca="false">IF(AND(COUNTA($A1708:$J1708)&gt;0,OR(클레임조회!$C$4="",AND(ISNUMBER($B1708),$B1708&gt;=클레임조회!$C$4)),OR(클레임조회!$C$5="",AND(ISNUMBER($B1708),$B1708&lt;=클레임조회!$C$5)),OR(클레임조회!$C$6="",$C1708=클레임조회!$C$6),OR(클레임조회!$C$7="",$D1708=클레임조회!$C$7),OR(클레임조회!$C$8="",$E1708=클레임조회!$C$8),OR(클레임조회!$C$9="",$F1708=클레임조회!$C$9),OR(클레임조회!$C$10="",ISNUMBER(SEARCH(클레임조회!$C$10,$C1708&amp;" "&amp;$F1708&amp;" "&amp;$G1708&amp;" "&amp;$H1708)))),COUNT(O$1:O1707)+1,"")</f>
        <v/>
      </c>
      <c r="P1708" s="0" t="str">
        <f aca="false">IF(AND(TRIM(C1708)&lt;&gt;"",COUNTIF(C$2:C1708,C1708)=1),MAX(P$1:P1707)+1,"")</f>
        <v/>
      </c>
      <c r="Q1708" s="0" t="str">
        <f aca="false">IF(AND(TRIM(F1708)&lt;&gt;"",COUNTIF(F$2:F1708,F1708)=1),MAX(Q$1:Q1707)+1,"")</f>
        <v/>
      </c>
    </row>
    <row r="1709" customFormat="false" ht="15" hidden="false" customHeight="false" outlineLevel="0" collapsed="false">
      <c r="A1709" s="9"/>
      <c r="B1709" s="10"/>
      <c r="C1709" s="11"/>
      <c r="D1709" s="11"/>
      <c r="E1709" s="11"/>
      <c r="F1709" s="11"/>
      <c r="G1709" s="12"/>
      <c r="H1709" s="12"/>
      <c r="I1709" s="10"/>
      <c r="J1709" s="12"/>
      <c r="K1709" s="13" t="str">
        <f aca="false">IF(ISNUMBER(B1709),YEAR(B1709),"")</f>
        <v/>
      </c>
      <c r="L1709" s="13" t="str">
        <f aca="false">IF(ISNUMBER(B1709),MONTH(B1709),"")</f>
        <v/>
      </c>
      <c r="M1709" s="13" t="str">
        <f aca="false">IF(AND(ISNUMBER(B1709),ISNUMBER(I1709)),B1709-I1709+1,"")</f>
        <v/>
      </c>
      <c r="N1709" s="14" t="str">
        <f aca="false">IF(B1709="","",IF(M1709="","시작일 미입력",IF(M1709&lt;1,"시작일 이전(확인)",IF(M1709=1,"1일째",IF(M1709=2,"2일째",IF(M1709=3,"3일째",IF(M1709&lt;=7,"일주일 이내",IF(M1709&lt;=14,"이주일 이내","15일 이후"))))))))</f>
        <v/>
      </c>
      <c r="O1709" s="0" t="str">
        <f aca="false">IF(AND(COUNTA($A1709:$J1709)&gt;0,OR(클레임조회!$C$4="",AND(ISNUMBER($B1709),$B1709&gt;=클레임조회!$C$4)),OR(클레임조회!$C$5="",AND(ISNUMBER($B1709),$B1709&lt;=클레임조회!$C$5)),OR(클레임조회!$C$6="",$C1709=클레임조회!$C$6),OR(클레임조회!$C$7="",$D1709=클레임조회!$C$7),OR(클레임조회!$C$8="",$E1709=클레임조회!$C$8),OR(클레임조회!$C$9="",$F1709=클레임조회!$C$9),OR(클레임조회!$C$10="",ISNUMBER(SEARCH(클레임조회!$C$10,$C1709&amp;" "&amp;$F1709&amp;" "&amp;$G1709&amp;" "&amp;$H1709)))),COUNT(O$1:O1708)+1,"")</f>
        <v/>
      </c>
      <c r="P1709" s="0" t="str">
        <f aca="false">IF(AND(TRIM(C1709)&lt;&gt;"",COUNTIF(C$2:C1709,C1709)=1),MAX(P$1:P1708)+1,"")</f>
        <v/>
      </c>
      <c r="Q1709" s="0" t="str">
        <f aca="false">IF(AND(TRIM(F1709)&lt;&gt;"",COUNTIF(F$2:F1709,F1709)=1),MAX(Q$1:Q1708)+1,"")</f>
        <v/>
      </c>
    </row>
    <row r="1710" customFormat="false" ht="15" hidden="false" customHeight="false" outlineLevel="0" collapsed="false">
      <c r="A1710" s="9"/>
      <c r="B1710" s="10"/>
      <c r="C1710" s="11"/>
      <c r="D1710" s="11"/>
      <c r="E1710" s="11"/>
      <c r="F1710" s="11"/>
      <c r="G1710" s="12"/>
      <c r="H1710" s="12"/>
      <c r="I1710" s="10"/>
      <c r="J1710" s="12"/>
      <c r="K1710" s="13" t="str">
        <f aca="false">IF(ISNUMBER(B1710),YEAR(B1710),"")</f>
        <v/>
      </c>
      <c r="L1710" s="13" t="str">
        <f aca="false">IF(ISNUMBER(B1710),MONTH(B1710),"")</f>
        <v/>
      </c>
      <c r="M1710" s="13" t="str">
        <f aca="false">IF(AND(ISNUMBER(B1710),ISNUMBER(I1710)),B1710-I1710+1,"")</f>
        <v/>
      </c>
      <c r="N1710" s="14" t="str">
        <f aca="false">IF(B1710="","",IF(M1710="","시작일 미입력",IF(M1710&lt;1,"시작일 이전(확인)",IF(M1710=1,"1일째",IF(M1710=2,"2일째",IF(M1710=3,"3일째",IF(M1710&lt;=7,"일주일 이내",IF(M1710&lt;=14,"이주일 이내","15일 이후"))))))))</f>
        <v/>
      </c>
      <c r="O1710" s="0" t="str">
        <f aca="false">IF(AND(COUNTA($A1710:$J1710)&gt;0,OR(클레임조회!$C$4="",AND(ISNUMBER($B1710),$B1710&gt;=클레임조회!$C$4)),OR(클레임조회!$C$5="",AND(ISNUMBER($B1710),$B1710&lt;=클레임조회!$C$5)),OR(클레임조회!$C$6="",$C1710=클레임조회!$C$6),OR(클레임조회!$C$7="",$D1710=클레임조회!$C$7),OR(클레임조회!$C$8="",$E1710=클레임조회!$C$8),OR(클레임조회!$C$9="",$F1710=클레임조회!$C$9),OR(클레임조회!$C$10="",ISNUMBER(SEARCH(클레임조회!$C$10,$C1710&amp;" "&amp;$F1710&amp;" "&amp;$G1710&amp;" "&amp;$H1710)))),COUNT(O$1:O1709)+1,"")</f>
        <v/>
      </c>
      <c r="P1710" s="0" t="str">
        <f aca="false">IF(AND(TRIM(C1710)&lt;&gt;"",COUNTIF(C$2:C1710,C1710)=1),MAX(P$1:P1709)+1,"")</f>
        <v/>
      </c>
      <c r="Q1710" s="0" t="str">
        <f aca="false">IF(AND(TRIM(F1710)&lt;&gt;"",COUNTIF(F$2:F1710,F1710)=1),MAX(Q$1:Q1709)+1,"")</f>
        <v/>
      </c>
    </row>
    <row r="1711" customFormat="false" ht="15" hidden="false" customHeight="false" outlineLevel="0" collapsed="false">
      <c r="A1711" s="9"/>
      <c r="B1711" s="10"/>
      <c r="C1711" s="11"/>
      <c r="D1711" s="11"/>
      <c r="E1711" s="11"/>
      <c r="F1711" s="11"/>
      <c r="G1711" s="12"/>
      <c r="H1711" s="12"/>
      <c r="I1711" s="10"/>
      <c r="J1711" s="12"/>
      <c r="K1711" s="13" t="str">
        <f aca="false">IF(ISNUMBER(B1711),YEAR(B1711),"")</f>
        <v/>
      </c>
      <c r="L1711" s="13" t="str">
        <f aca="false">IF(ISNUMBER(B1711),MONTH(B1711),"")</f>
        <v/>
      </c>
      <c r="M1711" s="13" t="str">
        <f aca="false">IF(AND(ISNUMBER(B1711),ISNUMBER(I1711)),B1711-I1711+1,"")</f>
        <v/>
      </c>
      <c r="N1711" s="14" t="str">
        <f aca="false">IF(B1711="","",IF(M1711="","시작일 미입력",IF(M1711&lt;1,"시작일 이전(확인)",IF(M1711=1,"1일째",IF(M1711=2,"2일째",IF(M1711=3,"3일째",IF(M1711&lt;=7,"일주일 이내",IF(M1711&lt;=14,"이주일 이내","15일 이후"))))))))</f>
        <v/>
      </c>
      <c r="O1711" s="0" t="str">
        <f aca="false">IF(AND(COUNTA($A1711:$J1711)&gt;0,OR(클레임조회!$C$4="",AND(ISNUMBER($B1711),$B1711&gt;=클레임조회!$C$4)),OR(클레임조회!$C$5="",AND(ISNUMBER($B1711),$B1711&lt;=클레임조회!$C$5)),OR(클레임조회!$C$6="",$C1711=클레임조회!$C$6),OR(클레임조회!$C$7="",$D1711=클레임조회!$C$7),OR(클레임조회!$C$8="",$E1711=클레임조회!$C$8),OR(클레임조회!$C$9="",$F1711=클레임조회!$C$9),OR(클레임조회!$C$10="",ISNUMBER(SEARCH(클레임조회!$C$10,$C1711&amp;" "&amp;$F1711&amp;" "&amp;$G1711&amp;" "&amp;$H1711)))),COUNT(O$1:O1710)+1,"")</f>
        <v/>
      </c>
      <c r="P1711" s="0" t="str">
        <f aca="false">IF(AND(TRIM(C1711)&lt;&gt;"",COUNTIF(C$2:C1711,C1711)=1),MAX(P$1:P1710)+1,"")</f>
        <v/>
      </c>
      <c r="Q1711" s="0" t="str">
        <f aca="false">IF(AND(TRIM(F1711)&lt;&gt;"",COUNTIF(F$2:F1711,F1711)=1),MAX(Q$1:Q1710)+1,"")</f>
        <v/>
      </c>
    </row>
    <row r="1712" customFormat="false" ht="15" hidden="false" customHeight="false" outlineLevel="0" collapsed="false">
      <c r="A1712" s="9"/>
      <c r="B1712" s="10"/>
      <c r="C1712" s="11"/>
      <c r="D1712" s="11"/>
      <c r="E1712" s="11"/>
      <c r="F1712" s="11"/>
      <c r="G1712" s="12"/>
      <c r="H1712" s="12"/>
      <c r="I1712" s="10"/>
      <c r="J1712" s="12"/>
      <c r="K1712" s="13" t="str">
        <f aca="false">IF(ISNUMBER(B1712),YEAR(B1712),"")</f>
        <v/>
      </c>
      <c r="L1712" s="13" t="str">
        <f aca="false">IF(ISNUMBER(B1712),MONTH(B1712),"")</f>
        <v/>
      </c>
      <c r="M1712" s="13" t="str">
        <f aca="false">IF(AND(ISNUMBER(B1712),ISNUMBER(I1712)),B1712-I1712+1,"")</f>
        <v/>
      </c>
      <c r="N1712" s="14" t="str">
        <f aca="false">IF(B1712="","",IF(M1712="","시작일 미입력",IF(M1712&lt;1,"시작일 이전(확인)",IF(M1712=1,"1일째",IF(M1712=2,"2일째",IF(M1712=3,"3일째",IF(M1712&lt;=7,"일주일 이내",IF(M1712&lt;=14,"이주일 이내","15일 이후"))))))))</f>
        <v/>
      </c>
      <c r="O1712" s="0" t="str">
        <f aca="false">IF(AND(COUNTA($A1712:$J1712)&gt;0,OR(클레임조회!$C$4="",AND(ISNUMBER($B1712),$B1712&gt;=클레임조회!$C$4)),OR(클레임조회!$C$5="",AND(ISNUMBER($B1712),$B1712&lt;=클레임조회!$C$5)),OR(클레임조회!$C$6="",$C1712=클레임조회!$C$6),OR(클레임조회!$C$7="",$D1712=클레임조회!$C$7),OR(클레임조회!$C$8="",$E1712=클레임조회!$C$8),OR(클레임조회!$C$9="",$F1712=클레임조회!$C$9),OR(클레임조회!$C$10="",ISNUMBER(SEARCH(클레임조회!$C$10,$C1712&amp;" "&amp;$F1712&amp;" "&amp;$G1712&amp;" "&amp;$H1712)))),COUNT(O$1:O1711)+1,"")</f>
        <v/>
      </c>
      <c r="P1712" s="0" t="str">
        <f aca="false">IF(AND(TRIM(C1712)&lt;&gt;"",COUNTIF(C$2:C1712,C1712)=1),MAX(P$1:P1711)+1,"")</f>
        <v/>
      </c>
      <c r="Q1712" s="0" t="str">
        <f aca="false">IF(AND(TRIM(F1712)&lt;&gt;"",COUNTIF(F$2:F1712,F1712)=1),MAX(Q$1:Q1711)+1,"")</f>
        <v/>
      </c>
    </row>
    <row r="1713" customFormat="false" ht="15" hidden="false" customHeight="false" outlineLevel="0" collapsed="false">
      <c r="A1713" s="9"/>
      <c r="B1713" s="10"/>
      <c r="C1713" s="11"/>
      <c r="D1713" s="11"/>
      <c r="E1713" s="11"/>
      <c r="F1713" s="11"/>
      <c r="G1713" s="12"/>
      <c r="H1713" s="12"/>
      <c r="I1713" s="10"/>
      <c r="J1713" s="12"/>
      <c r="K1713" s="13" t="str">
        <f aca="false">IF(ISNUMBER(B1713),YEAR(B1713),"")</f>
        <v/>
      </c>
      <c r="L1713" s="13" t="str">
        <f aca="false">IF(ISNUMBER(B1713),MONTH(B1713),"")</f>
        <v/>
      </c>
      <c r="M1713" s="13" t="str">
        <f aca="false">IF(AND(ISNUMBER(B1713),ISNUMBER(I1713)),B1713-I1713+1,"")</f>
        <v/>
      </c>
      <c r="N1713" s="14" t="str">
        <f aca="false">IF(B1713="","",IF(M1713="","시작일 미입력",IF(M1713&lt;1,"시작일 이전(확인)",IF(M1713=1,"1일째",IF(M1713=2,"2일째",IF(M1713=3,"3일째",IF(M1713&lt;=7,"일주일 이내",IF(M1713&lt;=14,"이주일 이내","15일 이후"))))))))</f>
        <v/>
      </c>
      <c r="O1713" s="0" t="str">
        <f aca="false">IF(AND(COUNTA($A1713:$J1713)&gt;0,OR(클레임조회!$C$4="",AND(ISNUMBER($B1713),$B1713&gt;=클레임조회!$C$4)),OR(클레임조회!$C$5="",AND(ISNUMBER($B1713),$B1713&lt;=클레임조회!$C$5)),OR(클레임조회!$C$6="",$C1713=클레임조회!$C$6),OR(클레임조회!$C$7="",$D1713=클레임조회!$C$7),OR(클레임조회!$C$8="",$E1713=클레임조회!$C$8),OR(클레임조회!$C$9="",$F1713=클레임조회!$C$9),OR(클레임조회!$C$10="",ISNUMBER(SEARCH(클레임조회!$C$10,$C1713&amp;" "&amp;$F1713&amp;" "&amp;$G1713&amp;" "&amp;$H1713)))),COUNT(O$1:O1712)+1,"")</f>
        <v/>
      </c>
      <c r="P1713" s="0" t="str">
        <f aca="false">IF(AND(TRIM(C1713)&lt;&gt;"",COUNTIF(C$2:C1713,C1713)=1),MAX(P$1:P1712)+1,"")</f>
        <v/>
      </c>
      <c r="Q1713" s="0" t="str">
        <f aca="false">IF(AND(TRIM(F1713)&lt;&gt;"",COUNTIF(F$2:F1713,F1713)=1),MAX(Q$1:Q1712)+1,"")</f>
        <v/>
      </c>
    </row>
    <row r="1714" customFormat="false" ht="15" hidden="false" customHeight="false" outlineLevel="0" collapsed="false">
      <c r="A1714" s="9"/>
      <c r="B1714" s="10"/>
      <c r="C1714" s="11"/>
      <c r="D1714" s="11"/>
      <c r="E1714" s="11"/>
      <c r="F1714" s="11"/>
      <c r="G1714" s="12"/>
      <c r="H1714" s="12"/>
      <c r="I1714" s="10"/>
      <c r="J1714" s="12"/>
      <c r="K1714" s="13" t="str">
        <f aca="false">IF(ISNUMBER(B1714),YEAR(B1714),"")</f>
        <v/>
      </c>
      <c r="L1714" s="13" t="str">
        <f aca="false">IF(ISNUMBER(B1714),MONTH(B1714),"")</f>
        <v/>
      </c>
      <c r="M1714" s="13" t="str">
        <f aca="false">IF(AND(ISNUMBER(B1714),ISNUMBER(I1714)),B1714-I1714+1,"")</f>
        <v/>
      </c>
      <c r="N1714" s="14" t="str">
        <f aca="false">IF(B1714="","",IF(M1714="","시작일 미입력",IF(M1714&lt;1,"시작일 이전(확인)",IF(M1714=1,"1일째",IF(M1714=2,"2일째",IF(M1714=3,"3일째",IF(M1714&lt;=7,"일주일 이내",IF(M1714&lt;=14,"이주일 이내","15일 이후"))))))))</f>
        <v/>
      </c>
      <c r="O1714" s="0" t="str">
        <f aca="false">IF(AND(COUNTA($A1714:$J1714)&gt;0,OR(클레임조회!$C$4="",AND(ISNUMBER($B1714),$B1714&gt;=클레임조회!$C$4)),OR(클레임조회!$C$5="",AND(ISNUMBER($B1714),$B1714&lt;=클레임조회!$C$5)),OR(클레임조회!$C$6="",$C1714=클레임조회!$C$6),OR(클레임조회!$C$7="",$D1714=클레임조회!$C$7),OR(클레임조회!$C$8="",$E1714=클레임조회!$C$8),OR(클레임조회!$C$9="",$F1714=클레임조회!$C$9),OR(클레임조회!$C$10="",ISNUMBER(SEARCH(클레임조회!$C$10,$C1714&amp;" "&amp;$F1714&amp;" "&amp;$G1714&amp;" "&amp;$H1714)))),COUNT(O$1:O1713)+1,"")</f>
        <v/>
      </c>
      <c r="P1714" s="0" t="str">
        <f aca="false">IF(AND(TRIM(C1714)&lt;&gt;"",COUNTIF(C$2:C1714,C1714)=1),MAX(P$1:P1713)+1,"")</f>
        <v/>
      </c>
      <c r="Q1714" s="0" t="str">
        <f aca="false">IF(AND(TRIM(F1714)&lt;&gt;"",COUNTIF(F$2:F1714,F1714)=1),MAX(Q$1:Q1713)+1,"")</f>
        <v/>
      </c>
    </row>
    <row r="1715" customFormat="false" ht="15" hidden="false" customHeight="false" outlineLevel="0" collapsed="false">
      <c r="A1715" s="9"/>
      <c r="B1715" s="10"/>
      <c r="C1715" s="11"/>
      <c r="D1715" s="11"/>
      <c r="E1715" s="11"/>
      <c r="F1715" s="11"/>
      <c r="G1715" s="12"/>
      <c r="H1715" s="12"/>
      <c r="I1715" s="10"/>
      <c r="J1715" s="12"/>
      <c r="K1715" s="13" t="str">
        <f aca="false">IF(ISNUMBER(B1715),YEAR(B1715),"")</f>
        <v/>
      </c>
      <c r="L1715" s="13" t="str">
        <f aca="false">IF(ISNUMBER(B1715),MONTH(B1715),"")</f>
        <v/>
      </c>
      <c r="M1715" s="13" t="str">
        <f aca="false">IF(AND(ISNUMBER(B1715),ISNUMBER(I1715)),B1715-I1715+1,"")</f>
        <v/>
      </c>
      <c r="N1715" s="14" t="str">
        <f aca="false">IF(B1715="","",IF(M1715="","시작일 미입력",IF(M1715&lt;1,"시작일 이전(확인)",IF(M1715=1,"1일째",IF(M1715=2,"2일째",IF(M1715=3,"3일째",IF(M1715&lt;=7,"일주일 이내",IF(M1715&lt;=14,"이주일 이내","15일 이후"))))))))</f>
        <v/>
      </c>
      <c r="O1715" s="0" t="str">
        <f aca="false">IF(AND(COUNTA($A1715:$J1715)&gt;0,OR(클레임조회!$C$4="",AND(ISNUMBER($B1715),$B1715&gt;=클레임조회!$C$4)),OR(클레임조회!$C$5="",AND(ISNUMBER($B1715),$B1715&lt;=클레임조회!$C$5)),OR(클레임조회!$C$6="",$C1715=클레임조회!$C$6),OR(클레임조회!$C$7="",$D1715=클레임조회!$C$7),OR(클레임조회!$C$8="",$E1715=클레임조회!$C$8),OR(클레임조회!$C$9="",$F1715=클레임조회!$C$9),OR(클레임조회!$C$10="",ISNUMBER(SEARCH(클레임조회!$C$10,$C1715&amp;" "&amp;$F1715&amp;" "&amp;$G1715&amp;" "&amp;$H1715)))),COUNT(O$1:O1714)+1,"")</f>
        <v/>
      </c>
      <c r="P1715" s="0" t="str">
        <f aca="false">IF(AND(TRIM(C1715)&lt;&gt;"",COUNTIF(C$2:C1715,C1715)=1),MAX(P$1:P1714)+1,"")</f>
        <v/>
      </c>
      <c r="Q1715" s="0" t="str">
        <f aca="false">IF(AND(TRIM(F1715)&lt;&gt;"",COUNTIF(F$2:F1715,F1715)=1),MAX(Q$1:Q1714)+1,"")</f>
        <v/>
      </c>
    </row>
    <row r="1716" customFormat="false" ht="15" hidden="false" customHeight="false" outlineLevel="0" collapsed="false">
      <c r="A1716" s="9"/>
      <c r="B1716" s="10"/>
      <c r="C1716" s="11"/>
      <c r="D1716" s="11"/>
      <c r="E1716" s="11"/>
      <c r="F1716" s="11"/>
      <c r="G1716" s="12"/>
      <c r="H1716" s="12"/>
      <c r="I1716" s="10"/>
      <c r="J1716" s="12"/>
      <c r="K1716" s="13" t="str">
        <f aca="false">IF(ISNUMBER(B1716),YEAR(B1716),"")</f>
        <v/>
      </c>
      <c r="L1716" s="13" t="str">
        <f aca="false">IF(ISNUMBER(B1716),MONTH(B1716),"")</f>
        <v/>
      </c>
      <c r="M1716" s="13" t="str">
        <f aca="false">IF(AND(ISNUMBER(B1716),ISNUMBER(I1716)),B1716-I1716+1,"")</f>
        <v/>
      </c>
      <c r="N1716" s="14" t="str">
        <f aca="false">IF(B1716="","",IF(M1716="","시작일 미입력",IF(M1716&lt;1,"시작일 이전(확인)",IF(M1716=1,"1일째",IF(M1716=2,"2일째",IF(M1716=3,"3일째",IF(M1716&lt;=7,"일주일 이내",IF(M1716&lt;=14,"이주일 이내","15일 이후"))))))))</f>
        <v/>
      </c>
      <c r="O1716" s="0" t="str">
        <f aca="false">IF(AND(COUNTA($A1716:$J1716)&gt;0,OR(클레임조회!$C$4="",AND(ISNUMBER($B1716),$B1716&gt;=클레임조회!$C$4)),OR(클레임조회!$C$5="",AND(ISNUMBER($B1716),$B1716&lt;=클레임조회!$C$5)),OR(클레임조회!$C$6="",$C1716=클레임조회!$C$6),OR(클레임조회!$C$7="",$D1716=클레임조회!$C$7),OR(클레임조회!$C$8="",$E1716=클레임조회!$C$8),OR(클레임조회!$C$9="",$F1716=클레임조회!$C$9),OR(클레임조회!$C$10="",ISNUMBER(SEARCH(클레임조회!$C$10,$C1716&amp;" "&amp;$F1716&amp;" "&amp;$G1716&amp;" "&amp;$H1716)))),COUNT(O$1:O1715)+1,"")</f>
        <v/>
      </c>
      <c r="P1716" s="0" t="str">
        <f aca="false">IF(AND(TRIM(C1716)&lt;&gt;"",COUNTIF(C$2:C1716,C1716)=1),MAX(P$1:P1715)+1,"")</f>
        <v/>
      </c>
      <c r="Q1716" s="0" t="str">
        <f aca="false">IF(AND(TRIM(F1716)&lt;&gt;"",COUNTIF(F$2:F1716,F1716)=1),MAX(Q$1:Q1715)+1,"")</f>
        <v/>
      </c>
    </row>
    <row r="1717" customFormat="false" ht="15" hidden="false" customHeight="false" outlineLevel="0" collapsed="false">
      <c r="A1717" s="9"/>
      <c r="B1717" s="10"/>
      <c r="C1717" s="11"/>
      <c r="D1717" s="11"/>
      <c r="E1717" s="11"/>
      <c r="F1717" s="11"/>
      <c r="G1717" s="12"/>
      <c r="H1717" s="12"/>
      <c r="I1717" s="10"/>
      <c r="J1717" s="12"/>
      <c r="K1717" s="13" t="str">
        <f aca="false">IF(ISNUMBER(B1717),YEAR(B1717),"")</f>
        <v/>
      </c>
      <c r="L1717" s="13" t="str">
        <f aca="false">IF(ISNUMBER(B1717),MONTH(B1717),"")</f>
        <v/>
      </c>
      <c r="M1717" s="13" t="str">
        <f aca="false">IF(AND(ISNUMBER(B1717),ISNUMBER(I1717)),B1717-I1717+1,"")</f>
        <v/>
      </c>
      <c r="N1717" s="14" t="str">
        <f aca="false">IF(B1717="","",IF(M1717="","시작일 미입력",IF(M1717&lt;1,"시작일 이전(확인)",IF(M1717=1,"1일째",IF(M1717=2,"2일째",IF(M1717=3,"3일째",IF(M1717&lt;=7,"일주일 이내",IF(M1717&lt;=14,"이주일 이내","15일 이후"))))))))</f>
        <v/>
      </c>
      <c r="O1717" s="0" t="str">
        <f aca="false">IF(AND(COUNTA($A1717:$J1717)&gt;0,OR(클레임조회!$C$4="",AND(ISNUMBER($B1717),$B1717&gt;=클레임조회!$C$4)),OR(클레임조회!$C$5="",AND(ISNUMBER($B1717),$B1717&lt;=클레임조회!$C$5)),OR(클레임조회!$C$6="",$C1717=클레임조회!$C$6),OR(클레임조회!$C$7="",$D1717=클레임조회!$C$7),OR(클레임조회!$C$8="",$E1717=클레임조회!$C$8),OR(클레임조회!$C$9="",$F1717=클레임조회!$C$9),OR(클레임조회!$C$10="",ISNUMBER(SEARCH(클레임조회!$C$10,$C1717&amp;" "&amp;$F1717&amp;" "&amp;$G1717&amp;" "&amp;$H1717)))),COUNT(O$1:O1716)+1,"")</f>
        <v/>
      </c>
      <c r="P1717" s="0" t="str">
        <f aca="false">IF(AND(TRIM(C1717)&lt;&gt;"",COUNTIF(C$2:C1717,C1717)=1),MAX(P$1:P1716)+1,"")</f>
        <v/>
      </c>
      <c r="Q1717" s="0" t="str">
        <f aca="false">IF(AND(TRIM(F1717)&lt;&gt;"",COUNTIF(F$2:F1717,F1717)=1),MAX(Q$1:Q1716)+1,"")</f>
        <v/>
      </c>
    </row>
    <row r="1718" customFormat="false" ht="15" hidden="false" customHeight="false" outlineLevel="0" collapsed="false">
      <c r="A1718" s="9"/>
      <c r="B1718" s="10"/>
      <c r="C1718" s="11"/>
      <c r="D1718" s="11"/>
      <c r="E1718" s="11"/>
      <c r="F1718" s="11"/>
      <c r="G1718" s="12"/>
      <c r="H1718" s="12"/>
      <c r="I1718" s="10"/>
      <c r="J1718" s="12"/>
      <c r="K1718" s="13" t="str">
        <f aca="false">IF(ISNUMBER(B1718),YEAR(B1718),"")</f>
        <v/>
      </c>
      <c r="L1718" s="13" t="str">
        <f aca="false">IF(ISNUMBER(B1718),MONTH(B1718),"")</f>
        <v/>
      </c>
      <c r="M1718" s="13" t="str">
        <f aca="false">IF(AND(ISNUMBER(B1718),ISNUMBER(I1718)),B1718-I1718+1,"")</f>
        <v/>
      </c>
      <c r="N1718" s="14" t="str">
        <f aca="false">IF(B1718="","",IF(M1718="","시작일 미입력",IF(M1718&lt;1,"시작일 이전(확인)",IF(M1718=1,"1일째",IF(M1718=2,"2일째",IF(M1718=3,"3일째",IF(M1718&lt;=7,"일주일 이내",IF(M1718&lt;=14,"이주일 이내","15일 이후"))))))))</f>
        <v/>
      </c>
      <c r="O1718" s="0" t="str">
        <f aca="false">IF(AND(COUNTA($A1718:$J1718)&gt;0,OR(클레임조회!$C$4="",AND(ISNUMBER($B1718),$B1718&gt;=클레임조회!$C$4)),OR(클레임조회!$C$5="",AND(ISNUMBER($B1718),$B1718&lt;=클레임조회!$C$5)),OR(클레임조회!$C$6="",$C1718=클레임조회!$C$6),OR(클레임조회!$C$7="",$D1718=클레임조회!$C$7),OR(클레임조회!$C$8="",$E1718=클레임조회!$C$8),OR(클레임조회!$C$9="",$F1718=클레임조회!$C$9),OR(클레임조회!$C$10="",ISNUMBER(SEARCH(클레임조회!$C$10,$C1718&amp;" "&amp;$F1718&amp;" "&amp;$G1718&amp;" "&amp;$H1718)))),COUNT(O$1:O1717)+1,"")</f>
        <v/>
      </c>
      <c r="P1718" s="0" t="str">
        <f aca="false">IF(AND(TRIM(C1718)&lt;&gt;"",COUNTIF(C$2:C1718,C1718)=1),MAX(P$1:P1717)+1,"")</f>
        <v/>
      </c>
      <c r="Q1718" s="0" t="str">
        <f aca="false">IF(AND(TRIM(F1718)&lt;&gt;"",COUNTIF(F$2:F1718,F1718)=1),MAX(Q$1:Q1717)+1,"")</f>
        <v/>
      </c>
    </row>
    <row r="1719" customFormat="false" ht="15" hidden="false" customHeight="false" outlineLevel="0" collapsed="false">
      <c r="A1719" s="9"/>
      <c r="B1719" s="10"/>
      <c r="C1719" s="11"/>
      <c r="D1719" s="11"/>
      <c r="E1719" s="11"/>
      <c r="F1719" s="11"/>
      <c r="G1719" s="12"/>
      <c r="H1719" s="12"/>
      <c r="I1719" s="10"/>
      <c r="J1719" s="12"/>
      <c r="K1719" s="13" t="str">
        <f aca="false">IF(ISNUMBER(B1719),YEAR(B1719),"")</f>
        <v/>
      </c>
      <c r="L1719" s="13" t="str">
        <f aca="false">IF(ISNUMBER(B1719),MONTH(B1719),"")</f>
        <v/>
      </c>
      <c r="M1719" s="13" t="str">
        <f aca="false">IF(AND(ISNUMBER(B1719),ISNUMBER(I1719)),B1719-I1719+1,"")</f>
        <v/>
      </c>
      <c r="N1719" s="14" t="str">
        <f aca="false">IF(B1719="","",IF(M1719="","시작일 미입력",IF(M1719&lt;1,"시작일 이전(확인)",IF(M1719=1,"1일째",IF(M1719=2,"2일째",IF(M1719=3,"3일째",IF(M1719&lt;=7,"일주일 이내",IF(M1719&lt;=14,"이주일 이내","15일 이후"))))))))</f>
        <v/>
      </c>
      <c r="O1719" s="0" t="str">
        <f aca="false">IF(AND(COUNTA($A1719:$J1719)&gt;0,OR(클레임조회!$C$4="",AND(ISNUMBER($B1719),$B1719&gt;=클레임조회!$C$4)),OR(클레임조회!$C$5="",AND(ISNUMBER($B1719),$B1719&lt;=클레임조회!$C$5)),OR(클레임조회!$C$6="",$C1719=클레임조회!$C$6),OR(클레임조회!$C$7="",$D1719=클레임조회!$C$7),OR(클레임조회!$C$8="",$E1719=클레임조회!$C$8),OR(클레임조회!$C$9="",$F1719=클레임조회!$C$9),OR(클레임조회!$C$10="",ISNUMBER(SEARCH(클레임조회!$C$10,$C1719&amp;" "&amp;$F1719&amp;" "&amp;$G1719&amp;" "&amp;$H1719)))),COUNT(O$1:O1718)+1,"")</f>
        <v/>
      </c>
      <c r="P1719" s="0" t="str">
        <f aca="false">IF(AND(TRIM(C1719)&lt;&gt;"",COUNTIF(C$2:C1719,C1719)=1),MAX(P$1:P1718)+1,"")</f>
        <v/>
      </c>
      <c r="Q1719" s="0" t="str">
        <f aca="false">IF(AND(TRIM(F1719)&lt;&gt;"",COUNTIF(F$2:F1719,F1719)=1),MAX(Q$1:Q1718)+1,"")</f>
        <v/>
      </c>
    </row>
    <row r="1720" customFormat="false" ht="15" hidden="false" customHeight="false" outlineLevel="0" collapsed="false">
      <c r="A1720" s="9"/>
      <c r="B1720" s="10"/>
      <c r="C1720" s="11"/>
      <c r="D1720" s="11"/>
      <c r="E1720" s="11"/>
      <c r="F1720" s="11"/>
      <c r="G1720" s="12"/>
      <c r="H1720" s="12"/>
      <c r="I1720" s="10"/>
      <c r="J1720" s="12"/>
      <c r="K1720" s="13" t="str">
        <f aca="false">IF(ISNUMBER(B1720),YEAR(B1720),"")</f>
        <v/>
      </c>
      <c r="L1720" s="13" t="str">
        <f aca="false">IF(ISNUMBER(B1720),MONTH(B1720),"")</f>
        <v/>
      </c>
      <c r="M1720" s="13" t="str">
        <f aca="false">IF(AND(ISNUMBER(B1720),ISNUMBER(I1720)),B1720-I1720+1,"")</f>
        <v/>
      </c>
      <c r="N1720" s="14" t="str">
        <f aca="false">IF(B1720="","",IF(M1720="","시작일 미입력",IF(M1720&lt;1,"시작일 이전(확인)",IF(M1720=1,"1일째",IF(M1720=2,"2일째",IF(M1720=3,"3일째",IF(M1720&lt;=7,"일주일 이내",IF(M1720&lt;=14,"이주일 이내","15일 이후"))))))))</f>
        <v/>
      </c>
      <c r="O1720" s="0" t="str">
        <f aca="false">IF(AND(COUNTA($A1720:$J1720)&gt;0,OR(클레임조회!$C$4="",AND(ISNUMBER($B1720),$B1720&gt;=클레임조회!$C$4)),OR(클레임조회!$C$5="",AND(ISNUMBER($B1720),$B1720&lt;=클레임조회!$C$5)),OR(클레임조회!$C$6="",$C1720=클레임조회!$C$6),OR(클레임조회!$C$7="",$D1720=클레임조회!$C$7),OR(클레임조회!$C$8="",$E1720=클레임조회!$C$8),OR(클레임조회!$C$9="",$F1720=클레임조회!$C$9),OR(클레임조회!$C$10="",ISNUMBER(SEARCH(클레임조회!$C$10,$C1720&amp;" "&amp;$F1720&amp;" "&amp;$G1720&amp;" "&amp;$H1720)))),COUNT(O$1:O1719)+1,"")</f>
        <v/>
      </c>
      <c r="P1720" s="0" t="str">
        <f aca="false">IF(AND(TRIM(C1720)&lt;&gt;"",COUNTIF(C$2:C1720,C1720)=1),MAX(P$1:P1719)+1,"")</f>
        <v/>
      </c>
      <c r="Q1720" s="0" t="str">
        <f aca="false">IF(AND(TRIM(F1720)&lt;&gt;"",COUNTIF(F$2:F1720,F1720)=1),MAX(Q$1:Q1719)+1,"")</f>
        <v/>
      </c>
    </row>
    <row r="1721" customFormat="false" ht="15" hidden="false" customHeight="false" outlineLevel="0" collapsed="false">
      <c r="A1721" s="9"/>
      <c r="B1721" s="10"/>
      <c r="C1721" s="11"/>
      <c r="D1721" s="11"/>
      <c r="E1721" s="11"/>
      <c r="F1721" s="11"/>
      <c r="G1721" s="12"/>
      <c r="H1721" s="12"/>
      <c r="I1721" s="10"/>
      <c r="J1721" s="12"/>
      <c r="K1721" s="13" t="str">
        <f aca="false">IF(ISNUMBER(B1721),YEAR(B1721),"")</f>
        <v/>
      </c>
      <c r="L1721" s="13" t="str">
        <f aca="false">IF(ISNUMBER(B1721),MONTH(B1721),"")</f>
        <v/>
      </c>
      <c r="M1721" s="13" t="str">
        <f aca="false">IF(AND(ISNUMBER(B1721),ISNUMBER(I1721)),B1721-I1721+1,"")</f>
        <v/>
      </c>
      <c r="N1721" s="14" t="str">
        <f aca="false">IF(B1721="","",IF(M1721="","시작일 미입력",IF(M1721&lt;1,"시작일 이전(확인)",IF(M1721=1,"1일째",IF(M1721=2,"2일째",IF(M1721=3,"3일째",IF(M1721&lt;=7,"일주일 이내",IF(M1721&lt;=14,"이주일 이내","15일 이후"))))))))</f>
        <v/>
      </c>
      <c r="O1721" s="0" t="str">
        <f aca="false">IF(AND(COUNTA($A1721:$J1721)&gt;0,OR(클레임조회!$C$4="",AND(ISNUMBER($B1721),$B1721&gt;=클레임조회!$C$4)),OR(클레임조회!$C$5="",AND(ISNUMBER($B1721),$B1721&lt;=클레임조회!$C$5)),OR(클레임조회!$C$6="",$C1721=클레임조회!$C$6),OR(클레임조회!$C$7="",$D1721=클레임조회!$C$7),OR(클레임조회!$C$8="",$E1721=클레임조회!$C$8),OR(클레임조회!$C$9="",$F1721=클레임조회!$C$9),OR(클레임조회!$C$10="",ISNUMBER(SEARCH(클레임조회!$C$10,$C1721&amp;" "&amp;$F1721&amp;" "&amp;$G1721&amp;" "&amp;$H1721)))),COUNT(O$1:O1720)+1,"")</f>
        <v/>
      </c>
      <c r="P1721" s="0" t="str">
        <f aca="false">IF(AND(TRIM(C1721)&lt;&gt;"",COUNTIF(C$2:C1721,C1721)=1),MAX(P$1:P1720)+1,"")</f>
        <v/>
      </c>
      <c r="Q1721" s="0" t="str">
        <f aca="false">IF(AND(TRIM(F1721)&lt;&gt;"",COUNTIF(F$2:F1721,F1721)=1),MAX(Q$1:Q1720)+1,"")</f>
        <v/>
      </c>
    </row>
    <row r="1722" customFormat="false" ht="15" hidden="false" customHeight="false" outlineLevel="0" collapsed="false">
      <c r="A1722" s="9"/>
      <c r="B1722" s="10"/>
      <c r="C1722" s="11"/>
      <c r="D1722" s="11"/>
      <c r="E1722" s="11"/>
      <c r="F1722" s="11"/>
      <c r="G1722" s="12"/>
      <c r="H1722" s="12"/>
      <c r="I1722" s="10"/>
      <c r="J1722" s="12"/>
      <c r="K1722" s="13" t="str">
        <f aca="false">IF(ISNUMBER(B1722),YEAR(B1722),"")</f>
        <v/>
      </c>
      <c r="L1722" s="13" t="str">
        <f aca="false">IF(ISNUMBER(B1722),MONTH(B1722),"")</f>
        <v/>
      </c>
      <c r="M1722" s="13" t="str">
        <f aca="false">IF(AND(ISNUMBER(B1722),ISNUMBER(I1722)),B1722-I1722+1,"")</f>
        <v/>
      </c>
      <c r="N1722" s="14" t="str">
        <f aca="false">IF(B1722="","",IF(M1722="","시작일 미입력",IF(M1722&lt;1,"시작일 이전(확인)",IF(M1722=1,"1일째",IF(M1722=2,"2일째",IF(M1722=3,"3일째",IF(M1722&lt;=7,"일주일 이내",IF(M1722&lt;=14,"이주일 이내","15일 이후"))))))))</f>
        <v/>
      </c>
      <c r="O1722" s="0" t="str">
        <f aca="false">IF(AND(COUNTA($A1722:$J1722)&gt;0,OR(클레임조회!$C$4="",AND(ISNUMBER($B1722),$B1722&gt;=클레임조회!$C$4)),OR(클레임조회!$C$5="",AND(ISNUMBER($B1722),$B1722&lt;=클레임조회!$C$5)),OR(클레임조회!$C$6="",$C1722=클레임조회!$C$6),OR(클레임조회!$C$7="",$D1722=클레임조회!$C$7),OR(클레임조회!$C$8="",$E1722=클레임조회!$C$8),OR(클레임조회!$C$9="",$F1722=클레임조회!$C$9),OR(클레임조회!$C$10="",ISNUMBER(SEARCH(클레임조회!$C$10,$C1722&amp;" "&amp;$F1722&amp;" "&amp;$G1722&amp;" "&amp;$H1722)))),COUNT(O$1:O1721)+1,"")</f>
        <v/>
      </c>
      <c r="P1722" s="0" t="str">
        <f aca="false">IF(AND(TRIM(C1722)&lt;&gt;"",COUNTIF(C$2:C1722,C1722)=1),MAX(P$1:P1721)+1,"")</f>
        <v/>
      </c>
      <c r="Q1722" s="0" t="str">
        <f aca="false">IF(AND(TRIM(F1722)&lt;&gt;"",COUNTIF(F$2:F1722,F1722)=1),MAX(Q$1:Q1721)+1,"")</f>
        <v/>
      </c>
    </row>
    <row r="1723" customFormat="false" ht="15" hidden="false" customHeight="false" outlineLevel="0" collapsed="false">
      <c r="A1723" s="9"/>
      <c r="B1723" s="10"/>
      <c r="C1723" s="11"/>
      <c r="D1723" s="11"/>
      <c r="E1723" s="11"/>
      <c r="F1723" s="11"/>
      <c r="G1723" s="12"/>
      <c r="H1723" s="12"/>
      <c r="I1723" s="10"/>
      <c r="J1723" s="12"/>
      <c r="K1723" s="13" t="str">
        <f aca="false">IF(ISNUMBER(B1723),YEAR(B1723),"")</f>
        <v/>
      </c>
      <c r="L1723" s="13" t="str">
        <f aca="false">IF(ISNUMBER(B1723),MONTH(B1723),"")</f>
        <v/>
      </c>
      <c r="M1723" s="13" t="str">
        <f aca="false">IF(AND(ISNUMBER(B1723),ISNUMBER(I1723)),B1723-I1723+1,"")</f>
        <v/>
      </c>
      <c r="N1723" s="14" t="str">
        <f aca="false">IF(B1723="","",IF(M1723="","시작일 미입력",IF(M1723&lt;1,"시작일 이전(확인)",IF(M1723=1,"1일째",IF(M1723=2,"2일째",IF(M1723=3,"3일째",IF(M1723&lt;=7,"일주일 이내",IF(M1723&lt;=14,"이주일 이내","15일 이후"))))))))</f>
        <v/>
      </c>
      <c r="O1723" s="0" t="str">
        <f aca="false">IF(AND(COUNTA($A1723:$J1723)&gt;0,OR(클레임조회!$C$4="",AND(ISNUMBER($B1723),$B1723&gt;=클레임조회!$C$4)),OR(클레임조회!$C$5="",AND(ISNUMBER($B1723),$B1723&lt;=클레임조회!$C$5)),OR(클레임조회!$C$6="",$C1723=클레임조회!$C$6),OR(클레임조회!$C$7="",$D1723=클레임조회!$C$7),OR(클레임조회!$C$8="",$E1723=클레임조회!$C$8),OR(클레임조회!$C$9="",$F1723=클레임조회!$C$9),OR(클레임조회!$C$10="",ISNUMBER(SEARCH(클레임조회!$C$10,$C1723&amp;" "&amp;$F1723&amp;" "&amp;$G1723&amp;" "&amp;$H1723)))),COUNT(O$1:O1722)+1,"")</f>
        <v/>
      </c>
      <c r="P1723" s="0" t="str">
        <f aca="false">IF(AND(TRIM(C1723)&lt;&gt;"",COUNTIF(C$2:C1723,C1723)=1),MAX(P$1:P1722)+1,"")</f>
        <v/>
      </c>
      <c r="Q1723" s="0" t="str">
        <f aca="false">IF(AND(TRIM(F1723)&lt;&gt;"",COUNTIF(F$2:F1723,F1723)=1),MAX(Q$1:Q1722)+1,"")</f>
        <v/>
      </c>
    </row>
    <row r="1724" customFormat="false" ht="15" hidden="false" customHeight="false" outlineLevel="0" collapsed="false">
      <c r="A1724" s="9"/>
      <c r="B1724" s="10"/>
      <c r="C1724" s="11"/>
      <c r="D1724" s="11"/>
      <c r="E1724" s="11"/>
      <c r="F1724" s="11"/>
      <c r="G1724" s="12"/>
      <c r="H1724" s="12"/>
      <c r="I1724" s="10"/>
      <c r="J1724" s="12"/>
      <c r="K1724" s="13" t="str">
        <f aca="false">IF(ISNUMBER(B1724),YEAR(B1724),"")</f>
        <v/>
      </c>
      <c r="L1724" s="13" t="str">
        <f aca="false">IF(ISNUMBER(B1724),MONTH(B1724),"")</f>
        <v/>
      </c>
      <c r="M1724" s="13" t="str">
        <f aca="false">IF(AND(ISNUMBER(B1724),ISNUMBER(I1724)),B1724-I1724+1,"")</f>
        <v/>
      </c>
      <c r="N1724" s="14" t="str">
        <f aca="false">IF(B1724="","",IF(M1724="","시작일 미입력",IF(M1724&lt;1,"시작일 이전(확인)",IF(M1724=1,"1일째",IF(M1724=2,"2일째",IF(M1724=3,"3일째",IF(M1724&lt;=7,"일주일 이내",IF(M1724&lt;=14,"이주일 이내","15일 이후"))))))))</f>
        <v/>
      </c>
      <c r="O1724" s="0" t="str">
        <f aca="false">IF(AND(COUNTA($A1724:$J1724)&gt;0,OR(클레임조회!$C$4="",AND(ISNUMBER($B1724),$B1724&gt;=클레임조회!$C$4)),OR(클레임조회!$C$5="",AND(ISNUMBER($B1724),$B1724&lt;=클레임조회!$C$5)),OR(클레임조회!$C$6="",$C1724=클레임조회!$C$6),OR(클레임조회!$C$7="",$D1724=클레임조회!$C$7),OR(클레임조회!$C$8="",$E1724=클레임조회!$C$8),OR(클레임조회!$C$9="",$F1724=클레임조회!$C$9),OR(클레임조회!$C$10="",ISNUMBER(SEARCH(클레임조회!$C$10,$C1724&amp;" "&amp;$F1724&amp;" "&amp;$G1724&amp;" "&amp;$H1724)))),COUNT(O$1:O1723)+1,"")</f>
        <v/>
      </c>
      <c r="P1724" s="0" t="str">
        <f aca="false">IF(AND(TRIM(C1724)&lt;&gt;"",COUNTIF(C$2:C1724,C1724)=1),MAX(P$1:P1723)+1,"")</f>
        <v/>
      </c>
      <c r="Q1724" s="0" t="str">
        <f aca="false">IF(AND(TRIM(F1724)&lt;&gt;"",COUNTIF(F$2:F1724,F1724)=1),MAX(Q$1:Q1723)+1,"")</f>
        <v/>
      </c>
    </row>
    <row r="1725" customFormat="false" ht="15" hidden="false" customHeight="false" outlineLevel="0" collapsed="false">
      <c r="A1725" s="9"/>
      <c r="B1725" s="10"/>
      <c r="C1725" s="11"/>
      <c r="D1725" s="11"/>
      <c r="E1725" s="11"/>
      <c r="F1725" s="11"/>
      <c r="G1725" s="12"/>
      <c r="H1725" s="12"/>
      <c r="I1725" s="10"/>
      <c r="J1725" s="12"/>
      <c r="K1725" s="13" t="str">
        <f aca="false">IF(ISNUMBER(B1725),YEAR(B1725),"")</f>
        <v/>
      </c>
      <c r="L1725" s="13" t="str">
        <f aca="false">IF(ISNUMBER(B1725),MONTH(B1725),"")</f>
        <v/>
      </c>
      <c r="M1725" s="13" t="str">
        <f aca="false">IF(AND(ISNUMBER(B1725),ISNUMBER(I1725)),B1725-I1725+1,"")</f>
        <v/>
      </c>
      <c r="N1725" s="14" t="str">
        <f aca="false">IF(B1725="","",IF(M1725="","시작일 미입력",IF(M1725&lt;1,"시작일 이전(확인)",IF(M1725=1,"1일째",IF(M1725=2,"2일째",IF(M1725=3,"3일째",IF(M1725&lt;=7,"일주일 이내",IF(M1725&lt;=14,"이주일 이내","15일 이후"))))))))</f>
        <v/>
      </c>
      <c r="O1725" s="0" t="str">
        <f aca="false">IF(AND(COUNTA($A1725:$J1725)&gt;0,OR(클레임조회!$C$4="",AND(ISNUMBER($B1725),$B1725&gt;=클레임조회!$C$4)),OR(클레임조회!$C$5="",AND(ISNUMBER($B1725),$B1725&lt;=클레임조회!$C$5)),OR(클레임조회!$C$6="",$C1725=클레임조회!$C$6),OR(클레임조회!$C$7="",$D1725=클레임조회!$C$7),OR(클레임조회!$C$8="",$E1725=클레임조회!$C$8),OR(클레임조회!$C$9="",$F1725=클레임조회!$C$9),OR(클레임조회!$C$10="",ISNUMBER(SEARCH(클레임조회!$C$10,$C1725&amp;" "&amp;$F1725&amp;" "&amp;$G1725&amp;" "&amp;$H1725)))),COUNT(O$1:O1724)+1,"")</f>
        <v/>
      </c>
      <c r="P1725" s="0" t="str">
        <f aca="false">IF(AND(TRIM(C1725)&lt;&gt;"",COUNTIF(C$2:C1725,C1725)=1),MAX(P$1:P1724)+1,"")</f>
        <v/>
      </c>
      <c r="Q1725" s="0" t="str">
        <f aca="false">IF(AND(TRIM(F1725)&lt;&gt;"",COUNTIF(F$2:F1725,F1725)=1),MAX(Q$1:Q1724)+1,"")</f>
        <v/>
      </c>
    </row>
    <row r="1726" customFormat="false" ht="15" hidden="false" customHeight="false" outlineLevel="0" collapsed="false">
      <c r="A1726" s="9"/>
      <c r="B1726" s="10"/>
      <c r="C1726" s="11"/>
      <c r="D1726" s="11"/>
      <c r="E1726" s="11"/>
      <c r="F1726" s="11"/>
      <c r="G1726" s="12"/>
      <c r="H1726" s="12"/>
      <c r="I1726" s="10"/>
      <c r="J1726" s="12"/>
      <c r="K1726" s="13" t="str">
        <f aca="false">IF(ISNUMBER(B1726),YEAR(B1726),"")</f>
        <v/>
      </c>
      <c r="L1726" s="13" t="str">
        <f aca="false">IF(ISNUMBER(B1726),MONTH(B1726),"")</f>
        <v/>
      </c>
      <c r="M1726" s="13" t="str">
        <f aca="false">IF(AND(ISNUMBER(B1726),ISNUMBER(I1726)),B1726-I1726+1,"")</f>
        <v/>
      </c>
      <c r="N1726" s="14" t="str">
        <f aca="false">IF(B1726="","",IF(M1726="","시작일 미입력",IF(M1726&lt;1,"시작일 이전(확인)",IF(M1726=1,"1일째",IF(M1726=2,"2일째",IF(M1726=3,"3일째",IF(M1726&lt;=7,"일주일 이내",IF(M1726&lt;=14,"이주일 이내","15일 이후"))))))))</f>
        <v/>
      </c>
      <c r="O1726" s="0" t="str">
        <f aca="false">IF(AND(COUNTA($A1726:$J1726)&gt;0,OR(클레임조회!$C$4="",AND(ISNUMBER($B1726),$B1726&gt;=클레임조회!$C$4)),OR(클레임조회!$C$5="",AND(ISNUMBER($B1726),$B1726&lt;=클레임조회!$C$5)),OR(클레임조회!$C$6="",$C1726=클레임조회!$C$6),OR(클레임조회!$C$7="",$D1726=클레임조회!$C$7),OR(클레임조회!$C$8="",$E1726=클레임조회!$C$8),OR(클레임조회!$C$9="",$F1726=클레임조회!$C$9),OR(클레임조회!$C$10="",ISNUMBER(SEARCH(클레임조회!$C$10,$C1726&amp;" "&amp;$F1726&amp;" "&amp;$G1726&amp;" "&amp;$H1726)))),COUNT(O$1:O1725)+1,"")</f>
        <v/>
      </c>
      <c r="P1726" s="0" t="str">
        <f aca="false">IF(AND(TRIM(C1726)&lt;&gt;"",COUNTIF(C$2:C1726,C1726)=1),MAX(P$1:P1725)+1,"")</f>
        <v/>
      </c>
      <c r="Q1726" s="0" t="str">
        <f aca="false">IF(AND(TRIM(F1726)&lt;&gt;"",COUNTIF(F$2:F1726,F1726)=1),MAX(Q$1:Q1725)+1,"")</f>
        <v/>
      </c>
    </row>
    <row r="1727" customFormat="false" ht="15" hidden="false" customHeight="false" outlineLevel="0" collapsed="false">
      <c r="A1727" s="9"/>
      <c r="B1727" s="10"/>
      <c r="C1727" s="11"/>
      <c r="D1727" s="11"/>
      <c r="E1727" s="11"/>
      <c r="F1727" s="11"/>
      <c r="G1727" s="12"/>
      <c r="H1727" s="12"/>
      <c r="I1727" s="10"/>
      <c r="J1727" s="12"/>
      <c r="K1727" s="13" t="str">
        <f aca="false">IF(ISNUMBER(B1727),YEAR(B1727),"")</f>
        <v/>
      </c>
      <c r="L1727" s="13" t="str">
        <f aca="false">IF(ISNUMBER(B1727),MONTH(B1727),"")</f>
        <v/>
      </c>
      <c r="M1727" s="13" t="str">
        <f aca="false">IF(AND(ISNUMBER(B1727),ISNUMBER(I1727)),B1727-I1727+1,"")</f>
        <v/>
      </c>
      <c r="N1727" s="14" t="str">
        <f aca="false">IF(B1727="","",IF(M1727="","시작일 미입력",IF(M1727&lt;1,"시작일 이전(확인)",IF(M1727=1,"1일째",IF(M1727=2,"2일째",IF(M1727=3,"3일째",IF(M1727&lt;=7,"일주일 이내",IF(M1727&lt;=14,"이주일 이내","15일 이후"))))))))</f>
        <v/>
      </c>
      <c r="O1727" s="0" t="str">
        <f aca="false">IF(AND(COUNTA($A1727:$J1727)&gt;0,OR(클레임조회!$C$4="",AND(ISNUMBER($B1727),$B1727&gt;=클레임조회!$C$4)),OR(클레임조회!$C$5="",AND(ISNUMBER($B1727),$B1727&lt;=클레임조회!$C$5)),OR(클레임조회!$C$6="",$C1727=클레임조회!$C$6),OR(클레임조회!$C$7="",$D1727=클레임조회!$C$7),OR(클레임조회!$C$8="",$E1727=클레임조회!$C$8),OR(클레임조회!$C$9="",$F1727=클레임조회!$C$9),OR(클레임조회!$C$10="",ISNUMBER(SEARCH(클레임조회!$C$10,$C1727&amp;" "&amp;$F1727&amp;" "&amp;$G1727&amp;" "&amp;$H1727)))),COUNT(O$1:O1726)+1,"")</f>
        <v/>
      </c>
      <c r="P1727" s="0" t="str">
        <f aca="false">IF(AND(TRIM(C1727)&lt;&gt;"",COUNTIF(C$2:C1727,C1727)=1),MAX(P$1:P1726)+1,"")</f>
        <v/>
      </c>
      <c r="Q1727" s="0" t="str">
        <f aca="false">IF(AND(TRIM(F1727)&lt;&gt;"",COUNTIF(F$2:F1727,F1727)=1),MAX(Q$1:Q1726)+1,"")</f>
        <v/>
      </c>
    </row>
    <row r="1728" customFormat="false" ht="15" hidden="false" customHeight="false" outlineLevel="0" collapsed="false">
      <c r="A1728" s="9"/>
      <c r="B1728" s="10"/>
      <c r="C1728" s="11"/>
      <c r="D1728" s="11"/>
      <c r="E1728" s="11"/>
      <c r="F1728" s="11"/>
      <c r="G1728" s="12"/>
      <c r="H1728" s="12"/>
      <c r="I1728" s="10"/>
      <c r="J1728" s="12"/>
      <c r="K1728" s="13" t="str">
        <f aca="false">IF(ISNUMBER(B1728),YEAR(B1728),"")</f>
        <v/>
      </c>
      <c r="L1728" s="13" t="str">
        <f aca="false">IF(ISNUMBER(B1728),MONTH(B1728),"")</f>
        <v/>
      </c>
      <c r="M1728" s="13" t="str">
        <f aca="false">IF(AND(ISNUMBER(B1728),ISNUMBER(I1728)),B1728-I1728+1,"")</f>
        <v/>
      </c>
      <c r="N1728" s="14" t="str">
        <f aca="false">IF(B1728="","",IF(M1728="","시작일 미입력",IF(M1728&lt;1,"시작일 이전(확인)",IF(M1728=1,"1일째",IF(M1728=2,"2일째",IF(M1728=3,"3일째",IF(M1728&lt;=7,"일주일 이내",IF(M1728&lt;=14,"이주일 이내","15일 이후"))))))))</f>
        <v/>
      </c>
      <c r="O1728" s="0" t="str">
        <f aca="false">IF(AND(COUNTA($A1728:$J1728)&gt;0,OR(클레임조회!$C$4="",AND(ISNUMBER($B1728),$B1728&gt;=클레임조회!$C$4)),OR(클레임조회!$C$5="",AND(ISNUMBER($B1728),$B1728&lt;=클레임조회!$C$5)),OR(클레임조회!$C$6="",$C1728=클레임조회!$C$6),OR(클레임조회!$C$7="",$D1728=클레임조회!$C$7),OR(클레임조회!$C$8="",$E1728=클레임조회!$C$8),OR(클레임조회!$C$9="",$F1728=클레임조회!$C$9),OR(클레임조회!$C$10="",ISNUMBER(SEARCH(클레임조회!$C$10,$C1728&amp;" "&amp;$F1728&amp;" "&amp;$G1728&amp;" "&amp;$H1728)))),COUNT(O$1:O1727)+1,"")</f>
        <v/>
      </c>
      <c r="P1728" s="0" t="str">
        <f aca="false">IF(AND(TRIM(C1728)&lt;&gt;"",COUNTIF(C$2:C1728,C1728)=1),MAX(P$1:P1727)+1,"")</f>
        <v/>
      </c>
      <c r="Q1728" s="0" t="str">
        <f aca="false">IF(AND(TRIM(F1728)&lt;&gt;"",COUNTIF(F$2:F1728,F1728)=1),MAX(Q$1:Q1727)+1,"")</f>
        <v/>
      </c>
    </row>
    <row r="1729" customFormat="false" ht="15" hidden="false" customHeight="false" outlineLevel="0" collapsed="false">
      <c r="A1729" s="9"/>
      <c r="B1729" s="10"/>
      <c r="C1729" s="11"/>
      <c r="D1729" s="11"/>
      <c r="E1729" s="11"/>
      <c r="F1729" s="11"/>
      <c r="G1729" s="12"/>
      <c r="H1729" s="12"/>
      <c r="I1729" s="10"/>
      <c r="J1729" s="12"/>
      <c r="K1729" s="13" t="str">
        <f aca="false">IF(ISNUMBER(B1729),YEAR(B1729),"")</f>
        <v/>
      </c>
      <c r="L1729" s="13" t="str">
        <f aca="false">IF(ISNUMBER(B1729),MONTH(B1729),"")</f>
        <v/>
      </c>
      <c r="M1729" s="13" t="str">
        <f aca="false">IF(AND(ISNUMBER(B1729),ISNUMBER(I1729)),B1729-I1729+1,"")</f>
        <v/>
      </c>
      <c r="N1729" s="14" t="str">
        <f aca="false">IF(B1729="","",IF(M1729="","시작일 미입력",IF(M1729&lt;1,"시작일 이전(확인)",IF(M1729=1,"1일째",IF(M1729=2,"2일째",IF(M1729=3,"3일째",IF(M1729&lt;=7,"일주일 이내",IF(M1729&lt;=14,"이주일 이내","15일 이후"))))))))</f>
        <v/>
      </c>
      <c r="O1729" s="0" t="str">
        <f aca="false">IF(AND(COUNTA($A1729:$J1729)&gt;0,OR(클레임조회!$C$4="",AND(ISNUMBER($B1729),$B1729&gt;=클레임조회!$C$4)),OR(클레임조회!$C$5="",AND(ISNUMBER($B1729),$B1729&lt;=클레임조회!$C$5)),OR(클레임조회!$C$6="",$C1729=클레임조회!$C$6),OR(클레임조회!$C$7="",$D1729=클레임조회!$C$7),OR(클레임조회!$C$8="",$E1729=클레임조회!$C$8),OR(클레임조회!$C$9="",$F1729=클레임조회!$C$9),OR(클레임조회!$C$10="",ISNUMBER(SEARCH(클레임조회!$C$10,$C1729&amp;" "&amp;$F1729&amp;" "&amp;$G1729&amp;" "&amp;$H1729)))),COUNT(O$1:O1728)+1,"")</f>
        <v/>
      </c>
      <c r="P1729" s="0" t="str">
        <f aca="false">IF(AND(TRIM(C1729)&lt;&gt;"",COUNTIF(C$2:C1729,C1729)=1),MAX(P$1:P1728)+1,"")</f>
        <v/>
      </c>
      <c r="Q1729" s="0" t="str">
        <f aca="false">IF(AND(TRIM(F1729)&lt;&gt;"",COUNTIF(F$2:F1729,F1729)=1),MAX(Q$1:Q1728)+1,"")</f>
        <v/>
      </c>
    </row>
    <row r="1730" customFormat="false" ht="15" hidden="false" customHeight="false" outlineLevel="0" collapsed="false">
      <c r="A1730" s="9"/>
      <c r="B1730" s="10"/>
      <c r="C1730" s="11"/>
      <c r="D1730" s="11"/>
      <c r="E1730" s="11"/>
      <c r="F1730" s="11"/>
      <c r="G1730" s="12"/>
      <c r="H1730" s="12"/>
      <c r="I1730" s="10"/>
      <c r="J1730" s="12"/>
      <c r="K1730" s="13" t="str">
        <f aca="false">IF(ISNUMBER(B1730),YEAR(B1730),"")</f>
        <v/>
      </c>
      <c r="L1730" s="13" t="str">
        <f aca="false">IF(ISNUMBER(B1730),MONTH(B1730),"")</f>
        <v/>
      </c>
      <c r="M1730" s="13" t="str">
        <f aca="false">IF(AND(ISNUMBER(B1730),ISNUMBER(I1730)),B1730-I1730+1,"")</f>
        <v/>
      </c>
      <c r="N1730" s="14" t="str">
        <f aca="false">IF(B1730="","",IF(M1730="","시작일 미입력",IF(M1730&lt;1,"시작일 이전(확인)",IF(M1730=1,"1일째",IF(M1730=2,"2일째",IF(M1730=3,"3일째",IF(M1730&lt;=7,"일주일 이내",IF(M1730&lt;=14,"이주일 이내","15일 이후"))))))))</f>
        <v/>
      </c>
      <c r="O1730" s="0" t="str">
        <f aca="false">IF(AND(COUNTA($A1730:$J1730)&gt;0,OR(클레임조회!$C$4="",AND(ISNUMBER($B1730),$B1730&gt;=클레임조회!$C$4)),OR(클레임조회!$C$5="",AND(ISNUMBER($B1730),$B1730&lt;=클레임조회!$C$5)),OR(클레임조회!$C$6="",$C1730=클레임조회!$C$6),OR(클레임조회!$C$7="",$D1730=클레임조회!$C$7),OR(클레임조회!$C$8="",$E1730=클레임조회!$C$8),OR(클레임조회!$C$9="",$F1730=클레임조회!$C$9),OR(클레임조회!$C$10="",ISNUMBER(SEARCH(클레임조회!$C$10,$C1730&amp;" "&amp;$F1730&amp;" "&amp;$G1730&amp;" "&amp;$H1730)))),COUNT(O$1:O1729)+1,"")</f>
        <v/>
      </c>
      <c r="P1730" s="0" t="str">
        <f aca="false">IF(AND(TRIM(C1730)&lt;&gt;"",COUNTIF(C$2:C1730,C1730)=1),MAX(P$1:P1729)+1,"")</f>
        <v/>
      </c>
      <c r="Q1730" s="0" t="str">
        <f aca="false">IF(AND(TRIM(F1730)&lt;&gt;"",COUNTIF(F$2:F1730,F1730)=1),MAX(Q$1:Q1729)+1,"")</f>
        <v/>
      </c>
    </row>
    <row r="1731" customFormat="false" ht="15" hidden="false" customHeight="false" outlineLevel="0" collapsed="false">
      <c r="A1731" s="9"/>
      <c r="B1731" s="10"/>
      <c r="C1731" s="11"/>
      <c r="D1731" s="11"/>
      <c r="E1731" s="11"/>
      <c r="F1731" s="11"/>
      <c r="G1731" s="12"/>
      <c r="H1731" s="12"/>
      <c r="I1731" s="10"/>
      <c r="J1731" s="12"/>
      <c r="K1731" s="13" t="str">
        <f aca="false">IF(ISNUMBER(B1731),YEAR(B1731),"")</f>
        <v/>
      </c>
      <c r="L1731" s="13" t="str">
        <f aca="false">IF(ISNUMBER(B1731),MONTH(B1731),"")</f>
        <v/>
      </c>
      <c r="M1731" s="13" t="str">
        <f aca="false">IF(AND(ISNUMBER(B1731),ISNUMBER(I1731)),B1731-I1731+1,"")</f>
        <v/>
      </c>
      <c r="N1731" s="14" t="str">
        <f aca="false">IF(B1731="","",IF(M1731="","시작일 미입력",IF(M1731&lt;1,"시작일 이전(확인)",IF(M1731=1,"1일째",IF(M1731=2,"2일째",IF(M1731=3,"3일째",IF(M1731&lt;=7,"일주일 이내",IF(M1731&lt;=14,"이주일 이내","15일 이후"))))))))</f>
        <v/>
      </c>
      <c r="O1731" s="0" t="str">
        <f aca="false">IF(AND(COUNTA($A1731:$J1731)&gt;0,OR(클레임조회!$C$4="",AND(ISNUMBER($B1731),$B1731&gt;=클레임조회!$C$4)),OR(클레임조회!$C$5="",AND(ISNUMBER($B1731),$B1731&lt;=클레임조회!$C$5)),OR(클레임조회!$C$6="",$C1731=클레임조회!$C$6),OR(클레임조회!$C$7="",$D1731=클레임조회!$C$7),OR(클레임조회!$C$8="",$E1731=클레임조회!$C$8),OR(클레임조회!$C$9="",$F1731=클레임조회!$C$9),OR(클레임조회!$C$10="",ISNUMBER(SEARCH(클레임조회!$C$10,$C1731&amp;" "&amp;$F1731&amp;" "&amp;$G1731&amp;" "&amp;$H1731)))),COUNT(O$1:O1730)+1,"")</f>
        <v/>
      </c>
      <c r="P1731" s="0" t="str">
        <f aca="false">IF(AND(TRIM(C1731)&lt;&gt;"",COUNTIF(C$2:C1731,C1731)=1),MAX(P$1:P1730)+1,"")</f>
        <v/>
      </c>
      <c r="Q1731" s="0" t="str">
        <f aca="false">IF(AND(TRIM(F1731)&lt;&gt;"",COUNTIF(F$2:F1731,F1731)=1),MAX(Q$1:Q1730)+1,"")</f>
        <v/>
      </c>
    </row>
    <row r="1732" customFormat="false" ht="15" hidden="false" customHeight="false" outlineLevel="0" collapsed="false">
      <c r="A1732" s="9"/>
      <c r="B1732" s="10"/>
      <c r="C1732" s="11"/>
      <c r="D1732" s="11"/>
      <c r="E1732" s="11"/>
      <c r="F1732" s="11"/>
      <c r="G1732" s="12"/>
      <c r="H1732" s="12"/>
      <c r="I1732" s="10"/>
      <c r="J1732" s="12"/>
      <c r="K1732" s="13" t="str">
        <f aca="false">IF(ISNUMBER(B1732),YEAR(B1732),"")</f>
        <v/>
      </c>
      <c r="L1732" s="13" t="str">
        <f aca="false">IF(ISNUMBER(B1732),MONTH(B1732),"")</f>
        <v/>
      </c>
      <c r="M1732" s="13" t="str">
        <f aca="false">IF(AND(ISNUMBER(B1732),ISNUMBER(I1732)),B1732-I1732+1,"")</f>
        <v/>
      </c>
      <c r="N1732" s="14" t="str">
        <f aca="false">IF(B1732="","",IF(M1732="","시작일 미입력",IF(M1732&lt;1,"시작일 이전(확인)",IF(M1732=1,"1일째",IF(M1732=2,"2일째",IF(M1732=3,"3일째",IF(M1732&lt;=7,"일주일 이내",IF(M1732&lt;=14,"이주일 이내","15일 이후"))))))))</f>
        <v/>
      </c>
      <c r="O1732" s="0" t="str">
        <f aca="false">IF(AND(COUNTA($A1732:$J1732)&gt;0,OR(클레임조회!$C$4="",AND(ISNUMBER($B1732),$B1732&gt;=클레임조회!$C$4)),OR(클레임조회!$C$5="",AND(ISNUMBER($B1732),$B1732&lt;=클레임조회!$C$5)),OR(클레임조회!$C$6="",$C1732=클레임조회!$C$6),OR(클레임조회!$C$7="",$D1732=클레임조회!$C$7),OR(클레임조회!$C$8="",$E1732=클레임조회!$C$8),OR(클레임조회!$C$9="",$F1732=클레임조회!$C$9),OR(클레임조회!$C$10="",ISNUMBER(SEARCH(클레임조회!$C$10,$C1732&amp;" "&amp;$F1732&amp;" "&amp;$G1732&amp;" "&amp;$H1732)))),COUNT(O$1:O1731)+1,"")</f>
        <v/>
      </c>
      <c r="P1732" s="0" t="str">
        <f aca="false">IF(AND(TRIM(C1732)&lt;&gt;"",COUNTIF(C$2:C1732,C1732)=1),MAX(P$1:P1731)+1,"")</f>
        <v/>
      </c>
      <c r="Q1732" s="0" t="str">
        <f aca="false">IF(AND(TRIM(F1732)&lt;&gt;"",COUNTIF(F$2:F1732,F1732)=1),MAX(Q$1:Q1731)+1,"")</f>
        <v/>
      </c>
    </row>
    <row r="1733" customFormat="false" ht="15" hidden="false" customHeight="false" outlineLevel="0" collapsed="false">
      <c r="A1733" s="9"/>
      <c r="B1733" s="10"/>
      <c r="C1733" s="11"/>
      <c r="D1733" s="11"/>
      <c r="E1733" s="11"/>
      <c r="F1733" s="11"/>
      <c r="G1733" s="12"/>
      <c r="H1733" s="12"/>
      <c r="I1733" s="10"/>
      <c r="J1733" s="12"/>
      <c r="K1733" s="13" t="str">
        <f aca="false">IF(ISNUMBER(B1733),YEAR(B1733),"")</f>
        <v/>
      </c>
      <c r="L1733" s="13" t="str">
        <f aca="false">IF(ISNUMBER(B1733),MONTH(B1733),"")</f>
        <v/>
      </c>
      <c r="M1733" s="13" t="str">
        <f aca="false">IF(AND(ISNUMBER(B1733),ISNUMBER(I1733)),B1733-I1733+1,"")</f>
        <v/>
      </c>
      <c r="N1733" s="14" t="str">
        <f aca="false">IF(B1733="","",IF(M1733="","시작일 미입력",IF(M1733&lt;1,"시작일 이전(확인)",IF(M1733=1,"1일째",IF(M1733=2,"2일째",IF(M1733=3,"3일째",IF(M1733&lt;=7,"일주일 이내",IF(M1733&lt;=14,"이주일 이내","15일 이후"))))))))</f>
        <v/>
      </c>
      <c r="O1733" s="0" t="str">
        <f aca="false">IF(AND(COUNTA($A1733:$J1733)&gt;0,OR(클레임조회!$C$4="",AND(ISNUMBER($B1733),$B1733&gt;=클레임조회!$C$4)),OR(클레임조회!$C$5="",AND(ISNUMBER($B1733),$B1733&lt;=클레임조회!$C$5)),OR(클레임조회!$C$6="",$C1733=클레임조회!$C$6),OR(클레임조회!$C$7="",$D1733=클레임조회!$C$7),OR(클레임조회!$C$8="",$E1733=클레임조회!$C$8),OR(클레임조회!$C$9="",$F1733=클레임조회!$C$9),OR(클레임조회!$C$10="",ISNUMBER(SEARCH(클레임조회!$C$10,$C1733&amp;" "&amp;$F1733&amp;" "&amp;$G1733&amp;" "&amp;$H1733)))),COUNT(O$1:O1732)+1,"")</f>
        <v/>
      </c>
      <c r="P1733" s="0" t="str">
        <f aca="false">IF(AND(TRIM(C1733)&lt;&gt;"",COUNTIF(C$2:C1733,C1733)=1),MAX(P$1:P1732)+1,"")</f>
        <v/>
      </c>
      <c r="Q1733" s="0" t="str">
        <f aca="false">IF(AND(TRIM(F1733)&lt;&gt;"",COUNTIF(F$2:F1733,F1733)=1),MAX(Q$1:Q1732)+1,"")</f>
        <v/>
      </c>
    </row>
    <row r="1734" customFormat="false" ht="15" hidden="false" customHeight="false" outlineLevel="0" collapsed="false">
      <c r="A1734" s="9"/>
      <c r="B1734" s="10"/>
      <c r="C1734" s="11"/>
      <c r="D1734" s="11"/>
      <c r="E1734" s="11"/>
      <c r="F1734" s="11"/>
      <c r="G1734" s="12"/>
      <c r="H1734" s="12"/>
      <c r="I1734" s="10"/>
      <c r="J1734" s="12"/>
      <c r="K1734" s="13" t="str">
        <f aca="false">IF(ISNUMBER(B1734),YEAR(B1734),"")</f>
        <v/>
      </c>
      <c r="L1734" s="13" t="str">
        <f aca="false">IF(ISNUMBER(B1734),MONTH(B1734),"")</f>
        <v/>
      </c>
      <c r="M1734" s="13" t="str">
        <f aca="false">IF(AND(ISNUMBER(B1734),ISNUMBER(I1734)),B1734-I1734+1,"")</f>
        <v/>
      </c>
      <c r="N1734" s="14" t="str">
        <f aca="false">IF(B1734="","",IF(M1734="","시작일 미입력",IF(M1734&lt;1,"시작일 이전(확인)",IF(M1734=1,"1일째",IF(M1734=2,"2일째",IF(M1734=3,"3일째",IF(M1734&lt;=7,"일주일 이내",IF(M1734&lt;=14,"이주일 이내","15일 이후"))))))))</f>
        <v/>
      </c>
      <c r="O1734" s="0" t="str">
        <f aca="false">IF(AND(COUNTA($A1734:$J1734)&gt;0,OR(클레임조회!$C$4="",AND(ISNUMBER($B1734),$B1734&gt;=클레임조회!$C$4)),OR(클레임조회!$C$5="",AND(ISNUMBER($B1734),$B1734&lt;=클레임조회!$C$5)),OR(클레임조회!$C$6="",$C1734=클레임조회!$C$6),OR(클레임조회!$C$7="",$D1734=클레임조회!$C$7),OR(클레임조회!$C$8="",$E1734=클레임조회!$C$8),OR(클레임조회!$C$9="",$F1734=클레임조회!$C$9),OR(클레임조회!$C$10="",ISNUMBER(SEARCH(클레임조회!$C$10,$C1734&amp;" "&amp;$F1734&amp;" "&amp;$G1734&amp;" "&amp;$H1734)))),COUNT(O$1:O1733)+1,"")</f>
        <v/>
      </c>
      <c r="P1734" s="0" t="str">
        <f aca="false">IF(AND(TRIM(C1734)&lt;&gt;"",COUNTIF(C$2:C1734,C1734)=1),MAX(P$1:P1733)+1,"")</f>
        <v/>
      </c>
      <c r="Q1734" s="0" t="str">
        <f aca="false">IF(AND(TRIM(F1734)&lt;&gt;"",COUNTIF(F$2:F1734,F1734)=1),MAX(Q$1:Q1733)+1,"")</f>
        <v/>
      </c>
    </row>
    <row r="1735" customFormat="false" ht="15" hidden="false" customHeight="false" outlineLevel="0" collapsed="false">
      <c r="A1735" s="9"/>
      <c r="B1735" s="10"/>
      <c r="C1735" s="11"/>
      <c r="D1735" s="11"/>
      <c r="E1735" s="11"/>
      <c r="F1735" s="11"/>
      <c r="G1735" s="12"/>
      <c r="H1735" s="12"/>
      <c r="I1735" s="10"/>
      <c r="J1735" s="12"/>
      <c r="K1735" s="13" t="str">
        <f aca="false">IF(ISNUMBER(B1735),YEAR(B1735),"")</f>
        <v/>
      </c>
      <c r="L1735" s="13" t="str">
        <f aca="false">IF(ISNUMBER(B1735),MONTH(B1735),"")</f>
        <v/>
      </c>
      <c r="M1735" s="13" t="str">
        <f aca="false">IF(AND(ISNUMBER(B1735),ISNUMBER(I1735)),B1735-I1735+1,"")</f>
        <v/>
      </c>
      <c r="N1735" s="14" t="str">
        <f aca="false">IF(B1735="","",IF(M1735="","시작일 미입력",IF(M1735&lt;1,"시작일 이전(확인)",IF(M1735=1,"1일째",IF(M1735=2,"2일째",IF(M1735=3,"3일째",IF(M1735&lt;=7,"일주일 이내",IF(M1735&lt;=14,"이주일 이내","15일 이후"))))))))</f>
        <v/>
      </c>
      <c r="O1735" s="0" t="str">
        <f aca="false">IF(AND(COUNTA($A1735:$J1735)&gt;0,OR(클레임조회!$C$4="",AND(ISNUMBER($B1735),$B1735&gt;=클레임조회!$C$4)),OR(클레임조회!$C$5="",AND(ISNUMBER($B1735),$B1735&lt;=클레임조회!$C$5)),OR(클레임조회!$C$6="",$C1735=클레임조회!$C$6),OR(클레임조회!$C$7="",$D1735=클레임조회!$C$7),OR(클레임조회!$C$8="",$E1735=클레임조회!$C$8),OR(클레임조회!$C$9="",$F1735=클레임조회!$C$9),OR(클레임조회!$C$10="",ISNUMBER(SEARCH(클레임조회!$C$10,$C1735&amp;" "&amp;$F1735&amp;" "&amp;$G1735&amp;" "&amp;$H1735)))),COUNT(O$1:O1734)+1,"")</f>
        <v/>
      </c>
      <c r="P1735" s="0" t="str">
        <f aca="false">IF(AND(TRIM(C1735)&lt;&gt;"",COUNTIF(C$2:C1735,C1735)=1),MAX(P$1:P1734)+1,"")</f>
        <v/>
      </c>
      <c r="Q1735" s="0" t="str">
        <f aca="false">IF(AND(TRIM(F1735)&lt;&gt;"",COUNTIF(F$2:F1735,F1735)=1),MAX(Q$1:Q1734)+1,"")</f>
        <v/>
      </c>
    </row>
    <row r="1736" customFormat="false" ht="15" hidden="false" customHeight="false" outlineLevel="0" collapsed="false">
      <c r="A1736" s="9"/>
      <c r="B1736" s="10"/>
      <c r="C1736" s="11"/>
      <c r="D1736" s="11"/>
      <c r="E1736" s="11"/>
      <c r="F1736" s="11"/>
      <c r="G1736" s="12"/>
      <c r="H1736" s="12"/>
      <c r="I1736" s="10"/>
      <c r="J1736" s="12"/>
      <c r="K1736" s="13" t="str">
        <f aca="false">IF(ISNUMBER(B1736),YEAR(B1736),"")</f>
        <v/>
      </c>
      <c r="L1736" s="13" t="str">
        <f aca="false">IF(ISNUMBER(B1736),MONTH(B1736),"")</f>
        <v/>
      </c>
      <c r="M1736" s="13" t="str">
        <f aca="false">IF(AND(ISNUMBER(B1736),ISNUMBER(I1736)),B1736-I1736+1,"")</f>
        <v/>
      </c>
      <c r="N1736" s="14" t="str">
        <f aca="false">IF(B1736="","",IF(M1736="","시작일 미입력",IF(M1736&lt;1,"시작일 이전(확인)",IF(M1736=1,"1일째",IF(M1736=2,"2일째",IF(M1736=3,"3일째",IF(M1736&lt;=7,"일주일 이내",IF(M1736&lt;=14,"이주일 이내","15일 이후"))))))))</f>
        <v/>
      </c>
      <c r="O1736" s="0" t="str">
        <f aca="false">IF(AND(COUNTA($A1736:$J1736)&gt;0,OR(클레임조회!$C$4="",AND(ISNUMBER($B1736),$B1736&gt;=클레임조회!$C$4)),OR(클레임조회!$C$5="",AND(ISNUMBER($B1736),$B1736&lt;=클레임조회!$C$5)),OR(클레임조회!$C$6="",$C1736=클레임조회!$C$6),OR(클레임조회!$C$7="",$D1736=클레임조회!$C$7),OR(클레임조회!$C$8="",$E1736=클레임조회!$C$8),OR(클레임조회!$C$9="",$F1736=클레임조회!$C$9),OR(클레임조회!$C$10="",ISNUMBER(SEARCH(클레임조회!$C$10,$C1736&amp;" "&amp;$F1736&amp;" "&amp;$G1736&amp;" "&amp;$H1736)))),COUNT(O$1:O1735)+1,"")</f>
        <v/>
      </c>
      <c r="P1736" s="0" t="str">
        <f aca="false">IF(AND(TRIM(C1736)&lt;&gt;"",COUNTIF(C$2:C1736,C1736)=1),MAX(P$1:P1735)+1,"")</f>
        <v/>
      </c>
      <c r="Q1736" s="0" t="str">
        <f aca="false">IF(AND(TRIM(F1736)&lt;&gt;"",COUNTIF(F$2:F1736,F1736)=1),MAX(Q$1:Q1735)+1,"")</f>
        <v/>
      </c>
    </row>
    <row r="1737" customFormat="false" ht="15" hidden="false" customHeight="false" outlineLevel="0" collapsed="false">
      <c r="A1737" s="9"/>
      <c r="B1737" s="10"/>
      <c r="C1737" s="11"/>
      <c r="D1737" s="11"/>
      <c r="E1737" s="11"/>
      <c r="F1737" s="11"/>
      <c r="G1737" s="12"/>
      <c r="H1737" s="12"/>
      <c r="I1737" s="10"/>
      <c r="J1737" s="12"/>
      <c r="K1737" s="13" t="str">
        <f aca="false">IF(ISNUMBER(B1737),YEAR(B1737),"")</f>
        <v/>
      </c>
      <c r="L1737" s="13" t="str">
        <f aca="false">IF(ISNUMBER(B1737),MONTH(B1737),"")</f>
        <v/>
      </c>
      <c r="M1737" s="13" t="str">
        <f aca="false">IF(AND(ISNUMBER(B1737),ISNUMBER(I1737)),B1737-I1737+1,"")</f>
        <v/>
      </c>
      <c r="N1737" s="14" t="str">
        <f aca="false">IF(B1737="","",IF(M1737="","시작일 미입력",IF(M1737&lt;1,"시작일 이전(확인)",IF(M1737=1,"1일째",IF(M1737=2,"2일째",IF(M1737=3,"3일째",IF(M1737&lt;=7,"일주일 이내",IF(M1737&lt;=14,"이주일 이내","15일 이후"))))))))</f>
        <v/>
      </c>
      <c r="O1737" s="0" t="str">
        <f aca="false">IF(AND(COUNTA($A1737:$J1737)&gt;0,OR(클레임조회!$C$4="",AND(ISNUMBER($B1737),$B1737&gt;=클레임조회!$C$4)),OR(클레임조회!$C$5="",AND(ISNUMBER($B1737),$B1737&lt;=클레임조회!$C$5)),OR(클레임조회!$C$6="",$C1737=클레임조회!$C$6),OR(클레임조회!$C$7="",$D1737=클레임조회!$C$7),OR(클레임조회!$C$8="",$E1737=클레임조회!$C$8),OR(클레임조회!$C$9="",$F1737=클레임조회!$C$9),OR(클레임조회!$C$10="",ISNUMBER(SEARCH(클레임조회!$C$10,$C1737&amp;" "&amp;$F1737&amp;" "&amp;$G1737&amp;" "&amp;$H1737)))),COUNT(O$1:O1736)+1,"")</f>
        <v/>
      </c>
      <c r="P1737" s="0" t="str">
        <f aca="false">IF(AND(TRIM(C1737)&lt;&gt;"",COUNTIF(C$2:C1737,C1737)=1),MAX(P$1:P1736)+1,"")</f>
        <v/>
      </c>
      <c r="Q1737" s="0" t="str">
        <f aca="false">IF(AND(TRIM(F1737)&lt;&gt;"",COUNTIF(F$2:F1737,F1737)=1),MAX(Q$1:Q1736)+1,"")</f>
        <v/>
      </c>
    </row>
    <row r="1738" customFormat="false" ht="15" hidden="false" customHeight="false" outlineLevel="0" collapsed="false">
      <c r="A1738" s="9"/>
      <c r="B1738" s="10"/>
      <c r="C1738" s="11"/>
      <c r="D1738" s="11"/>
      <c r="E1738" s="11"/>
      <c r="F1738" s="11"/>
      <c r="G1738" s="12"/>
      <c r="H1738" s="12"/>
      <c r="I1738" s="10"/>
      <c r="J1738" s="12"/>
      <c r="K1738" s="13" t="str">
        <f aca="false">IF(ISNUMBER(B1738),YEAR(B1738),"")</f>
        <v/>
      </c>
      <c r="L1738" s="13" t="str">
        <f aca="false">IF(ISNUMBER(B1738),MONTH(B1738),"")</f>
        <v/>
      </c>
      <c r="M1738" s="13" t="str">
        <f aca="false">IF(AND(ISNUMBER(B1738),ISNUMBER(I1738)),B1738-I1738+1,"")</f>
        <v/>
      </c>
      <c r="N1738" s="14" t="str">
        <f aca="false">IF(B1738="","",IF(M1738="","시작일 미입력",IF(M1738&lt;1,"시작일 이전(확인)",IF(M1738=1,"1일째",IF(M1738=2,"2일째",IF(M1738=3,"3일째",IF(M1738&lt;=7,"일주일 이내",IF(M1738&lt;=14,"이주일 이내","15일 이후"))))))))</f>
        <v/>
      </c>
      <c r="O1738" s="0" t="str">
        <f aca="false">IF(AND(COUNTA($A1738:$J1738)&gt;0,OR(클레임조회!$C$4="",AND(ISNUMBER($B1738),$B1738&gt;=클레임조회!$C$4)),OR(클레임조회!$C$5="",AND(ISNUMBER($B1738),$B1738&lt;=클레임조회!$C$5)),OR(클레임조회!$C$6="",$C1738=클레임조회!$C$6),OR(클레임조회!$C$7="",$D1738=클레임조회!$C$7),OR(클레임조회!$C$8="",$E1738=클레임조회!$C$8),OR(클레임조회!$C$9="",$F1738=클레임조회!$C$9),OR(클레임조회!$C$10="",ISNUMBER(SEARCH(클레임조회!$C$10,$C1738&amp;" "&amp;$F1738&amp;" "&amp;$G1738&amp;" "&amp;$H1738)))),COUNT(O$1:O1737)+1,"")</f>
        <v/>
      </c>
      <c r="P1738" s="0" t="str">
        <f aca="false">IF(AND(TRIM(C1738)&lt;&gt;"",COUNTIF(C$2:C1738,C1738)=1),MAX(P$1:P1737)+1,"")</f>
        <v/>
      </c>
      <c r="Q1738" s="0" t="str">
        <f aca="false">IF(AND(TRIM(F1738)&lt;&gt;"",COUNTIF(F$2:F1738,F1738)=1),MAX(Q$1:Q1737)+1,"")</f>
        <v/>
      </c>
    </row>
    <row r="1739" customFormat="false" ht="15" hidden="false" customHeight="false" outlineLevel="0" collapsed="false">
      <c r="A1739" s="9"/>
      <c r="B1739" s="10"/>
      <c r="C1739" s="11"/>
      <c r="D1739" s="11"/>
      <c r="E1739" s="11"/>
      <c r="F1739" s="11"/>
      <c r="G1739" s="12"/>
      <c r="H1739" s="12"/>
      <c r="I1739" s="10"/>
      <c r="J1739" s="12"/>
      <c r="K1739" s="13" t="str">
        <f aca="false">IF(ISNUMBER(B1739),YEAR(B1739),"")</f>
        <v/>
      </c>
      <c r="L1739" s="13" t="str">
        <f aca="false">IF(ISNUMBER(B1739),MONTH(B1739),"")</f>
        <v/>
      </c>
      <c r="M1739" s="13" t="str">
        <f aca="false">IF(AND(ISNUMBER(B1739),ISNUMBER(I1739)),B1739-I1739+1,"")</f>
        <v/>
      </c>
      <c r="N1739" s="14" t="str">
        <f aca="false">IF(B1739="","",IF(M1739="","시작일 미입력",IF(M1739&lt;1,"시작일 이전(확인)",IF(M1739=1,"1일째",IF(M1739=2,"2일째",IF(M1739=3,"3일째",IF(M1739&lt;=7,"일주일 이내",IF(M1739&lt;=14,"이주일 이내","15일 이후"))))))))</f>
        <v/>
      </c>
      <c r="O1739" s="0" t="str">
        <f aca="false">IF(AND(COUNTA($A1739:$J1739)&gt;0,OR(클레임조회!$C$4="",AND(ISNUMBER($B1739),$B1739&gt;=클레임조회!$C$4)),OR(클레임조회!$C$5="",AND(ISNUMBER($B1739),$B1739&lt;=클레임조회!$C$5)),OR(클레임조회!$C$6="",$C1739=클레임조회!$C$6),OR(클레임조회!$C$7="",$D1739=클레임조회!$C$7),OR(클레임조회!$C$8="",$E1739=클레임조회!$C$8),OR(클레임조회!$C$9="",$F1739=클레임조회!$C$9),OR(클레임조회!$C$10="",ISNUMBER(SEARCH(클레임조회!$C$10,$C1739&amp;" "&amp;$F1739&amp;" "&amp;$G1739&amp;" "&amp;$H1739)))),COUNT(O$1:O1738)+1,"")</f>
        <v/>
      </c>
      <c r="P1739" s="0" t="str">
        <f aca="false">IF(AND(TRIM(C1739)&lt;&gt;"",COUNTIF(C$2:C1739,C1739)=1),MAX(P$1:P1738)+1,"")</f>
        <v/>
      </c>
      <c r="Q1739" s="0" t="str">
        <f aca="false">IF(AND(TRIM(F1739)&lt;&gt;"",COUNTIF(F$2:F1739,F1739)=1),MAX(Q$1:Q1738)+1,"")</f>
        <v/>
      </c>
    </row>
    <row r="1740" customFormat="false" ht="15" hidden="false" customHeight="false" outlineLevel="0" collapsed="false">
      <c r="A1740" s="9"/>
      <c r="B1740" s="10"/>
      <c r="C1740" s="11"/>
      <c r="D1740" s="11"/>
      <c r="E1740" s="11"/>
      <c r="F1740" s="11"/>
      <c r="G1740" s="12"/>
      <c r="H1740" s="12"/>
      <c r="I1740" s="10"/>
      <c r="J1740" s="12"/>
      <c r="K1740" s="13" t="str">
        <f aca="false">IF(ISNUMBER(B1740),YEAR(B1740),"")</f>
        <v/>
      </c>
      <c r="L1740" s="13" t="str">
        <f aca="false">IF(ISNUMBER(B1740),MONTH(B1740),"")</f>
        <v/>
      </c>
      <c r="M1740" s="13" t="str">
        <f aca="false">IF(AND(ISNUMBER(B1740),ISNUMBER(I1740)),B1740-I1740+1,"")</f>
        <v/>
      </c>
      <c r="N1740" s="14" t="str">
        <f aca="false">IF(B1740="","",IF(M1740="","시작일 미입력",IF(M1740&lt;1,"시작일 이전(확인)",IF(M1740=1,"1일째",IF(M1740=2,"2일째",IF(M1740=3,"3일째",IF(M1740&lt;=7,"일주일 이내",IF(M1740&lt;=14,"이주일 이내","15일 이후"))))))))</f>
        <v/>
      </c>
      <c r="O1740" s="0" t="str">
        <f aca="false">IF(AND(COUNTA($A1740:$J1740)&gt;0,OR(클레임조회!$C$4="",AND(ISNUMBER($B1740),$B1740&gt;=클레임조회!$C$4)),OR(클레임조회!$C$5="",AND(ISNUMBER($B1740),$B1740&lt;=클레임조회!$C$5)),OR(클레임조회!$C$6="",$C1740=클레임조회!$C$6),OR(클레임조회!$C$7="",$D1740=클레임조회!$C$7),OR(클레임조회!$C$8="",$E1740=클레임조회!$C$8),OR(클레임조회!$C$9="",$F1740=클레임조회!$C$9),OR(클레임조회!$C$10="",ISNUMBER(SEARCH(클레임조회!$C$10,$C1740&amp;" "&amp;$F1740&amp;" "&amp;$G1740&amp;" "&amp;$H1740)))),COUNT(O$1:O1739)+1,"")</f>
        <v/>
      </c>
      <c r="P1740" s="0" t="str">
        <f aca="false">IF(AND(TRIM(C1740)&lt;&gt;"",COUNTIF(C$2:C1740,C1740)=1),MAX(P$1:P1739)+1,"")</f>
        <v/>
      </c>
      <c r="Q1740" s="0" t="str">
        <f aca="false">IF(AND(TRIM(F1740)&lt;&gt;"",COUNTIF(F$2:F1740,F1740)=1),MAX(Q$1:Q1739)+1,"")</f>
        <v/>
      </c>
    </row>
    <row r="1741" customFormat="false" ht="15" hidden="false" customHeight="false" outlineLevel="0" collapsed="false">
      <c r="A1741" s="9"/>
      <c r="B1741" s="10"/>
      <c r="C1741" s="11"/>
      <c r="D1741" s="11"/>
      <c r="E1741" s="11"/>
      <c r="F1741" s="11"/>
      <c r="G1741" s="12"/>
      <c r="H1741" s="12"/>
      <c r="I1741" s="10"/>
      <c r="J1741" s="12"/>
      <c r="K1741" s="13" t="str">
        <f aca="false">IF(ISNUMBER(B1741),YEAR(B1741),"")</f>
        <v/>
      </c>
      <c r="L1741" s="13" t="str">
        <f aca="false">IF(ISNUMBER(B1741),MONTH(B1741),"")</f>
        <v/>
      </c>
      <c r="M1741" s="13" t="str">
        <f aca="false">IF(AND(ISNUMBER(B1741),ISNUMBER(I1741)),B1741-I1741+1,"")</f>
        <v/>
      </c>
      <c r="N1741" s="14" t="str">
        <f aca="false">IF(B1741="","",IF(M1741="","시작일 미입력",IF(M1741&lt;1,"시작일 이전(확인)",IF(M1741=1,"1일째",IF(M1741=2,"2일째",IF(M1741=3,"3일째",IF(M1741&lt;=7,"일주일 이내",IF(M1741&lt;=14,"이주일 이내","15일 이후"))))))))</f>
        <v/>
      </c>
      <c r="O1741" s="0" t="str">
        <f aca="false">IF(AND(COUNTA($A1741:$J1741)&gt;0,OR(클레임조회!$C$4="",AND(ISNUMBER($B1741),$B1741&gt;=클레임조회!$C$4)),OR(클레임조회!$C$5="",AND(ISNUMBER($B1741),$B1741&lt;=클레임조회!$C$5)),OR(클레임조회!$C$6="",$C1741=클레임조회!$C$6),OR(클레임조회!$C$7="",$D1741=클레임조회!$C$7),OR(클레임조회!$C$8="",$E1741=클레임조회!$C$8),OR(클레임조회!$C$9="",$F1741=클레임조회!$C$9),OR(클레임조회!$C$10="",ISNUMBER(SEARCH(클레임조회!$C$10,$C1741&amp;" "&amp;$F1741&amp;" "&amp;$G1741&amp;" "&amp;$H1741)))),COUNT(O$1:O1740)+1,"")</f>
        <v/>
      </c>
      <c r="P1741" s="0" t="str">
        <f aca="false">IF(AND(TRIM(C1741)&lt;&gt;"",COUNTIF(C$2:C1741,C1741)=1),MAX(P$1:P1740)+1,"")</f>
        <v/>
      </c>
      <c r="Q1741" s="0" t="str">
        <f aca="false">IF(AND(TRIM(F1741)&lt;&gt;"",COUNTIF(F$2:F1741,F1741)=1),MAX(Q$1:Q1740)+1,"")</f>
        <v/>
      </c>
    </row>
    <row r="1742" customFormat="false" ht="15" hidden="false" customHeight="false" outlineLevel="0" collapsed="false">
      <c r="A1742" s="9"/>
      <c r="B1742" s="10"/>
      <c r="C1742" s="11"/>
      <c r="D1742" s="11"/>
      <c r="E1742" s="11"/>
      <c r="F1742" s="11"/>
      <c r="G1742" s="12"/>
      <c r="H1742" s="12"/>
      <c r="I1742" s="10"/>
      <c r="J1742" s="12"/>
      <c r="K1742" s="13" t="str">
        <f aca="false">IF(ISNUMBER(B1742),YEAR(B1742),"")</f>
        <v/>
      </c>
      <c r="L1742" s="13" t="str">
        <f aca="false">IF(ISNUMBER(B1742),MONTH(B1742),"")</f>
        <v/>
      </c>
      <c r="M1742" s="13" t="str">
        <f aca="false">IF(AND(ISNUMBER(B1742),ISNUMBER(I1742)),B1742-I1742+1,"")</f>
        <v/>
      </c>
      <c r="N1742" s="14" t="str">
        <f aca="false">IF(B1742="","",IF(M1742="","시작일 미입력",IF(M1742&lt;1,"시작일 이전(확인)",IF(M1742=1,"1일째",IF(M1742=2,"2일째",IF(M1742=3,"3일째",IF(M1742&lt;=7,"일주일 이내",IF(M1742&lt;=14,"이주일 이내","15일 이후"))))))))</f>
        <v/>
      </c>
      <c r="O1742" s="0" t="str">
        <f aca="false">IF(AND(COUNTA($A1742:$J1742)&gt;0,OR(클레임조회!$C$4="",AND(ISNUMBER($B1742),$B1742&gt;=클레임조회!$C$4)),OR(클레임조회!$C$5="",AND(ISNUMBER($B1742),$B1742&lt;=클레임조회!$C$5)),OR(클레임조회!$C$6="",$C1742=클레임조회!$C$6),OR(클레임조회!$C$7="",$D1742=클레임조회!$C$7),OR(클레임조회!$C$8="",$E1742=클레임조회!$C$8),OR(클레임조회!$C$9="",$F1742=클레임조회!$C$9),OR(클레임조회!$C$10="",ISNUMBER(SEARCH(클레임조회!$C$10,$C1742&amp;" "&amp;$F1742&amp;" "&amp;$G1742&amp;" "&amp;$H1742)))),COUNT(O$1:O1741)+1,"")</f>
        <v/>
      </c>
      <c r="P1742" s="0" t="str">
        <f aca="false">IF(AND(TRIM(C1742)&lt;&gt;"",COUNTIF(C$2:C1742,C1742)=1),MAX(P$1:P1741)+1,"")</f>
        <v/>
      </c>
      <c r="Q1742" s="0" t="str">
        <f aca="false">IF(AND(TRIM(F1742)&lt;&gt;"",COUNTIF(F$2:F1742,F1742)=1),MAX(Q$1:Q1741)+1,"")</f>
        <v/>
      </c>
    </row>
    <row r="1743" customFormat="false" ht="15" hidden="false" customHeight="false" outlineLevel="0" collapsed="false">
      <c r="A1743" s="9"/>
      <c r="B1743" s="10"/>
      <c r="C1743" s="11"/>
      <c r="D1743" s="11"/>
      <c r="E1743" s="11"/>
      <c r="F1743" s="11"/>
      <c r="G1743" s="12"/>
      <c r="H1743" s="12"/>
      <c r="I1743" s="10"/>
      <c r="J1743" s="12"/>
      <c r="K1743" s="13" t="str">
        <f aca="false">IF(ISNUMBER(B1743),YEAR(B1743),"")</f>
        <v/>
      </c>
      <c r="L1743" s="13" t="str">
        <f aca="false">IF(ISNUMBER(B1743),MONTH(B1743),"")</f>
        <v/>
      </c>
      <c r="M1743" s="13" t="str">
        <f aca="false">IF(AND(ISNUMBER(B1743),ISNUMBER(I1743)),B1743-I1743+1,"")</f>
        <v/>
      </c>
      <c r="N1743" s="14" t="str">
        <f aca="false">IF(B1743="","",IF(M1743="","시작일 미입력",IF(M1743&lt;1,"시작일 이전(확인)",IF(M1743=1,"1일째",IF(M1743=2,"2일째",IF(M1743=3,"3일째",IF(M1743&lt;=7,"일주일 이내",IF(M1743&lt;=14,"이주일 이내","15일 이후"))))))))</f>
        <v/>
      </c>
      <c r="O1743" s="0" t="str">
        <f aca="false">IF(AND(COUNTA($A1743:$J1743)&gt;0,OR(클레임조회!$C$4="",AND(ISNUMBER($B1743),$B1743&gt;=클레임조회!$C$4)),OR(클레임조회!$C$5="",AND(ISNUMBER($B1743),$B1743&lt;=클레임조회!$C$5)),OR(클레임조회!$C$6="",$C1743=클레임조회!$C$6),OR(클레임조회!$C$7="",$D1743=클레임조회!$C$7),OR(클레임조회!$C$8="",$E1743=클레임조회!$C$8),OR(클레임조회!$C$9="",$F1743=클레임조회!$C$9),OR(클레임조회!$C$10="",ISNUMBER(SEARCH(클레임조회!$C$10,$C1743&amp;" "&amp;$F1743&amp;" "&amp;$G1743&amp;" "&amp;$H1743)))),COUNT(O$1:O1742)+1,"")</f>
        <v/>
      </c>
      <c r="P1743" s="0" t="str">
        <f aca="false">IF(AND(TRIM(C1743)&lt;&gt;"",COUNTIF(C$2:C1743,C1743)=1),MAX(P$1:P1742)+1,"")</f>
        <v/>
      </c>
      <c r="Q1743" s="0" t="str">
        <f aca="false">IF(AND(TRIM(F1743)&lt;&gt;"",COUNTIF(F$2:F1743,F1743)=1),MAX(Q$1:Q1742)+1,"")</f>
        <v/>
      </c>
    </row>
    <row r="1744" customFormat="false" ht="15" hidden="false" customHeight="false" outlineLevel="0" collapsed="false">
      <c r="A1744" s="9"/>
      <c r="B1744" s="10"/>
      <c r="C1744" s="11"/>
      <c r="D1744" s="11"/>
      <c r="E1744" s="11"/>
      <c r="F1744" s="11"/>
      <c r="G1744" s="12"/>
      <c r="H1744" s="12"/>
      <c r="I1744" s="10"/>
      <c r="J1744" s="12"/>
      <c r="K1744" s="13" t="str">
        <f aca="false">IF(ISNUMBER(B1744),YEAR(B1744),"")</f>
        <v/>
      </c>
      <c r="L1744" s="13" t="str">
        <f aca="false">IF(ISNUMBER(B1744),MONTH(B1744),"")</f>
        <v/>
      </c>
      <c r="M1744" s="13" t="str">
        <f aca="false">IF(AND(ISNUMBER(B1744),ISNUMBER(I1744)),B1744-I1744+1,"")</f>
        <v/>
      </c>
      <c r="N1744" s="14" t="str">
        <f aca="false">IF(B1744="","",IF(M1744="","시작일 미입력",IF(M1744&lt;1,"시작일 이전(확인)",IF(M1744=1,"1일째",IF(M1744=2,"2일째",IF(M1744=3,"3일째",IF(M1744&lt;=7,"일주일 이내",IF(M1744&lt;=14,"이주일 이내","15일 이후"))))))))</f>
        <v/>
      </c>
      <c r="O1744" s="0" t="str">
        <f aca="false">IF(AND(COUNTA($A1744:$J1744)&gt;0,OR(클레임조회!$C$4="",AND(ISNUMBER($B1744),$B1744&gt;=클레임조회!$C$4)),OR(클레임조회!$C$5="",AND(ISNUMBER($B1744),$B1744&lt;=클레임조회!$C$5)),OR(클레임조회!$C$6="",$C1744=클레임조회!$C$6),OR(클레임조회!$C$7="",$D1744=클레임조회!$C$7),OR(클레임조회!$C$8="",$E1744=클레임조회!$C$8),OR(클레임조회!$C$9="",$F1744=클레임조회!$C$9),OR(클레임조회!$C$10="",ISNUMBER(SEARCH(클레임조회!$C$10,$C1744&amp;" "&amp;$F1744&amp;" "&amp;$G1744&amp;" "&amp;$H1744)))),COUNT(O$1:O1743)+1,"")</f>
        <v/>
      </c>
      <c r="P1744" s="0" t="str">
        <f aca="false">IF(AND(TRIM(C1744)&lt;&gt;"",COUNTIF(C$2:C1744,C1744)=1),MAX(P$1:P1743)+1,"")</f>
        <v/>
      </c>
      <c r="Q1744" s="0" t="str">
        <f aca="false">IF(AND(TRIM(F1744)&lt;&gt;"",COUNTIF(F$2:F1744,F1744)=1),MAX(Q$1:Q1743)+1,"")</f>
        <v/>
      </c>
    </row>
    <row r="1745" customFormat="false" ht="15" hidden="false" customHeight="false" outlineLevel="0" collapsed="false">
      <c r="A1745" s="9"/>
      <c r="B1745" s="10"/>
      <c r="C1745" s="11"/>
      <c r="D1745" s="11"/>
      <c r="E1745" s="11"/>
      <c r="F1745" s="11"/>
      <c r="G1745" s="12"/>
      <c r="H1745" s="12"/>
      <c r="I1745" s="10"/>
      <c r="J1745" s="12"/>
      <c r="K1745" s="13" t="str">
        <f aca="false">IF(ISNUMBER(B1745),YEAR(B1745),"")</f>
        <v/>
      </c>
      <c r="L1745" s="13" t="str">
        <f aca="false">IF(ISNUMBER(B1745),MONTH(B1745),"")</f>
        <v/>
      </c>
      <c r="M1745" s="13" t="str">
        <f aca="false">IF(AND(ISNUMBER(B1745),ISNUMBER(I1745)),B1745-I1745+1,"")</f>
        <v/>
      </c>
      <c r="N1745" s="14" t="str">
        <f aca="false">IF(B1745="","",IF(M1745="","시작일 미입력",IF(M1745&lt;1,"시작일 이전(확인)",IF(M1745=1,"1일째",IF(M1745=2,"2일째",IF(M1745=3,"3일째",IF(M1745&lt;=7,"일주일 이내",IF(M1745&lt;=14,"이주일 이내","15일 이후"))))))))</f>
        <v/>
      </c>
      <c r="O1745" s="0" t="str">
        <f aca="false">IF(AND(COUNTA($A1745:$J1745)&gt;0,OR(클레임조회!$C$4="",AND(ISNUMBER($B1745),$B1745&gt;=클레임조회!$C$4)),OR(클레임조회!$C$5="",AND(ISNUMBER($B1745),$B1745&lt;=클레임조회!$C$5)),OR(클레임조회!$C$6="",$C1745=클레임조회!$C$6),OR(클레임조회!$C$7="",$D1745=클레임조회!$C$7),OR(클레임조회!$C$8="",$E1745=클레임조회!$C$8),OR(클레임조회!$C$9="",$F1745=클레임조회!$C$9),OR(클레임조회!$C$10="",ISNUMBER(SEARCH(클레임조회!$C$10,$C1745&amp;" "&amp;$F1745&amp;" "&amp;$G1745&amp;" "&amp;$H1745)))),COUNT(O$1:O1744)+1,"")</f>
        <v/>
      </c>
      <c r="P1745" s="0" t="str">
        <f aca="false">IF(AND(TRIM(C1745)&lt;&gt;"",COUNTIF(C$2:C1745,C1745)=1),MAX(P$1:P1744)+1,"")</f>
        <v/>
      </c>
      <c r="Q1745" s="0" t="str">
        <f aca="false">IF(AND(TRIM(F1745)&lt;&gt;"",COUNTIF(F$2:F1745,F1745)=1),MAX(Q$1:Q1744)+1,"")</f>
        <v/>
      </c>
    </row>
    <row r="1746" customFormat="false" ht="15" hidden="false" customHeight="false" outlineLevel="0" collapsed="false">
      <c r="A1746" s="9"/>
      <c r="B1746" s="10"/>
      <c r="C1746" s="11"/>
      <c r="D1746" s="11"/>
      <c r="E1746" s="11"/>
      <c r="F1746" s="11"/>
      <c r="G1746" s="12"/>
      <c r="H1746" s="12"/>
      <c r="I1746" s="10"/>
      <c r="J1746" s="12"/>
      <c r="K1746" s="13" t="str">
        <f aca="false">IF(ISNUMBER(B1746),YEAR(B1746),"")</f>
        <v/>
      </c>
      <c r="L1746" s="13" t="str">
        <f aca="false">IF(ISNUMBER(B1746),MONTH(B1746),"")</f>
        <v/>
      </c>
      <c r="M1746" s="13" t="str">
        <f aca="false">IF(AND(ISNUMBER(B1746),ISNUMBER(I1746)),B1746-I1746+1,"")</f>
        <v/>
      </c>
      <c r="N1746" s="14" t="str">
        <f aca="false">IF(B1746="","",IF(M1746="","시작일 미입력",IF(M1746&lt;1,"시작일 이전(확인)",IF(M1746=1,"1일째",IF(M1746=2,"2일째",IF(M1746=3,"3일째",IF(M1746&lt;=7,"일주일 이내",IF(M1746&lt;=14,"이주일 이내","15일 이후"))))))))</f>
        <v/>
      </c>
      <c r="O1746" s="0" t="str">
        <f aca="false">IF(AND(COUNTA($A1746:$J1746)&gt;0,OR(클레임조회!$C$4="",AND(ISNUMBER($B1746),$B1746&gt;=클레임조회!$C$4)),OR(클레임조회!$C$5="",AND(ISNUMBER($B1746),$B1746&lt;=클레임조회!$C$5)),OR(클레임조회!$C$6="",$C1746=클레임조회!$C$6),OR(클레임조회!$C$7="",$D1746=클레임조회!$C$7),OR(클레임조회!$C$8="",$E1746=클레임조회!$C$8),OR(클레임조회!$C$9="",$F1746=클레임조회!$C$9),OR(클레임조회!$C$10="",ISNUMBER(SEARCH(클레임조회!$C$10,$C1746&amp;" "&amp;$F1746&amp;" "&amp;$G1746&amp;" "&amp;$H1746)))),COUNT(O$1:O1745)+1,"")</f>
        <v/>
      </c>
      <c r="P1746" s="0" t="str">
        <f aca="false">IF(AND(TRIM(C1746)&lt;&gt;"",COUNTIF(C$2:C1746,C1746)=1),MAX(P$1:P1745)+1,"")</f>
        <v/>
      </c>
      <c r="Q1746" s="0" t="str">
        <f aca="false">IF(AND(TRIM(F1746)&lt;&gt;"",COUNTIF(F$2:F1746,F1746)=1),MAX(Q$1:Q1745)+1,"")</f>
        <v/>
      </c>
    </row>
    <row r="1747" customFormat="false" ht="15" hidden="false" customHeight="false" outlineLevel="0" collapsed="false">
      <c r="A1747" s="9"/>
      <c r="B1747" s="10"/>
      <c r="C1747" s="11"/>
      <c r="D1747" s="11"/>
      <c r="E1747" s="11"/>
      <c r="F1747" s="11"/>
      <c r="G1747" s="12"/>
      <c r="H1747" s="12"/>
      <c r="I1747" s="10"/>
      <c r="J1747" s="12"/>
      <c r="K1747" s="13" t="str">
        <f aca="false">IF(ISNUMBER(B1747),YEAR(B1747),"")</f>
        <v/>
      </c>
      <c r="L1747" s="13" t="str">
        <f aca="false">IF(ISNUMBER(B1747),MONTH(B1747),"")</f>
        <v/>
      </c>
      <c r="M1747" s="13" t="str">
        <f aca="false">IF(AND(ISNUMBER(B1747),ISNUMBER(I1747)),B1747-I1747+1,"")</f>
        <v/>
      </c>
      <c r="N1747" s="14" t="str">
        <f aca="false">IF(B1747="","",IF(M1747="","시작일 미입력",IF(M1747&lt;1,"시작일 이전(확인)",IF(M1747=1,"1일째",IF(M1747=2,"2일째",IF(M1747=3,"3일째",IF(M1747&lt;=7,"일주일 이내",IF(M1747&lt;=14,"이주일 이내","15일 이후"))))))))</f>
        <v/>
      </c>
      <c r="O1747" s="0" t="str">
        <f aca="false">IF(AND(COUNTA($A1747:$J1747)&gt;0,OR(클레임조회!$C$4="",AND(ISNUMBER($B1747),$B1747&gt;=클레임조회!$C$4)),OR(클레임조회!$C$5="",AND(ISNUMBER($B1747),$B1747&lt;=클레임조회!$C$5)),OR(클레임조회!$C$6="",$C1747=클레임조회!$C$6),OR(클레임조회!$C$7="",$D1747=클레임조회!$C$7),OR(클레임조회!$C$8="",$E1747=클레임조회!$C$8),OR(클레임조회!$C$9="",$F1747=클레임조회!$C$9),OR(클레임조회!$C$10="",ISNUMBER(SEARCH(클레임조회!$C$10,$C1747&amp;" "&amp;$F1747&amp;" "&amp;$G1747&amp;" "&amp;$H1747)))),COUNT(O$1:O1746)+1,"")</f>
        <v/>
      </c>
      <c r="P1747" s="0" t="str">
        <f aca="false">IF(AND(TRIM(C1747)&lt;&gt;"",COUNTIF(C$2:C1747,C1747)=1),MAX(P$1:P1746)+1,"")</f>
        <v/>
      </c>
      <c r="Q1747" s="0" t="str">
        <f aca="false">IF(AND(TRIM(F1747)&lt;&gt;"",COUNTIF(F$2:F1747,F1747)=1),MAX(Q$1:Q1746)+1,"")</f>
        <v/>
      </c>
    </row>
    <row r="1748" customFormat="false" ht="15" hidden="false" customHeight="false" outlineLevel="0" collapsed="false">
      <c r="A1748" s="9"/>
      <c r="B1748" s="10"/>
      <c r="C1748" s="11"/>
      <c r="D1748" s="11"/>
      <c r="E1748" s="11"/>
      <c r="F1748" s="11"/>
      <c r="G1748" s="12"/>
      <c r="H1748" s="12"/>
      <c r="I1748" s="10"/>
      <c r="J1748" s="12"/>
      <c r="K1748" s="13" t="str">
        <f aca="false">IF(ISNUMBER(B1748),YEAR(B1748),"")</f>
        <v/>
      </c>
      <c r="L1748" s="13" t="str">
        <f aca="false">IF(ISNUMBER(B1748),MONTH(B1748),"")</f>
        <v/>
      </c>
      <c r="M1748" s="13" t="str">
        <f aca="false">IF(AND(ISNUMBER(B1748),ISNUMBER(I1748)),B1748-I1748+1,"")</f>
        <v/>
      </c>
      <c r="N1748" s="14" t="str">
        <f aca="false">IF(B1748="","",IF(M1748="","시작일 미입력",IF(M1748&lt;1,"시작일 이전(확인)",IF(M1748=1,"1일째",IF(M1748=2,"2일째",IF(M1748=3,"3일째",IF(M1748&lt;=7,"일주일 이내",IF(M1748&lt;=14,"이주일 이내","15일 이후"))))))))</f>
        <v/>
      </c>
      <c r="O1748" s="0" t="str">
        <f aca="false">IF(AND(COUNTA($A1748:$J1748)&gt;0,OR(클레임조회!$C$4="",AND(ISNUMBER($B1748),$B1748&gt;=클레임조회!$C$4)),OR(클레임조회!$C$5="",AND(ISNUMBER($B1748),$B1748&lt;=클레임조회!$C$5)),OR(클레임조회!$C$6="",$C1748=클레임조회!$C$6),OR(클레임조회!$C$7="",$D1748=클레임조회!$C$7),OR(클레임조회!$C$8="",$E1748=클레임조회!$C$8),OR(클레임조회!$C$9="",$F1748=클레임조회!$C$9),OR(클레임조회!$C$10="",ISNUMBER(SEARCH(클레임조회!$C$10,$C1748&amp;" "&amp;$F1748&amp;" "&amp;$G1748&amp;" "&amp;$H1748)))),COUNT(O$1:O1747)+1,"")</f>
        <v/>
      </c>
      <c r="P1748" s="0" t="str">
        <f aca="false">IF(AND(TRIM(C1748)&lt;&gt;"",COUNTIF(C$2:C1748,C1748)=1),MAX(P$1:P1747)+1,"")</f>
        <v/>
      </c>
      <c r="Q1748" s="0" t="str">
        <f aca="false">IF(AND(TRIM(F1748)&lt;&gt;"",COUNTIF(F$2:F1748,F1748)=1),MAX(Q$1:Q1747)+1,"")</f>
        <v/>
      </c>
    </row>
    <row r="1749" customFormat="false" ht="15" hidden="false" customHeight="false" outlineLevel="0" collapsed="false">
      <c r="A1749" s="9"/>
      <c r="B1749" s="10"/>
      <c r="C1749" s="11"/>
      <c r="D1749" s="11"/>
      <c r="E1749" s="11"/>
      <c r="F1749" s="11"/>
      <c r="G1749" s="12"/>
      <c r="H1749" s="12"/>
      <c r="I1749" s="10"/>
      <c r="J1749" s="12"/>
      <c r="K1749" s="13" t="str">
        <f aca="false">IF(ISNUMBER(B1749),YEAR(B1749),"")</f>
        <v/>
      </c>
      <c r="L1749" s="13" t="str">
        <f aca="false">IF(ISNUMBER(B1749),MONTH(B1749),"")</f>
        <v/>
      </c>
      <c r="M1749" s="13" t="str">
        <f aca="false">IF(AND(ISNUMBER(B1749),ISNUMBER(I1749)),B1749-I1749+1,"")</f>
        <v/>
      </c>
      <c r="N1749" s="14" t="str">
        <f aca="false">IF(B1749="","",IF(M1749="","시작일 미입력",IF(M1749&lt;1,"시작일 이전(확인)",IF(M1749=1,"1일째",IF(M1749=2,"2일째",IF(M1749=3,"3일째",IF(M1749&lt;=7,"일주일 이내",IF(M1749&lt;=14,"이주일 이내","15일 이후"))))))))</f>
        <v/>
      </c>
      <c r="O1749" s="0" t="str">
        <f aca="false">IF(AND(COUNTA($A1749:$J1749)&gt;0,OR(클레임조회!$C$4="",AND(ISNUMBER($B1749),$B1749&gt;=클레임조회!$C$4)),OR(클레임조회!$C$5="",AND(ISNUMBER($B1749),$B1749&lt;=클레임조회!$C$5)),OR(클레임조회!$C$6="",$C1749=클레임조회!$C$6),OR(클레임조회!$C$7="",$D1749=클레임조회!$C$7),OR(클레임조회!$C$8="",$E1749=클레임조회!$C$8),OR(클레임조회!$C$9="",$F1749=클레임조회!$C$9),OR(클레임조회!$C$10="",ISNUMBER(SEARCH(클레임조회!$C$10,$C1749&amp;" "&amp;$F1749&amp;" "&amp;$G1749&amp;" "&amp;$H1749)))),COUNT(O$1:O1748)+1,"")</f>
        <v/>
      </c>
      <c r="P1749" s="0" t="str">
        <f aca="false">IF(AND(TRIM(C1749)&lt;&gt;"",COUNTIF(C$2:C1749,C1749)=1),MAX(P$1:P1748)+1,"")</f>
        <v/>
      </c>
      <c r="Q1749" s="0" t="str">
        <f aca="false">IF(AND(TRIM(F1749)&lt;&gt;"",COUNTIF(F$2:F1749,F1749)=1),MAX(Q$1:Q1748)+1,"")</f>
        <v/>
      </c>
    </row>
    <row r="1750" customFormat="false" ht="15" hidden="false" customHeight="false" outlineLevel="0" collapsed="false">
      <c r="A1750" s="9"/>
      <c r="B1750" s="10"/>
      <c r="C1750" s="11"/>
      <c r="D1750" s="11"/>
      <c r="E1750" s="11"/>
      <c r="F1750" s="11"/>
      <c r="G1750" s="12"/>
      <c r="H1750" s="12"/>
      <c r="I1750" s="10"/>
      <c r="J1750" s="12"/>
      <c r="K1750" s="13" t="str">
        <f aca="false">IF(ISNUMBER(B1750),YEAR(B1750),"")</f>
        <v/>
      </c>
      <c r="L1750" s="13" t="str">
        <f aca="false">IF(ISNUMBER(B1750),MONTH(B1750),"")</f>
        <v/>
      </c>
      <c r="M1750" s="13" t="str">
        <f aca="false">IF(AND(ISNUMBER(B1750),ISNUMBER(I1750)),B1750-I1750+1,"")</f>
        <v/>
      </c>
      <c r="N1750" s="14" t="str">
        <f aca="false">IF(B1750="","",IF(M1750="","시작일 미입력",IF(M1750&lt;1,"시작일 이전(확인)",IF(M1750=1,"1일째",IF(M1750=2,"2일째",IF(M1750=3,"3일째",IF(M1750&lt;=7,"일주일 이내",IF(M1750&lt;=14,"이주일 이내","15일 이후"))))))))</f>
        <v/>
      </c>
      <c r="O1750" s="0" t="str">
        <f aca="false">IF(AND(COUNTA($A1750:$J1750)&gt;0,OR(클레임조회!$C$4="",AND(ISNUMBER($B1750),$B1750&gt;=클레임조회!$C$4)),OR(클레임조회!$C$5="",AND(ISNUMBER($B1750),$B1750&lt;=클레임조회!$C$5)),OR(클레임조회!$C$6="",$C1750=클레임조회!$C$6),OR(클레임조회!$C$7="",$D1750=클레임조회!$C$7),OR(클레임조회!$C$8="",$E1750=클레임조회!$C$8),OR(클레임조회!$C$9="",$F1750=클레임조회!$C$9),OR(클레임조회!$C$10="",ISNUMBER(SEARCH(클레임조회!$C$10,$C1750&amp;" "&amp;$F1750&amp;" "&amp;$G1750&amp;" "&amp;$H1750)))),COUNT(O$1:O1749)+1,"")</f>
        <v/>
      </c>
      <c r="P1750" s="0" t="str">
        <f aca="false">IF(AND(TRIM(C1750)&lt;&gt;"",COUNTIF(C$2:C1750,C1750)=1),MAX(P$1:P1749)+1,"")</f>
        <v/>
      </c>
      <c r="Q1750" s="0" t="str">
        <f aca="false">IF(AND(TRIM(F1750)&lt;&gt;"",COUNTIF(F$2:F1750,F1750)=1),MAX(Q$1:Q1749)+1,"")</f>
        <v/>
      </c>
    </row>
    <row r="1751" customFormat="false" ht="15" hidden="false" customHeight="false" outlineLevel="0" collapsed="false">
      <c r="A1751" s="9"/>
      <c r="B1751" s="10"/>
      <c r="C1751" s="11"/>
      <c r="D1751" s="11"/>
      <c r="E1751" s="11"/>
      <c r="F1751" s="11"/>
      <c r="G1751" s="12"/>
      <c r="H1751" s="12"/>
      <c r="I1751" s="10"/>
      <c r="J1751" s="12"/>
      <c r="K1751" s="13" t="str">
        <f aca="false">IF(ISNUMBER(B1751),YEAR(B1751),"")</f>
        <v/>
      </c>
      <c r="L1751" s="13" t="str">
        <f aca="false">IF(ISNUMBER(B1751),MONTH(B1751),"")</f>
        <v/>
      </c>
      <c r="M1751" s="13" t="str">
        <f aca="false">IF(AND(ISNUMBER(B1751),ISNUMBER(I1751)),B1751-I1751+1,"")</f>
        <v/>
      </c>
      <c r="N1751" s="14" t="str">
        <f aca="false">IF(B1751="","",IF(M1751="","시작일 미입력",IF(M1751&lt;1,"시작일 이전(확인)",IF(M1751=1,"1일째",IF(M1751=2,"2일째",IF(M1751=3,"3일째",IF(M1751&lt;=7,"일주일 이내",IF(M1751&lt;=14,"이주일 이내","15일 이후"))))))))</f>
        <v/>
      </c>
      <c r="O1751" s="0" t="str">
        <f aca="false">IF(AND(COUNTA($A1751:$J1751)&gt;0,OR(클레임조회!$C$4="",AND(ISNUMBER($B1751),$B1751&gt;=클레임조회!$C$4)),OR(클레임조회!$C$5="",AND(ISNUMBER($B1751),$B1751&lt;=클레임조회!$C$5)),OR(클레임조회!$C$6="",$C1751=클레임조회!$C$6),OR(클레임조회!$C$7="",$D1751=클레임조회!$C$7),OR(클레임조회!$C$8="",$E1751=클레임조회!$C$8),OR(클레임조회!$C$9="",$F1751=클레임조회!$C$9),OR(클레임조회!$C$10="",ISNUMBER(SEARCH(클레임조회!$C$10,$C1751&amp;" "&amp;$F1751&amp;" "&amp;$G1751&amp;" "&amp;$H1751)))),COUNT(O$1:O1750)+1,"")</f>
        <v/>
      </c>
      <c r="P1751" s="0" t="str">
        <f aca="false">IF(AND(TRIM(C1751)&lt;&gt;"",COUNTIF(C$2:C1751,C1751)=1),MAX(P$1:P1750)+1,"")</f>
        <v/>
      </c>
      <c r="Q1751" s="0" t="str">
        <f aca="false">IF(AND(TRIM(F1751)&lt;&gt;"",COUNTIF(F$2:F1751,F1751)=1),MAX(Q$1:Q1750)+1,"")</f>
        <v/>
      </c>
    </row>
    <row r="1752" customFormat="false" ht="15" hidden="false" customHeight="false" outlineLevel="0" collapsed="false">
      <c r="A1752" s="9"/>
      <c r="B1752" s="10"/>
      <c r="C1752" s="11"/>
      <c r="D1752" s="11"/>
      <c r="E1752" s="11"/>
      <c r="F1752" s="11"/>
      <c r="G1752" s="12"/>
      <c r="H1752" s="12"/>
      <c r="I1752" s="10"/>
      <c r="J1752" s="12"/>
      <c r="K1752" s="13" t="str">
        <f aca="false">IF(ISNUMBER(B1752),YEAR(B1752),"")</f>
        <v/>
      </c>
      <c r="L1752" s="13" t="str">
        <f aca="false">IF(ISNUMBER(B1752),MONTH(B1752),"")</f>
        <v/>
      </c>
      <c r="M1752" s="13" t="str">
        <f aca="false">IF(AND(ISNUMBER(B1752),ISNUMBER(I1752)),B1752-I1752+1,"")</f>
        <v/>
      </c>
      <c r="N1752" s="14" t="str">
        <f aca="false">IF(B1752="","",IF(M1752="","시작일 미입력",IF(M1752&lt;1,"시작일 이전(확인)",IF(M1752=1,"1일째",IF(M1752=2,"2일째",IF(M1752=3,"3일째",IF(M1752&lt;=7,"일주일 이내",IF(M1752&lt;=14,"이주일 이내","15일 이후"))))))))</f>
        <v/>
      </c>
      <c r="O1752" s="0" t="str">
        <f aca="false">IF(AND(COUNTA($A1752:$J1752)&gt;0,OR(클레임조회!$C$4="",AND(ISNUMBER($B1752),$B1752&gt;=클레임조회!$C$4)),OR(클레임조회!$C$5="",AND(ISNUMBER($B1752),$B1752&lt;=클레임조회!$C$5)),OR(클레임조회!$C$6="",$C1752=클레임조회!$C$6),OR(클레임조회!$C$7="",$D1752=클레임조회!$C$7),OR(클레임조회!$C$8="",$E1752=클레임조회!$C$8),OR(클레임조회!$C$9="",$F1752=클레임조회!$C$9),OR(클레임조회!$C$10="",ISNUMBER(SEARCH(클레임조회!$C$10,$C1752&amp;" "&amp;$F1752&amp;" "&amp;$G1752&amp;" "&amp;$H1752)))),COUNT(O$1:O1751)+1,"")</f>
        <v/>
      </c>
      <c r="P1752" s="0" t="str">
        <f aca="false">IF(AND(TRIM(C1752)&lt;&gt;"",COUNTIF(C$2:C1752,C1752)=1),MAX(P$1:P1751)+1,"")</f>
        <v/>
      </c>
      <c r="Q1752" s="0" t="str">
        <f aca="false">IF(AND(TRIM(F1752)&lt;&gt;"",COUNTIF(F$2:F1752,F1752)=1),MAX(Q$1:Q1751)+1,"")</f>
        <v/>
      </c>
    </row>
    <row r="1753" customFormat="false" ht="15" hidden="false" customHeight="false" outlineLevel="0" collapsed="false">
      <c r="A1753" s="9"/>
      <c r="B1753" s="10"/>
      <c r="C1753" s="11"/>
      <c r="D1753" s="11"/>
      <c r="E1753" s="11"/>
      <c r="F1753" s="11"/>
      <c r="G1753" s="12"/>
      <c r="H1753" s="12"/>
      <c r="I1753" s="10"/>
      <c r="J1753" s="12"/>
      <c r="K1753" s="13" t="str">
        <f aca="false">IF(ISNUMBER(B1753),YEAR(B1753),"")</f>
        <v/>
      </c>
      <c r="L1753" s="13" t="str">
        <f aca="false">IF(ISNUMBER(B1753),MONTH(B1753),"")</f>
        <v/>
      </c>
      <c r="M1753" s="13" t="str">
        <f aca="false">IF(AND(ISNUMBER(B1753),ISNUMBER(I1753)),B1753-I1753+1,"")</f>
        <v/>
      </c>
      <c r="N1753" s="14" t="str">
        <f aca="false">IF(B1753="","",IF(M1753="","시작일 미입력",IF(M1753&lt;1,"시작일 이전(확인)",IF(M1753=1,"1일째",IF(M1753=2,"2일째",IF(M1753=3,"3일째",IF(M1753&lt;=7,"일주일 이내",IF(M1753&lt;=14,"이주일 이내","15일 이후"))))))))</f>
        <v/>
      </c>
      <c r="O1753" s="0" t="str">
        <f aca="false">IF(AND(COUNTA($A1753:$J1753)&gt;0,OR(클레임조회!$C$4="",AND(ISNUMBER($B1753),$B1753&gt;=클레임조회!$C$4)),OR(클레임조회!$C$5="",AND(ISNUMBER($B1753),$B1753&lt;=클레임조회!$C$5)),OR(클레임조회!$C$6="",$C1753=클레임조회!$C$6),OR(클레임조회!$C$7="",$D1753=클레임조회!$C$7),OR(클레임조회!$C$8="",$E1753=클레임조회!$C$8),OR(클레임조회!$C$9="",$F1753=클레임조회!$C$9),OR(클레임조회!$C$10="",ISNUMBER(SEARCH(클레임조회!$C$10,$C1753&amp;" "&amp;$F1753&amp;" "&amp;$G1753&amp;" "&amp;$H1753)))),COUNT(O$1:O1752)+1,"")</f>
        <v/>
      </c>
      <c r="P1753" s="0" t="str">
        <f aca="false">IF(AND(TRIM(C1753)&lt;&gt;"",COUNTIF(C$2:C1753,C1753)=1),MAX(P$1:P1752)+1,"")</f>
        <v/>
      </c>
      <c r="Q1753" s="0" t="str">
        <f aca="false">IF(AND(TRIM(F1753)&lt;&gt;"",COUNTIF(F$2:F1753,F1753)=1),MAX(Q$1:Q1752)+1,"")</f>
        <v/>
      </c>
    </row>
    <row r="1754" customFormat="false" ht="15" hidden="false" customHeight="false" outlineLevel="0" collapsed="false">
      <c r="A1754" s="9"/>
      <c r="B1754" s="10"/>
      <c r="C1754" s="11"/>
      <c r="D1754" s="11"/>
      <c r="E1754" s="11"/>
      <c r="F1754" s="11"/>
      <c r="G1754" s="12"/>
      <c r="H1754" s="12"/>
      <c r="I1754" s="10"/>
      <c r="J1754" s="12"/>
      <c r="K1754" s="13" t="str">
        <f aca="false">IF(ISNUMBER(B1754),YEAR(B1754),"")</f>
        <v/>
      </c>
      <c r="L1754" s="13" t="str">
        <f aca="false">IF(ISNUMBER(B1754),MONTH(B1754),"")</f>
        <v/>
      </c>
      <c r="M1754" s="13" t="str">
        <f aca="false">IF(AND(ISNUMBER(B1754),ISNUMBER(I1754)),B1754-I1754+1,"")</f>
        <v/>
      </c>
      <c r="N1754" s="14" t="str">
        <f aca="false">IF(B1754="","",IF(M1754="","시작일 미입력",IF(M1754&lt;1,"시작일 이전(확인)",IF(M1754=1,"1일째",IF(M1754=2,"2일째",IF(M1754=3,"3일째",IF(M1754&lt;=7,"일주일 이내",IF(M1754&lt;=14,"이주일 이내","15일 이후"))))))))</f>
        <v/>
      </c>
      <c r="O1754" s="0" t="str">
        <f aca="false">IF(AND(COUNTA($A1754:$J1754)&gt;0,OR(클레임조회!$C$4="",AND(ISNUMBER($B1754),$B1754&gt;=클레임조회!$C$4)),OR(클레임조회!$C$5="",AND(ISNUMBER($B1754),$B1754&lt;=클레임조회!$C$5)),OR(클레임조회!$C$6="",$C1754=클레임조회!$C$6),OR(클레임조회!$C$7="",$D1754=클레임조회!$C$7),OR(클레임조회!$C$8="",$E1754=클레임조회!$C$8),OR(클레임조회!$C$9="",$F1754=클레임조회!$C$9),OR(클레임조회!$C$10="",ISNUMBER(SEARCH(클레임조회!$C$10,$C1754&amp;" "&amp;$F1754&amp;" "&amp;$G1754&amp;" "&amp;$H1754)))),COUNT(O$1:O1753)+1,"")</f>
        <v/>
      </c>
      <c r="P1754" s="0" t="str">
        <f aca="false">IF(AND(TRIM(C1754)&lt;&gt;"",COUNTIF(C$2:C1754,C1754)=1),MAX(P$1:P1753)+1,"")</f>
        <v/>
      </c>
      <c r="Q1754" s="0" t="str">
        <f aca="false">IF(AND(TRIM(F1754)&lt;&gt;"",COUNTIF(F$2:F1754,F1754)=1),MAX(Q$1:Q1753)+1,"")</f>
        <v/>
      </c>
    </row>
    <row r="1755" customFormat="false" ht="15" hidden="false" customHeight="false" outlineLevel="0" collapsed="false">
      <c r="A1755" s="9"/>
      <c r="B1755" s="10"/>
      <c r="C1755" s="11"/>
      <c r="D1755" s="11"/>
      <c r="E1755" s="11"/>
      <c r="F1755" s="11"/>
      <c r="G1755" s="12"/>
      <c r="H1755" s="12"/>
      <c r="I1755" s="10"/>
      <c r="J1755" s="12"/>
      <c r="K1755" s="13" t="str">
        <f aca="false">IF(ISNUMBER(B1755),YEAR(B1755),"")</f>
        <v/>
      </c>
      <c r="L1755" s="13" t="str">
        <f aca="false">IF(ISNUMBER(B1755),MONTH(B1755),"")</f>
        <v/>
      </c>
      <c r="M1755" s="13" t="str">
        <f aca="false">IF(AND(ISNUMBER(B1755),ISNUMBER(I1755)),B1755-I1755+1,"")</f>
        <v/>
      </c>
      <c r="N1755" s="14" t="str">
        <f aca="false">IF(B1755="","",IF(M1755="","시작일 미입력",IF(M1755&lt;1,"시작일 이전(확인)",IF(M1755=1,"1일째",IF(M1755=2,"2일째",IF(M1755=3,"3일째",IF(M1755&lt;=7,"일주일 이내",IF(M1755&lt;=14,"이주일 이내","15일 이후"))))))))</f>
        <v/>
      </c>
      <c r="O1755" s="0" t="str">
        <f aca="false">IF(AND(COUNTA($A1755:$J1755)&gt;0,OR(클레임조회!$C$4="",AND(ISNUMBER($B1755),$B1755&gt;=클레임조회!$C$4)),OR(클레임조회!$C$5="",AND(ISNUMBER($B1755),$B1755&lt;=클레임조회!$C$5)),OR(클레임조회!$C$6="",$C1755=클레임조회!$C$6),OR(클레임조회!$C$7="",$D1755=클레임조회!$C$7),OR(클레임조회!$C$8="",$E1755=클레임조회!$C$8),OR(클레임조회!$C$9="",$F1755=클레임조회!$C$9),OR(클레임조회!$C$10="",ISNUMBER(SEARCH(클레임조회!$C$10,$C1755&amp;" "&amp;$F1755&amp;" "&amp;$G1755&amp;" "&amp;$H1755)))),COUNT(O$1:O1754)+1,"")</f>
        <v/>
      </c>
      <c r="P1755" s="0" t="str">
        <f aca="false">IF(AND(TRIM(C1755)&lt;&gt;"",COUNTIF(C$2:C1755,C1755)=1),MAX(P$1:P1754)+1,"")</f>
        <v/>
      </c>
      <c r="Q1755" s="0" t="str">
        <f aca="false">IF(AND(TRIM(F1755)&lt;&gt;"",COUNTIF(F$2:F1755,F1755)=1),MAX(Q$1:Q1754)+1,"")</f>
        <v/>
      </c>
    </row>
    <row r="1756" customFormat="false" ht="15" hidden="false" customHeight="false" outlineLevel="0" collapsed="false">
      <c r="A1756" s="9"/>
      <c r="B1756" s="10"/>
      <c r="C1756" s="11"/>
      <c r="D1756" s="11"/>
      <c r="E1756" s="11"/>
      <c r="F1756" s="11"/>
      <c r="G1756" s="12"/>
      <c r="H1756" s="12"/>
      <c r="I1756" s="10"/>
      <c r="J1756" s="12"/>
      <c r="K1756" s="13" t="str">
        <f aca="false">IF(ISNUMBER(B1756),YEAR(B1756),"")</f>
        <v/>
      </c>
      <c r="L1756" s="13" t="str">
        <f aca="false">IF(ISNUMBER(B1756),MONTH(B1756),"")</f>
        <v/>
      </c>
      <c r="M1756" s="13" t="str">
        <f aca="false">IF(AND(ISNUMBER(B1756),ISNUMBER(I1756)),B1756-I1756+1,"")</f>
        <v/>
      </c>
      <c r="N1756" s="14" t="str">
        <f aca="false">IF(B1756="","",IF(M1756="","시작일 미입력",IF(M1756&lt;1,"시작일 이전(확인)",IF(M1756=1,"1일째",IF(M1756=2,"2일째",IF(M1756=3,"3일째",IF(M1756&lt;=7,"일주일 이내",IF(M1756&lt;=14,"이주일 이내","15일 이후"))))))))</f>
        <v/>
      </c>
      <c r="O1756" s="0" t="str">
        <f aca="false">IF(AND(COUNTA($A1756:$J1756)&gt;0,OR(클레임조회!$C$4="",AND(ISNUMBER($B1756),$B1756&gt;=클레임조회!$C$4)),OR(클레임조회!$C$5="",AND(ISNUMBER($B1756),$B1756&lt;=클레임조회!$C$5)),OR(클레임조회!$C$6="",$C1756=클레임조회!$C$6),OR(클레임조회!$C$7="",$D1756=클레임조회!$C$7),OR(클레임조회!$C$8="",$E1756=클레임조회!$C$8),OR(클레임조회!$C$9="",$F1756=클레임조회!$C$9),OR(클레임조회!$C$10="",ISNUMBER(SEARCH(클레임조회!$C$10,$C1756&amp;" "&amp;$F1756&amp;" "&amp;$G1756&amp;" "&amp;$H1756)))),COUNT(O$1:O1755)+1,"")</f>
        <v/>
      </c>
      <c r="P1756" s="0" t="str">
        <f aca="false">IF(AND(TRIM(C1756)&lt;&gt;"",COUNTIF(C$2:C1756,C1756)=1),MAX(P$1:P1755)+1,"")</f>
        <v/>
      </c>
      <c r="Q1756" s="0" t="str">
        <f aca="false">IF(AND(TRIM(F1756)&lt;&gt;"",COUNTIF(F$2:F1756,F1756)=1),MAX(Q$1:Q1755)+1,"")</f>
        <v/>
      </c>
    </row>
    <row r="1757" customFormat="false" ht="15" hidden="false" customHeight="false" outlineLevel="0" collapsed="false">
      <c r="A1757" s="9"/>
      <c r="B1757" s="10"/>
      <c r="C1757" s="11"/>
      <c r="D1757" s="11"/>
      <c r="E1757" s="11"/>
      <c r="F1757" s="11"/>
      <c r="G1757" s="12"/>
      <c r="H1757" s="12"/>
      <c r="I1757" s="10"/>
      <c r="J1757" s="12"/>
      <c r="K1757" s="13" t="str">
        <f aca="false">IF(ISNUMBER(B1757),YEAR(B1757),"")</f>
        <v/>
      </c>
      <c r="L1757" s="13" t="str">
        <f aca="false">IF(ISNUMBER(B1757),MONTH(B1757),"")</f>
        <v/>
      </c>
      <c r="M1757" s="13" t="str">
        <f aca="false">IF(AND(ISNUMBER(B1757),ISNUMBER(I1757)),B1757-I1757+1,"")</f>
        <v/>
      </c>
      <c r="N1757" s="14" t="str">
        <f aca="false">IF(B1757="","",IF(M1757="","시작일 미입력",IF(M1757&lt;1,"시작일 이전(확인)",IF(M1757=1,"1일째",IF(M1757=2,"2일째",IF(M1757=3,"3일째",IF(M1757&lt;=7,"일주일 이내",IF(M1757&lt;=14,"이주일 이내","15일 이후"))))))))</f>
        <v/>
      </c>
      <c r="O1757" s="0" t="str">
        <f aca="false">IF(AND(COUNTA($A1757:$J1757)&gt;0,OR(클레임조회!$C$4="",AND(ISNUMBER($B1757),$B1757&gt;=클레임조회!$C$4)),OR(클레임조회!$C$5="",AND(ISNUMBER($B1757),$B1757&lt;=클레임조회!$C$5)),OR(클레임조회!$C$6="",$C1757=클레임조회!$C$6),OR(클레임조회!$C$7="",$D1757=클레임조회!$C$7),OR(클레임조회!$C$8="",$E1757=클레임조회!$C$8),OR(클레임조회!$C$9="",$F1757=클레임조회!$C$9),OR(클레임조회!$C$10="",ISNUMBER(SEARCH(클레임조회!$C$10,$C1757&amp;" "&amp;$F1757&amp;" "&amp;$G1757&amp;" "&amp;$H1757)))),COUNT(O$1:O1756)+1,"")</f>
        <v/>
      </c>
      <c r="P1757" s="0" t="str">
        <f aca="false">IF(AND(TRIM(C1757)&lt;&gt;"",COUNTIF(C$2:C1757,C1757)=1),MAX(P$1:P1756)+1,"")</f>
        <v/>
      </c>
      <c r="Q1757" s="0" t="str">
        <f aca="false">IF(AND(TRIM(F1757)&lt;&gt;"",COUNTIF(F$2:F1757,F1757)=1),MAX(Q$1:Q1756)+1,"")</f>
        <v/>
      </c>
    </row>
    <row r="1758" customFormat="false" ht="15" hidden="false" customHeight="false" outlineLevel="0" collapsed="false">
      <c r="A1758" s="9"/>
      <c r="B1758" s="10"/>
      <c r="C1758" s="11"/>
      <c r="D1758" s="11"/>
      <c r="E1758" s="11"/>
      <c r="F1758" s="11"/>
      <c r="G1758" s="12"/>
      <c r="H1758" s="12"/>
      <c r="I1758" s="10"/>
      <c r="J1758" s="12"/>
      <c r="K1758" s="13" t="str">
        <f aca="false">IF(ISNUMBER(B1758),YEAR(B1758),"")</f>
        <v/>
      </c>
      <c r="L1758" s="13" t="str">
        <f aca="false">IF(ISNUMBER(B1758),MONTH(B1758),"")</f>
        <v/>
      </c>
      <c r="M1758" s="13" t="str">
        <f aca="false">IF(AND(ISNUMBER(B1758),ISNUMBER(I1758)),B1758-I1758+1,"")</f>
        <v/>
      </c>
      <c r="N1758" s="14" t="str">
        <f aca="false">IF(B1758="","",IF(M1758="","시작일 미입력",IF(M1758&lt;1,"시작일 이전(확인)",IF(M1758=1,"1일째",IF(M1758=2,"2일째",IF(M1758=3,"3일째",IF(M1758&lt;=7,"일주일 이내",IF(M1758&lt;=14,"이주일 이내","15일 이후"))))))))</f>
        <v/>
      </c>
      <c r="O1758" s="0" t="str">
        <f aca="false">IF(AND(COUNTA($A1758:$J1758)&gt;0,OR(클레임조회!$C$4="",AND(ISNUMBER($B1758),$B1758&gt;=클레임조회!$C$4)),OR(클레임조회!$C$5="",AND(ISNUMBER($B1758),$B1758&lt;=클레임조회!$C$5)),OR(클레임조회!$C$6="",$C1758=클레임조회!$C$6),OR(클레임조회!$C$7="",$D1758=클레임조회!$C$7),OR(클레임조회!$C$8="",$E1758=클레임조회!$C$8),OR(클레임조회!$C$9="",$F1758=클레임조회!$C$9),OR(클레임조회!$C$10="",ISNUMBER(SEARCH(클레임조회!$C$10,$C1758&amp;" "&amp;$F1758&amp;" "&amp;$G1758&amp;" "&amp;$H1758)))),COUNT(O$1:O1757)+1,"")</f>
        <v/>
      </c>
      <c r="P1758" s="0" t="str">
        <f aca="false">IF(AND(TRIM(C1758)&lt;&gt;"",COUNTIF(C$2:C1758,C1758)=1),MAX(P$1:P1757)+1,"")</f>
        <v/>
      </c>
      <c r="Q1758" s="0" t="str">
        <f aca="false">IF(AND(TRIM(F1758)&lt;&gt;"",COUNTIF(F$2:F1758,F1758)=1),MAX(Q$1:Q1757)+1,"")</f>
        <v/>
      </c>
    </row>
    <row r="1759" customFormat="false" ht="15" hidden="false" customHeight="false" outlineLevel="0" collapsed="false">
      <c r="A1759" s="9"/>
      <c r="B1759" s="10"/>
      <c r="C1759" s="11"/>
      <c r="D1759" s="11"/>
      <c r="E1759" s="11"/>
      <c r="F1759" s="11"/>
      <c r="G1759" s="12"/>
      <c r="H1759" s="12"/>
      <c r="I1759" s="10"/>
      <c r="J1759" s="12"/>
      <c r="K1759" s="13" t="str">
        <f aca="false">IF(ISNUMBER(B1759),YEAR(B1759),"")</f>
        <v/>
      </c>
      <c r="L1759" s="13" t="str">
        <f aca="false">IF(ISNUMBER(B1759),MONTH(B1759),"")</f>
        <v/>
      </c>
      <c r="M1759" s="13" t="str">
        <f aca="false">IF(AND(ISNUMBER(B1759),ISNUMBER(I1759)),B1759-I1759+1,"")</f>
        <v/>
      </c>
      <c r="N1759" s="14" t="str">
        <f aca="false">IF(B1759="","",IF(M1759="","시작일 미입력",IF(M1759&lt;1,"시작일 이전(확인)",IF(M1759=1,"1일째",IF(M1759=2,"2일째",IF(M1759=3,"3일째",IF(M1759&lt;=7,"일주일 이내",IF(M1759&lt;=14,"이주일 이내","15일 이후"))))))))</f>
        <v/>
      </c>
      <c r="O1759" s="0" t="str">
        <f aca="false">IF(AND(COUNTA($A1759:$J1759)&gt;0,OR(클레임조회!$C$4="",AND(ISNUMBER($B1759),$B1759&gt;=클레임조회!$C$4)),OR(클레임조회!$C$5="",AND(ISNUMBER($B1759),$B1759&lt;=클레임조회!$C$5)),OR(클레임조회!$C$6="",$C1759=클레임조회!$C$6),OR(클레임조회!$C$7="",$D1759=클레임조회!$C$7),OR(클레임조회!$C$8="",$E1759=클레임조회!$C$8),OR(클레임조회!$C$9="",$F1759=클레임조회!$C$9),OR(클레임조회!$C$10="",ISNUMBER(SEARCH(클레임조회!$C$10,$C1759&amp;" "&amp;$F1759&amp;" "&amp;$G1759&amp;" "&amp;$H1759)))),COUNT(O$1:O1758)+1,"")</f>
        <v/>
      </c>
      <c r="P1759" s="0" t="str">
        <f aca="false">IF(AND(TRIM(C1759)&lt;&gt;"",COUNTIF(C$2:C1759,C1759)=1),MAX(P$1:P1758)+1,"")</f>
        <v/>
      </c>
      <c r="Q1759" s="0" t="str">
        <f aca="false">IF(AND(TRIM(F1759)&lt;&gt;"",COUNTIF(F$2:F1759,F1759)=1),MAX(Q$1:Q1758)+1,"")</f>
        <v/>
      </c>
    </row>
    <row r="1760" customFormat="false" ht="15" hidden="false" customHeight="false" outlineLevel="0" collapsed="false">
      <c r="A1760" s="9"/>
      <c r="B1760" s="10"/>
      <c r="C1760" s="11"/>
      <c r="D1760" s="11"/>
      <c r="E1760" s="11"/>
      <c r="F1760" s="11"/>
      <c r="G1760" s="12"/>
      <c r="H1760" s="12"/>
      <c r="I1760" s="10"/>
      <c r="J1760" s="12"/>
      <c r="K1760" s="13" t="str">
        <f aca="false">IF(ISNUMBER(B1760),YEAR(B1760),"")</f>
        <v/>
      </c>
      <c r="L1760" s="13" t="str">
        <f aca="false">IF(ISNUMBER(B1760),MONTH(B1760),"")</f>
        <v/>
      </c>
      <c r="M1760" s="13" t="str">
        <f aca="false">IF(AND(ISNUMBER(B1760),ISNUMBER(I1760)),B1760-I1760+1,"")</f>
        <v/>
      </c>
      <c r="N1760" s="14" t="str">
        <f aca="false">IF(B1760="","",IF(M1760="","시작일 미입력",IF(M1760&lt;1,"시작일 이전(확인)",IF(M1760=1,"1일째",IF(M1760=2,"2일째",IF(M1760=3,"3일째",IF(M1760&lt;=7,"일주일 이내",IF(M1760&lt;=14,"이주일 이내","15일 이후"))))))))</f>
        <v/>
      </c>
      <c r="O1760" s="0" t="str">
        <f aca="false">IF(AND(COUNTA($A1760:$J1760)&gt;0,OR(클레임조회!$C$4="",AND(ISNUMBER($B1760),$B1760&gt;=클레임조회!$C$4)),OR(클레임조회!$C$5="",AND(ISNUMBER($B1760),$B1760&lt;=클레임조회!$C$5)),OR(클레임조회!$C$6="",$C1760=클레임조회!$C$6),OR(클레임조회!$C$7="",$D1760=클레임조회!$C$7),OR(클레임조회!$C$8="",$E1760=클레임조회!$C$8),OR(클레임조회!$C$9="",$F1760=클레임조회!$C$9),OR(클레임조회!$C$10="",ISNUMBER(SEARCH(클레임조회!$C$10,$C1760&amp;" "&amp;$F1760&amp;" "&amp;$G1760&amp;" "&amp;$H1760)))),COUNT(O$1:O1759)+1,"")</f>
        <v/>
      </c>
      <c r="P1760" s="0" t="str">
        <f aca="false">IF(AND(TRIM(C1760)&lt;&gt;"",COUNTIF(C$2:C1760,C1760)=1),MAX(P$1:P1759)+1,"")</f>
        <v/>
      </c>
      <c r="Q1760" s="0" t="str">
        <f aca="false">IF(AND(TRIM(F1760)&lt;&gt;"",COUNTIF(F$2:F1760,F1760)=1),MAX(Q$1:Q1759)+1,"")</f>
        <v/>
      </c>
    </row>
    <row r="1761" customFormat="false" ht="15" hidden="false" customHeight="false" outlineLevel="0" collapsed="false">
      <c r="A1761" s="9"/>
      <c r="B1761" s="10"/>
      <c r="C1761" s="11"/>
      <c r="D1761" s="11"/>
      <c r="E1761" s="11"/>
      <c r="F1761" s="11"/>
      <c r="G1761" s="12"/>
      <c r="H1761" s="12"/>
      <c r="I1761" s="10"/>
      <c r="J1761" s="12"/>
      <c r="K1761" s="13" t="str">
        <f aca="false">IF(ISNUMBER(B1761),YEAR(B1761),"")</f>
        <v/>
      </c>
      <c r="L1761" s="13" t="str">
        <f aca="false">IF(ISNUMBER(B1761),MONTH(B1761),"")</f>
        <v/>
      </c>
      <c r="M1761" s="13" t="str">
        <f aca="false">IF(AND(ISNUMBER(B1761),ISNUMBER(I1761)),B1761-I1761+1,"")</f>
        <v/>
      </c>
      <c r="N1761" s="14" t="str">
        <f aca="false">IF(B1761="","",IF(M1761="","시작일 미입력",IF(M1761&lt;1,"시작일 이전(확인)",IF(M1761=1,"1일째",IF(M1761=2,"2일째",IF(M1761=3,"3일째",IF(M1761&lt;=7,"일주일 이내",IF(M1761&lt;=14,"이주일 이내","15일 이후"))))))))</f>
        <v/>
      </c>
      <c r="O1761" s="0" t="str">
        <f aca="false">IF(AND(COUNTA($A1761:$J1761)&gt;0,OR(클레임조회!$C$4="",AND(ISNUMBER($B1761),$B1761&gt;=클레임조회!$C$4)),OR(클레임조회!$C$5="",AND(ISNUMBER($B1761),$B1761&lt;=클레임조회!$C$5)),OR(클레임조회!$C$6="",$C1761=클레임조회!$C$6),OR(클레임조회!$C$7="",$D1761=클레임조회!$C$7),OR(클레임조회!$C$8="",$E1761=클레임조회!$C$8),OR(클레임조회!$C$9="",$F1761=클레임조회!$C$9),OR(클레임조회!$C$10="",ISNUMBER(SEARCH(클레임조회!$C$10,$C1761&amp;" "&amp;$F1761&amp;" "&amp;$G1761&amp;" "&amp;$H1761)))),COUNT(O$1:O1760)+1,"")</f>
        <v/>
      </c>
      <c r="P1761" s="0" t="str">
        <f aca="false">IF(AND(TRIM(C1761)&lt;&gt;"",COUNTIF(C$2:C1761,C1761)=1),MAX(P$1:P1760)+1,"")</f>
        <v/>
      </c>
      <c r="Q1761" s="0" t="str">
        <f aca="false">IF(AND(TRIM(F1761)&lt;&gt;"",COUNTIF(F$2:F1761,F1761)=1),MAX(Q$1:Q1760)+1,"")</f>
        <v/>
      </c>
    </row>
    <row r="1762" customFormat="false" ht="15" hidden="false" customHeight="false" outlineLevel="0" collapsed="false">
      <c r="A1762" s="9"/>
      <c r="B1762" s="10"/>
      <c r="C1762" s="11"/>
      <c r="D1762" s="11"/>
      <c r="E1762" s="11"/>
      <c r="F1762" s="11"/>
      <c r="G1762" s="12"/>
      <c r="H1762" s="12"/>
      <c r="I1762" s="10"/>
      <c r="J1762" s="12"/>
      <c r="K1762" s="13" t="str">
        <f aca="false">IF(ISNUMBER(B1762),YEAR(B1762),"")</f>
        <v/>
      </c>
      <c r="L1762" s="13" t="str">
        <f aca="false">IF(ISNUMBER(B1762),MONTH(B1762),"")</f>
        <v/>
      </c>
      <c r="M1762" s="13" t="str">
        <f aca="false">IF(AND(ISNUMBER(B1762),ISNUMBER(I1762)),B1762-I1762+1,"")</f>
        <v/>
      </c>
      <c r="N1762" s="14" t="str">
        <f aca="false">IF(B1762="","",IF(M1762="","시작일 미입력",IF(M1762&lt;1,"시작일 이전(확인)",IF(M1762=1,"1일째",IF(M1762=2,"2일째",IF(M1762=3,"3일째",IF(M1762&lt;=7,"일주일 이내",IF(M1762&lt;=14,"이주일 이내","15일 이후"))))))))</f>
        <v/>
      </c>
      <c r="O1762" s="0" t="str">
        <f aca="false">IF(AND(COUNTA($A1762:$J1762)&gt;0,OR(클레임조회!$C$4="",AND(ISNUMBER($B1762),$B1762&gt;=클레임조회!$C$4)),OR(클레임조회!$C$5="",AND(ISNUMBER($B1762),$B1762&lt;=클레임조회!$C$5)),OR(클레임조회!$C$6="",$C1762=클레임조회!$C$6),OR(클레임조회!$C$7="",$D1762=클레임조회!$C$7),OR(클레임조회!$C$8="",$E1762=클레임조회!$C$8),OR(클레임조회!$C$9="",$F1762=클레임조회!$C$9),OR(클레임조회!$C$10="",ISNUMBER(SEARCH(클레임조회!$C$10,$C1762&amp;" "&amp;$F1762&amp;" "&amp;$G1762&amp;" "&amp;$H1762)))),COUNT(O$1:O1761)+1,"")</f>
        <v/>
      </c>
      <c r="P1762" s="0" t="str">
        <f aca="false">IF(AND(TRIM(C1762)&lt;&gt;"",COUNTIF(C$2:C1762,C1762)=1),MAX(P$1:P1761)+1,"")</f>
        <v/>
      </c>
      <c r="Q1762" s="0" t="str">
        <f aca="false">IF(AND(TRIM(F1762)&lt;&gt;"",COUNTIF(F$2:F1762,F1762)=1),MAX(Q$1:Q1761)+1,"")</f>
        <v/>
      </c>
    </row>
    <row r="1763" customFormat="false" ht="15" hidden="false" customHeight="false" outlineLevel="0" collapsed="false">
      <c r="A1763" s="9"/>
      <c r="B1763" s="10"/>
      <c r="C1763" s="11"/>
      <c r="D1763" s="11"/>
      <c r="E1763" s="11"/>
      <c r="F1763" s="11"/>
      <c r="G1763" s="12"/>
      <c r="H1763" s="12"/>
      <c r="I1763" s="10"/>
      <c r="J1763" s="12"/>
      <c r="K1763" s="13" t="str">
        <f aca="false">IF(ISNUMBER(B1763),YEAR(B1763),"")</f>
        <v/>
      </c>
      <c r="L1763" s="13" t="str">
        <f aca="false">IF(ISNUMBER(B1763),MONTH(B1763),"")</f>
        <v/>
      </c>
      <c r="M1763" s="13" t="str">
        <f aca="false">IF(AND(ISNUMBER(B1763),ISNUMBER(I1763)),B1763-I1763+1,"")</f>
        <v/>
      </c>
      <c r="N1763" s="14" t="str">
        <f aca="false">IF(B1763="","",IF(M1763="","시작일 미입력",IF(M1763&lt;1,"시작일 이전(확인)",IF(M1763=1,"1일째",IF(M1763=2,"2일째",IF(M1763=3,"3일째",IF(M1763&lt;=7,"일주일 이내",IF(M1763&lt;=14,"이주일 이내","15일 이후"))))))))</f>
        <v/>
      </c>
      <c r="O1763" s="0" t="str">
        <f aca="false">IF(AND(COUNTA($A1763:$J1763)&gt;0,OR(클레임조회!$C$4="",AND(ISNUMBER($B1763),$B1763&gt;=클레임조회!$C$4)),OR(클레임조회!$C$5="",AND(ISNUMBER($B1763),$B1763&lt;=클레임조회!$C$5)),OR(클레임조회!$C$6="",$C1763=클레임조회!$C$6),OR(클레임조회!$C$7="",$D1763=클레임조회!$C$7),OR(클레임조회!$C$8="",$E1763=클레임조회!$C$8),OR(클레임조회!$C$9="",$F1763=클레임조회!$C$9),OR(클레임조회!$C$10="",ISNUMBER(SEARCH(클레임조회!$C$10,$C1763&amp;" "&amp;$F1763&amp;" "&amp;$G1763&amp;" "&amp;$H1763)))),COUNT(O$1:O1762)+1,"")</f>
        <v/>
      </c>
      <c r="P1763" s="0" t="str">
        <f aca="false">IF(AND(TRIM(C1763)&lt;&gt;"",COUNTIF(C$2:C1763,C1763)=1),MAX(P$1:P1762)+1,"")</f>
        <v/>
      </c>
      <c r="Q1763" s="0" t="str">
        <f aca="false">IF(AND(TRIM(F1763)&lt;&gt;"",COUNTIF(F$2:F1763,F1763)=1),MAX(Q$1:Q1762)+1,"")</f>
        <v/>
      </c>
    </row>
    <row r="1764" customFormat="false" ht="15" hidden="false" customHeight="false" outlineLevel="0" collapsed="false">
      <c r="A1764" s="9"/>
      <c r="B1764" s="10"/>
      <c r="C1764" s="11"/>
      <c r="D1764" s="11"/>
      <c r="E1764" s="11"/>
      <c r="F1764" s="11"/>
      <c r="G1764" s="12"/>
      <c r="H1764" s="12"/>
      <c r="I1764" s="10"/>
      <c r="J1764" s="12"/>
      <c r="K1764" s="13" t="str">
        <f aca="false">IF(ISNUMBER(B1764),YEAR(B1764),"")</f>
        <v/>
      </c>
      <c r="L1764" s="13" t="str">
        <f aca="false">IF(ISNUMBER(B1764),MONTH(B1764),"")</f>
        <v/>
      </c>
      <c r="M1764" s="13" t="str">
        <f aca="false">IF(AND(ISNUMBER(B1764),ISNUMBER(I1764)),B1764-I1764+1,"")</f>
        <v/>
      </c>
      <c r="N1764" s="14" t="str">
        <f aca="false">IF(B1764="","",IF(M1764="","시작일 미입력",IF(M1764&lt;1,"시작일 이전(확인)",IF(M1764=1,"1일째",IF(M1764=2,"2일째",IF(M1764=3,"3일째",IF(M1764&lt;=7,"일주일 이내",IF(M1764&lt;=14,"이주일 이내","15일 이후"))))))))</f>
        <v/>
      </c>
      <c r="O1764" s="0" t="str">
        <f aca="false">IF(AND(COUNTA($A1764:$J1764)&gt;0,OR(클레임조회!$C$4="",AND(ISNUMBER($B1764),$B1764&gt;=클레임조회!$C$4)),OR(클레임조회!$C$5="",AND(ISNUMBER($B1764),$B1764&lt;=클레임조회!$C$5)),OR(클레임조회!$C$6="",$C1764=클레임조회!$C$6),OR(클레임조회!$C$7="",$D1764=클레임조회!$C$7),OR(클레임조회!$C$8="",$E1764=클레임조회!$C$8),OR(클레임조회!$C$9="",$F1764=클레임조회!$C$9),OR(클레임조회!$C$10="",ISNUMBER(SEARCH(클레임조회!$C$10,$C1764&amp;" "&amp;$F1764&amp;" "&amp;$G1764&amp;" "&amp;$H1764)))),COUNT(O$1:O1763)+1,"")</f>
        <v/>
      </c>
      <c r="P1764" s="0" t="str">
        <f aca="false">IF(AND(TRIM(C1764)&lt;&gt;"",COUNTIF(C$2:C1764,C1764)=1),MAX(P$1:P1763)+1,"")</f>
        <v/>
      </c>
      <c r="Q1764" s="0" t="str">
        <f aca="false">IF(AND(TRIM(F1764)&lt;&gt;"",COUNTIF(F$2:F1764,F1764)=1),MAX(Q$1:Q1763)+1,"")</f>
        <v/>
      </c>
    </row>
    <row r="1765" customFormat="false" ht="15" hidden="false" customHeight="false" outlineLevel="0" collapsed="false">
      <c r="A1765" s="9"/>
      <c r="B1765" s="10"/>
      <c r="C1765" s="11"/>
      <c r="D1765" s="11"/>
      <c r="E1765" s="11"/>
      <c r="F1765" s="11"/>
      <c r="G1765" s="12"/>
      <c r="H1765" s="12"/>
      <c r="I1765" s="10"/>
      <c r="J1765" s="12"/>
      <c r="K1765" s="13" t="str">
        <f aca="false">IF(ISNUMBER(B1765),YEAR(B1765),"")</f>
        <v/>
      </c>
      <c r="L1765" s="13" t="str">
        <f aca="false">IF(ISNUMBER(B1765),MONTH(B1765),"")</f>
        <v/>
      </c>
      <c r="M1765" s="13" t="str">
        <f aca="false">IF(AND(ISNUMBER(B1765),ISNUMBER(I1765)),B1765-I1765+1,"")</f>
        <v/>
      </c>
      <c r="N1765" s="14" t="str">
        <f aca="false">IF(B1765="","",IF(M1765="","시작일 미입력",IF(M1765&lt;1,"시작일 이전(확인)",IF(M1765=1,"1일째",IF(M1765=2,"2일째",IF(M1765=3,"3일째",IF(M1765&lt;=7,"일주일 이내",IF(M1765&lt;=14,"이주일 이내","15일 이후"))))))))</f>
        <v/>
      </c>
      <c r="O1765" s="0" t="str">
        <f aca="false">IF(AND(COUNTA($A1765:$J1765)&gt;0,OR(클레임조회!$C$4="",AND(ISNUMBER($B1765),$B1765&gt;=클레임조회!$C$4)),OR(클레임조회!$C$5="",AND(ISNUMBER($B1765),$B1765&lt;=클레임조회!$C$5)),OR(클레임조회!$C$6="",$C1765=클레임조회!$C$6),OR(클레임조회!$C$7="",$D1765=클레임조회!$C$7),OR(클레임조회!$C$8="",$E1765=클레임조회!$C$8),OR(클레임조회!$C$9="",$F1765=클레임조회!$C$9),OR(클레임조회!$C$10="",ISNUMBER(SEARCH(클레임조회!$C$10,$C1765&amp;" "&amp;$F1765&amp;" "&amp;$G1765&amp;" "&amp;$H1765)))),COUNT(O$1:O1764)+1,"")</f>
        <v/>
      </c>
      <c r="P1765" s="0" t="str">
        <f aca="false">IF(AND(TRIM(C1765)&lt;&gt;"",COUNTIF(C$2:C1765,C1765)=1),MAX(P$1:P1764)+1,"")</f>
        <v/>
      </c>
      <c r="Q1765" s="0" t="str">
        <f aca="false">IF(AND(TRIM(F1765)&lt;&gt;"",COUNTIF(F$2:F1765,F1765)=1),MAX(Q$1:Q1764)+1,"")</f>
        <v/>
      </c>
    </row>
    <row r="1766" customFormat="false" ht="15" hidden="false" customHeight="false" outlineLevel="0" collapsed="false">
      <c r="A1766" s="9"/>
      <c r="B1766" s="10"/>
      <c r="C1766" s="11"/>
      <c r="D1766" s="11"/>
      <c r="E1766" s="11"/>
      <c r="F1766" s="11"/>
      <c r="G1766" s="12"/>
      <c r="H1766" s="12"/>
      <c r="I1766" s="10"/>
      <c r="J1766" s="12"/>
      <c r="K1766" s="13" t="str">
        <f aca="false">IF(ISNUMBER(B1766),YEAR(B1766),"")</f>
        <v/>
      </c>
      <c r="L1766" s="13" t="str">
        <f aca="false">IF(ISNUMBER(B1766),MONTH(B1766),"")</f>
        <v/>
      </c>
      <c r="M1766" s="13" t="str">
        <f aca="false">IF(AND(ISNUMBER(B1766),ISNUMBER(I1766)),B1766-I1766+1,"")</f>
        <v/>
      </c>
      <c r="N1766" s="14" t="str">
        <f aca="false">IF(B1766="","",IF(M1766="","시작일 미입력",IF(M1766&lt;1,"시작일 이전(확인)",IF(M1766=1,"1일째",IF(M1766=2,"2일째",IF(M1766=3,"3일째",IF(M1766&lt;=7,"일주일 이내",IF(M1766&lt;=14,"이주일 이내","15일 이후"))))))))</f>
        <v/>
      </c>
      <c r="O1766" s="0" t="str">
        <f aca="false">IF(AND(COUNTA($A1766:$J1766)&gt;0,OR(클레임조회!$C$4="",AND(ISNUMBER($B1766),$B1766&gt;=클레임조회!$C$4)),OR(클레임조회!$C$5="",AND(ISNUMBER($B1766),$B1766&lt;=클레임조회!$C$5)),OR(클레임조회!$C$6="",$C1766=클레임조회!$C$6),OR(클레임조회!$C$7="",$D1766=클레임조회!$C$7),OR(클레임조회!$C$8="",$E1766=클레임조회!$C$8),OR(클레임조회!$C$9="",$F1766=클레임조회!$C$9),OR(클레임조회!$C$10="",ISNUMBER(SEARCH(클레임조회!$C$10,$C1766&amp;" "&amp;$F1766&amp;" "&amp;$G1766&amp;" "&amp;$H1766)))),COUNT(O$1:O1765)+1,"")</f>
        <v/>
      </c>
      <c r="P1766" s="0" t="str">
        <f aca="false">IF(AND(TRIM(C1766)&lt;&gt;"",COUNTIF(C$2:C1766,C1766)=1),MAX(P$1:P1765)+1,"")</f>
        <v/>
      </c>
      <c r="Q1766" s="0" t="str">
        <f aca="false">IF(AND(TRIM(F1766)&lt;&gt;"",COUNTIF(F$2:F1766,F1766)=1),MAX(Q$1:Q1765)+1,"")</f>
        <v/>
      </c>
    </row>
    <row r="1767" customFormat="false" ht="15" hidden="false" customHeight="false" outlineLevel="0" collapsed="false">
      <c r="A1767" s="9"/>
      <c r="B1767" s="10"/>
      <c r="C1767" s="11"/>
      <c r="D1767" s="11"/>
      <c r="E1767" s="11"/>
      <c r="F1767" s="11"/>
      <c r="G1767" s="12"/>
      <c r="H1767" s="12"/>
      <c r="I1767" s="10"/>
      <c r="J1767" s="12"/>
      <c r="K1767" s="13" t="str">
        <f aca="false">IF(ISNUMBER(B1767),YEAR(B1767),"")</f>
        <v/>
      </c>
      <c r="L1767" s="13" t="str">
        <f aca="false">IF(ISNUMBER(B1767),MONTH(B1767),"")</f>
        <v/>
      </c>
      <c r="M1767" s="13" t="str">
        <f aca="false">IF(AND(ISNUMBER(B1767),ISNUMBER(I1767)),B1767-I1767+1,"")</f>
        <v/>
      </c>
      <c r="N1767" s="14" t="str">
        <f aca="false">IF(B1767="","",IF(M1767="","시작일 미입력",IF(M1767&lt;1,"시작일 이전(확인)",IF(M1767=1,"1일째",IF(M1767=2,"2일째",IF(M1767=3,"3일째",IF(M1767&lt;=7,"일주일 이내",IF(M1767&lt;=14,"이주일 이내","15일 이후"))))))))</f>
        <v/>
      </c>
      <c r="O1767" s="0" t="str">
        <f aca="false">IF(AND(COUNTA($A1767:$J1767)&gt;0,OR(클레임조회!$C$4="",AND(ISNUMBER($B1767),$B1767&gt;=클레임조회!$C$4)),OR(클레임조회!$C$5="",AND(ISNUMBER($B1767),$B1767&lt;=클레임조회!$C$5)),OR(클레임조회!$C$6="",$C1767=클레임조회!$C$6),OR(클레임조회!$C$7="",$D1767=클레임조회!$C$7),OR(클레임조회!$C$8="",$E1767=클레임조회!$C$8),OR(클레임조회!$C$9="",$F1767=클레임조회!$C$9),OR(클레임조회!$C$10="",ISNUMBER(SEARCH(클레임조회!$C$10,$C1767&amp;" "&amp;$F1767&amp;" "&amp;$G1767&amp;" "&amp;$H1767)))),COUNT(O$1:O1766)+1,"")</f>
        <v/>
      </c>
      <c r="P1767" s="0" t="str">
        <f aca="false">IF(AND(TRIM(C1767)&lt;&gt;"",COUNTIF(C$2:C1767,C1767)=1),MAX(P$1:P1766)+1,"")</f>
        <v/>
      </c>
      <c r="Q1767" s="0" t="str">
        <f aca="false">IF(AND(TRIM(F1767)&lt;&gt;"",COUNTIF(F$2:F1767,F1767)=1),MAX(Q$1:Q1766)+1,"")</f>
        <v/>
      </c>
    </row>
    <row r="1768" customFormat="false" ht="15" hidden="false" customHeight="false" outlineLevel="0" collapsed="false">
      <c r="A1768" s="9"/>
      <c r="B1768" s="10"/>
      <c r="C1768" s="11"/>
      <c r="D1768" s="11"/>
      <c r="E1768" s="11"/>
      <c r="F1768" s="11"/>
      <c r="G1768" s="12"/>
      <c r="H1768" s="12"/>
      <c r="I1768" s="10"/>
      <c r="J1768" s="12"/>
      <c r="K1768" s="13" t="str">
        <f aca="false">IF(ISNUMBER(B1768),YEAR(B1768),"")</f>
        <v/>
      </c>
      <c r="L1768" s="13" t="str">
        <f aca="false">IF(ISNUMBER(B1768),MONTH(B1768),"")</f>
        <v/>
      </c>
      <c r="M1768" s="13" t="str">
        <f aca="false">IF(AND(ISNUMBER(B1768),ISNUMBER(I1768)),B1768-I1768+1,"")</f>
        <v/>
      </c>
      <c r="N1768" s="14" t="str">
        <f aca="false">IF(B1768="","",IF(M1768="","시작일 미입력",IF(M1768&lt;1,"시작일 이전(확인)",IF(M1768=1,"1일째",IF(M1768=2,"2일째",IF(M1768=3,"3일째",IF(M1768&lt;=7,"일주일 이내",IF(M1768&lt;=14,"이주일 이내","15일 이후"))))))))</f>
        <v/>
      </c>
      <c r="O1768" s="0" t="str">
        <f aca="false">IF(AND(COUNTA($A1768:$J1768)&gt;0,OR(클레임조회!$C$4="",AND(ISNUMBER($B1768),$B1768&gt;=클레임조회!$C$4)),OR(클레임조회!$C$5="",AND(ISNUMBER($B1768),$B1768&lt;=클레임조회!$C$5)),OR(클레임조회!$C$6="",$C1768=클레임조회!$C$6),OR(클레임조회!$C$7="",$D1768=클레임조회!$C$7),OR(클레임조회!$C$8="",$E1768=클레임조회!$C$8),OR(클레임조회!$C$9="",$F1768=클레임조회!$C$9),OR(클레임조회!$C$10="",ISNUMBER(SEARCH(클레임조회!$C$10,$C1768&amp;" "&amp;$F1768&amp;" "&amp;$G1768&amp;" "&amp;$H1768)))),COUNT(O$1:O1767)+1,"")</f>
        <v/>
      </c>
      <c r="P1768" s="0" t="str">
        <f aca="false">IF(AND(TRIM(C1768)&lt;&gt;"",COUNTIF(C$2:C1768,C1768)=1),MAX(P$1:P1767)+1,"")</f>
        <v/>
      </c>
      <c r="Q1768" s="0" t="str">
        <f aca="false">IF(AND(TRIM(F1768)&lt;&gt;"",COUNTIF(F$2:F1768,F1768)=1),MAX(Q$1:Q1767)+1,"")</f>
        <v/>
      </c>
    </row>
    <row r="1769" customFormat="false" ht="15" hidden="false" customHeight="false" outlineLevel="0" collapsed="false">
      <c r="A1769" s="9"/>
      <c r="B1769" s="10"/>
      <c r="C1769" s="11"/>
      <c r="D1769" s="11"/>
      <c r="E1769" s="11"/>
      <c r="F1769" s="11"/>
      <c r="G1769" s="12"/>
      <c r="H1769" s="12"/>
      <c r="I1769" s="10"/>
      <c r="J1769" s="12"/>
      <c r="K1769" s="13" t="str">
        <f aca="false">IF(ISNUMBER(B1769),YEAR(B1769),"")</f>
        <v/>
      </c>
      <c r="L1769" s="13" t="str">
        <f aca="false">IF(ISNUMBER(B1769),MONTH(B1769),"")</f>
        <v/>
      </c>
      <c r="M1769" s="13" t="str">
        <f aca="false">IF(AND(ISNUMBER(B1769),ISNUMBER(I1769)),B1769-I1769+1,"")</f>
        <v/>
      </c>
      <c r="N1769" s="14" t="str">
        <f aca="false">IF(B1769="","",IF(M1769="","시작일 미입력",IF(M1769&lt;1,"시작일 이전(확인)",IF(M1769=1,"1일째",IF(M1769=2,"2일째",IF(M1769=3,"3일째",IF(M1769&lt;=7,"일주일 이내",IF(M1769&lt;=14,"이주일 이내","15일 이후"))))))))</f>
        <v/>
      </c>
      <c r="O1769" s="0" t="str">
        <f aca="false">IF(AND(COUNTA($A1769:$J1769)&gt;0,OR(클레임조회!$C$4="",AND(ISNUMBER($B1769),$B1769&gt;=클레임조회!$C$4)),OR(클레임조회!$C$5="",AND(ISNUMBER($B1769),$B1769&lt;=클레임조회!$C$5)),OR(클레임조회!$C$6="",$C1769=클레임조회!$C$6),OR(클레임조회!$C$7="",$D1769=클레임조회!$C$7),OR(클레임조회!$C$8="",$E1769=클레임조회!$C$8),OR(클레임조회!$C$9="",$F1769=클레임조회!$C$9),OR(클레임조회!$C$10="",ISNUMBER(SEARCH(클레임조회!$C$10,$C1769&amp;" "&amp;$F1769&amp;" "&amp;$G1769&amp;" "&amp;$H1769)))),COUNT(O$1:O1768)+1,"")</f>
        <v/>
      </c>
      <c r="P1769" s="0" t="str">
        <f aca="false">IF(AND(TRIM(C1769)&lt;&gt;"",COUNTIF(C$2:C1769,C1769)=1),MAX(P$1:P1768)+1,"")</f>
        <v/>
      </c>
      <c r="Q1769" s="0" t="str">
        <f aca="false">IF(AND(TRIM(F1769)&lt;&gt;"",COUNTIF(F$2:F1769,F1769)=1),MAX(Q$1:Q1768)+1,"")</f>
        <v/>
      </c>
    </row>
    <row r="1770" customFormat="false" ht="15" hidden="false" customHeight="false" outlineLevel="0" collapsed="false">
      <c r="A1770" s="9"/>
      <c r="B1770" s="10"/>
      <c r="C1770" s="11"/>
      <c r="D1770" s="11"/>
      <c r="E1770" s="11"/>
      <c r="F1770" s="11"/>
      <c r="G1770" s="12"/>
      <c r="H1770" s="12"/>
      <c r="I1770" s="10"/>
      <c r="J1770" s="12"/>
      <c r="K1770" s="13" t="str">
        <f aca="false">IF(ISNUMBER(B1770),YEAR(B1770),"")</f>
        <v/>
      </c>
      <c r="L1770" s="13" t="str">
        <f aca="false">IF(ISNUMBER(B1770),MONTH(B1770),"")</f>
        <v/>
      </c>
      <c r="M1770" s="13" t="str">
        <f aca="false">IF(AND(ISNUMBER(B1770),ISNUMBER(I1770)),B1770-I1770+1,"")</f>
        <v/>
      </c>
      <c r="N1770" s="14" t="str">
        <f aca="false">IF(B1770="","",IF(M1770="","시작일 미입력",IF(M1770&lt;1,"시작일 이전(확인)",IF(M1770=1,"1일째",IF(M1770=2,"2일째",IF(M1770=3,"3일째",IF(M1770&lt;=7,"일주일 이내",IF(M1770&lt;=14,"이주일 이내","15일 이후"))))))))</f>
        <v/>
      </c>
      <c r="O1770" s="0" t="str">
        <f aca="false">IF(AND(COUNTA($A1770:$J1770)&gt;0,OR(클레임조회!$C$4="",AND(ISNUMBER($B1770),$B1770&gt;=클레임조회!$C$4)),OR(클레임조회!$C$5="",AND(ISNUMBER($B1770),$B1770&lt;=클레임조회!$C$5)),OR(클레임조회!$C$6="",$C1770=클레임조회!$C$6),OR(클레임조회!$C$7="",$D1770=클레임조회!$C$7),OR(클레임조회!$C$8="",$E1770=클레임조회!$C$8),OR(클레임조회!$C$9="",$F1770=클레임조회!$C$9),OR(클레임조회!$C$10="",ISNUMBER(SEARCH(클레임조회!$C$10,$C1770&amp;" "&amp;$F1770&amp;" "&amp;$G1770&amp;" "&amp;$H1770)))),COUNT(O$1:O1769)+1,"")</f>
        <v/>
      </c>
      <c r="P1770" s="0" t="str">
        <f aca="false">IF(AND(TRIM(C1770)&lt;&gt;"",COUNTIF(C$2:C1770,C1770)=1),MAX(P$1:P1769)+1,"")</f>
        <v/>
      </c>
      <c r="Q1770" s="0" t="str">
        <f aca="false">IF(AND(TRIM(F1770)&lt;&gt;"",COUNTIF(F$2:F1770,F1770)=1),MAX(Q$1:Q1769)+1,"")</f>
        <v/>
      </c>
    </row>
    <row r="1771" customFormat="false" ht="15" hidden="false" customHeight="false" outlineLevel="0" collapsed="false">
      <c r="A1771" s="9"/>
      <c r="B1771" s="10"/>
      <c r="C1771" s="11"/>
      <c r="D1771" s="11"/>
      <c r="E1771" s="11"/>
      <c r="F1771" s="11"/>
      <c r="G1771" s="12"/>
      <c r="H1771" s="12"/>
      <c r="I1771" s="10"/>
      <c r="J1771" s="12"/>
      <c r="K1771" s="13" t="str">
        <f aca="false">IF(ISNUMBER(B1771),YEAR(B1771),"")</f>
        <v/>
      </c>
      <c r="L1771" s="13" t="str">
        <f aca="false">IF(ISNUMBER(B1771),MONTH(B1771),"")</f>
        <v/>
      </c>
      <c r="M1771" s="13" t="str">
        <f aca="false">IF(AND(ISNUMBER(B1771),ISNUMBER(I1771)),B1771-I1771+1,"")</f>
        <v/>
      </c>
      <c r="N1771" s="14" t="str">
        <f aca="false">IF(B1771="","",IF(M1771="","시작일 미입력",IF(M1771&lt;1,"시작일 이전(확인)",IF(M1771=1,"1일째",IF(M1771=2,"2일째",IF(M1771=3,"3일째",IF(M1771&lt;=7,"일주일 이내",IF(M1771&lt;=14,"이주일 이내","15일 이후"))))))))</f>
        <v/>
      </c>
      <c r="O1771" s="0" t="str">
        <f aca="false">IF(AND(COUNTA($A1771:$J1771)&gt;0,OR(클레임조회!$C$4="",AND(ISNUMBER($B1771),$B1771&gt;=클레임조회!$C$4)),OR(클레임조회!$C$5="",AND(ISNUMBER($B1771),$B1771&lt;=클레임조회!$C$5)),OR(클레임조회!$C$6="",$C1771=클레임조회!$C$6),OR(클레임조회!$C$7="",$D1771=클레임조회!$C$7),OR(클레임조회!$C$8="",$E1771=클레임조회!$C$8),OR(클레임조회!$C$9="",$F1771=클레임조회!$C$9),OR(클레임조회!$C$10="",ISNUMBER(SEARCH(클레임조회!$C$10,$C1771&amp;" "&amp;$F1771&amp;" "&amp;$G1771&amp;" "&amp;$H1771)))),COUNT(O$1:O1770)+1,"")</f>
        <v/>
      </c>
      <c r="P1771" s="0" t="str">
        <f aca="false">IF(AND(TRIM(C1771)&lt;&gt;"",COUNTIF(C$2:C1771,C1771)=1),MAX(P$1:P1770)+1,"")</f>
        <v/>
      </c>
      <c r="Q1771" s="0" t="str">
        <f aca="false">IF(AND(TRIM(F1771)&lt;&gt;"",COUNTIF(F$2:F1771,F1771)=1),MAX(Q$1:Q1770)+1,"")</f>
        <v/>
      </c>
    </row>
    <row r="1772" customFormat="false" ht="15" hidden="false" customHeight="false" outlineLevel="0" collapsed="false">
      <c r="A1772" s="9"/>
      <c r="B1772" s="10"/>
      <c r="C1772" s="11"/>
      <c r="D1772" s="11"/>
      <c r="E1772" s="11"/>
      <c r="F1772" s="11"/>
      <c r="G1772" s="12"/>
      <c r="H1772" s="12"/>
      <c r="I1772" s="10"/>
      <c r="J1772" s="12"/>
      <c r="K1772" s="13" t="str">
        <f aca="false">IF(ISNUMBER(B1772),YEAR(B1772),"")</f>
        <v/>
      </c>
      <c r="L1772" s="13" t="str">
        <f aca="false">IF(ISNUMBER(B1772),MONTH(B1772),"")</f>
        <v/>
      </c>
      <c r="M1772" s="13" t="str">
        <f aca="false">IF(AND(ISNUMBER(B1772),ISNUMBER(I1772)),B1772-I1772+1,"")</f>
        <v/>
      </c>
      <c r="N1772" s="14" t="str">
        <f aca="false">IF(B1772="","",IF(M1772="","시작일 미입력",IF(M1772&lt;1,"시작일 이전(확인)",IF(M1772=1,"1일째",IF(M1772=2,"2일째",IF(M1772=3,"3일째",IF(M1772&lt;=7,"일주일 이내",IF(M1772&lt;=14,"이주일 이내","15일 이후"))))))))</f>
        <v/>
      </c>
      <c r="O1772" s="0" t="str">
        <f aca="false">IF(AND(COUNTA($A1772:$J1772)&gt;0,OR(클레임조회!$C$4="",AND(ISNUMBER($B1772),$B1772&gt;=클레임조회!$C$4)),OR(클레임조회!$C$5="",AND(ISNUMBER($B1772),$B1772&lt;=클레임조회!$C$5)),OR(클레임조회!$C$6="",$C1772=클레임조회!$C$6),OR(클레임조회!$C$7="",$D1772=클레임조회!$C$7),OR(클레임조회!$C$8="",$E1772=클레임조회!$C$8),OR(클레임조회!$C$9="",$F1772=클레임조회!$C$9),OR(클레임조회!$C$10="",ISNUMBER(SEARCH(클레임조회!$C$10,$C1772&amp;" "&amp;$F1772&amp;" "&amp;$G1772&amp;" "&amp;$H1772)))),COUNT(O$1:O1771)+1,"")</f>
        <v/>
      </c>
      <c r="P1772" s="0" t="str">
        <f aca="false">IF(AND(TRIM(C1772)&lt;&gt;"",COUNTIF(C$2:C1772,C1772)=1),MAX(P$1:P1771)+1,"")</f>
        <v/>
      </c>
      <c r="Q1772" s="0" t="str">
        <f aca="false">IF(AND(TRIM(F1772)&lt;&gt;"",COUNTIF(F$2:F1772,F1772)=1),MAX(Q$1:Q1771)+1,"")</f>
        <v/>
      </c>
    </row>
    <row r="1773" customFormat="false" ht="15" hidden="false" customHeight="false" outlineLevel="0" collapsed="false">
      <c r="A1773" s="9"/>
      <c r="B1773" s="10"/>
      <c r="C1773" s="11"/>
      <c r="D1773" s="11"/>
      <c r="E1773" s="11"/>
      <c r="F1773" s="11"/>
      <c r="G1773" s="12"/>
      <c r="H1773" s="12"/>
      <c r="I1773" s="10"/>
      <c r="J1773" s="12"/>
      <c r="K1773" s="13" t="str">
        <f aca="false">IF(ISNUMBER(B1773),YEAR(B1773),"")</f>
        <v/>
      </c>
      <c r="L1773" s="13" t="str">
        <f aca="false">IF(ISNUMBER(B1773),MONTH(B1773),"")</f>
        <v/>
      </c>
      <c r="M1773" s="13" t="str">
        <f aca="false">IF(AND(ISNUMBER(B1773),ISNUMBER(I1773)),B1773-I1773+1,"")</f>
        <v/>
      </c>
      <c r="N1773" s="14" t="str">
        <f aca="false">IF(B1773="","",IF(M1773="","시작일 미입력",IF(M1773&lt;1,"시작일 이전(확인)",IF(M1773=1,"1일째",IF(M1773=2,"2일째",IF(M1773=3,"3일째",IF(M1773&lt;=7,"일주일 이내",IF(M1773&lt;=14,"이주일 이내","15일 이후"))))))))</f>
        <v/>
      </c>
      <c r="O1773" s="0" t="str">
        <f aca="false">IF(AND(COUNTA($A1773:$J1773)&gt;0,OR(클레임조회!$C$4="",AND(ISNUMBER($B1773),$B1773&gt;=클레임조회!$C$4)),OR(클레임조회!$C$5="",AND(ISNUMBER($B1773),$B1773&lt;=클레임조회!$C$5)),OR(클레임조회!$C$6="",$C1773=클레임조회!$C$6),OR(클레임조회!$C$7="",$D1773=클레임조회!$C$7),OR(클레임조회!$C$8="",$E1773=클레임조회!$C$8),OR(클레임조회!$C$9="",$F1773=클레임조회!$C$9),OR(클레임조회!$C$10="",ISNUMBER(SEARCH(클레임조회!$C$10,$C1773&amp;" "&amp;$F1773&amp;" "&amp;$G1773&amp;" "&amp;$H1773)))),COUNT(O$1:O1772)+1,"")</f>
        <v/>
      </c>
      <c r="P1773" s="0" t="str">
        <f aca="false">IF(AND(TRIM(C1773)&lt;&gt;"",COUNTIF(C$2:C1773,C1773)=1),MAX(P$1:P1772)+1,"")</f>
        <v/>
      </c>
      <c r="Q1773" s="0" t="str">
        <f aca="false">IF(AND(TRIM(F1773)&lt;&gt;"",COUNTIF(F$2:F1773,F1773)=1),MAX(Q$1:Q1772)+1,"")</f>
        <v/>
      </c>
    </row>
    <row r="1774" customFormat="false" ht="15" hidden="false" customHeight="false" outlineLevel="0" collapsed="false">
      <c r="A1774" s="9"/>
      <c r="B1774" s="10"/>
      <c r="C1774" s="11"/>
      <c r="D1774" s="11"/>
      <c r="E1774" s="11"/>
      <c r="F1774" s="11"/>
      <c r="G1774" s="12"/>
      <c r="H1774" s="12"/>
      <c r="I1774" s="10"/>
      <c r="J1774" s="12"/>
      <c r="K1774" s="13" t="str">
        <f aca="false">IF(ISNUMBER(B1774),YEAR(B1774),"")</f>
        <v/>
      </c>
      <c r="L1774" s="13" t="str">
        <f aca="false">IF(ISNUMBER(B1774),MONTH(B1774),"")</f>
        <v/>
      </c>
      <c r="M1774" s="13" t="str">
        <f aca="false">IF(AND(ISNUMBER(B1774),ISNUMBER(I1774)),B1774-I1774+1,"")</f>
        <v/>
      </c>
      <c r="N1774" s="14" t="str">
        <f aca="false">IF(B1774="","",IF(M1774="","시작일 미입력",IF(M1774&lt;1,"시작일 이전(확인)",IF(M1774=1,"1일째",IF(M1774=2,"2일째",IF(M1774=3,"3일째",IF(M1774&lt;=7,"일주일 이내",IF(M1774&lt;=14,"이주일 이내","15일 이후"))))))))</f>
        <v/>
      </c>
      <c r="O1774" s="0" t="str">
        <f aca="false">IF(AND(COUNTA($A1774:$J1774)&gt;0,OR(클레임조회!$C$4="",AND(ISNUMBER($B1774),$B1774&gt;=클레임조회!$C$4)),OR(클레임조회!$C$5="",AND(ISNUMBER($B1774),$B1774&lt;=클레임조회!$C$5)),OR(클레임조회!$C$6="",$C1774=클레임조회!$C$6),OR(클레임조회!$C$7="",$D1774=클레임조회!$C$7),OR(클레임조회!$C$8="",$E1774=클레임조회!$C$8),OR(클레임조회!$C$9="",$F1774=클레임조회!$C$9),OR(클레임조회!$C$10="",ISNUMBER(SEARCH(클레임조회!$C$10,$C1774&amp;" "&amp;$F1774&amp;" "&amp;$G1774&amp;" "&amp;$H1774)))),COUNT(O$1:O1773)+1,"")</f>
        <v/>
      </c>
      <c r="P1774" s="0" t="str">
        <f aca="false">IF(AND(TRIM(C1774)&lt;&gt;"",COUNTIF(C$2:C1774,C1774)=1),MAX(P$1:P1773)+1,"")</f>
        <v/>
      </c>
      <c r="Q1774" s="0" t="str">
        <f aca="false">IF(AND(TRIM(F1774)&lt;&gt;"",COUNTIF(F$2:F1774,F1774)=1),MAX(Q$1:Q1773)+1,"")</f>
        <v/>
      </c>
    </row>
    <row r="1775" customFormat="false" ht="15" hidden="false" customHeight="false" outlineLevel="0" collapsed="false">
      <c r="A1775" s="9"/>
      <c r="B1775" s="10"/>
      <c r="C1775" s="11"/>
      <c r="D1775" s="11"/>
      <c r="E1775" s="11"/>
      <c r="F1775" s="11"/>
      <c r="G1775" s="12"/>
      <c r="H1775" s="12"/>
      <c r="I1775" s="10"/>
      <c r="J1775" s="12"/>
      <c r="K1775" s="13" t="str">
        <f aca="false">IF(ISNUMBER(B1775),YEAR(B1775),"")</f>
        <v/>
      </c>
      <c r="L1775" s="13" t="str">
        <f aca="false">IF(ISNUMBER(B1775),MONTH(B1775),"")</f>
        <v/>
      </c>
      <c r="M1775" s="13" t="str">
        <f aca="false">IF(AND(ISNUMBER(B1775),ISNUMBER(I1775)),B1775-I1775+1,"")</f>
        <v/>
      </c>
      <c r="N1775" s="14" t="str">
        <f aca="false">IF(B1775="","",IF(M1775="","시작일 미입력",IF(M1775&lt;1,"시작일 이전(확인)",IF(M1775=1,"1일째",IF(M1775=2,"2일째",IF(M1775=3,"3일째",IF(M1775&lt;=7,"일주일 이내",IF(M1775&lt;=14,"이주일 이내","15일 이후"))))))))</f>
        <v/>
      </c>
      <c r="O1775" s="0" t="str">
        <f aca="false">IF(AND(COUNTA($A1775:$J1775)&gt;0,OR(클레임조회!$C$4="",AND(ISNUMBER($B1775),$B1775&gt;=클레임조회!$C$4)),OR(클레임조회!$C$5="",AND(ISNUMBER($B1775),$B1775&lt;=클레임조회!$C$5)),OR(클레임조회!$C$6="",$C1775=클레임조회!$C$6),OR(클레임조회!$C$7="",$D1775=클레임조회!$C$7),OR(클레임조회!$C$8="",$E1775=클레임조회!$C$8),OR(클레임조회!$C$9="",$F1775=클레임조회!$C$9),OR(클레임조회!$C$10="",ISNUMBER(SEARCH(클레임조회!$C$10,$C1775&amp;" "&amp;$F1775&amp;" "&amp;$G1775&amp;" "&amp;$H1775)))),COUNT(O$1:O1774)+1,"")</f>
        <v/>
      </c>
      <c r="P1775" s="0" t="str">
        <f aca="false">IF(AND(TRIM(C1775)&lt;&gt;"",COUNTIF(C$2:C1775,C1775)=1),MAX(P$1:P1774)+1,"")</f>
        <v/>
      </c>
      <c r="Q1775" s="0" t="str">
        <f aca="false">IF(AND(TRIM(F1775)&lt;&gt;"",COUNTIF(F$2:F1775,F1775)=1),MAX(Q$1:Q1774)+1,"")</f>
        <v/>
      </c>
    </row>
    <row r="1776" customFormat="false" ht="15" hidden="false" customHeight="false" outlineLevel="0" collapsed="false">
      <c r="A1776" s="9"/>
      <c r="B1776" s="10"/>
      <c r="C1776" s="11"/>
      <c r="D1776" s="11"/>
      <c r="E1776" s="11"/>
      <c r="F1776" s="11"/>
      <c r="G1776" s="12"/>
      <c r="H1776" s="12"/>
      <c r="I1776" s="10"/>
      <c r="J1776" s="12"/>
      <c r="K1776" s="13" t="str">
        <f aca="false">IF(ISNUMBER(B1776),YEAR(B1776),"")</f>
        <v/>
      </c>
      <c r="L1776" s="13" t="str">
        <f aca="false">IF(ISNUMBER(B1776),MONTH(B1776),"")</f>
        <v/>
      </c>
      <c r="M1776" s="13" t="str">
        <f aca="false">IF(AND(ISNUMBER(B1776),ISNUMBER(I1776)),B1776-I1776+1,"")</f>
        <v/>
      </c>
      <c r="N1776" s="14" t="str">
        <f aca="false">IF(B1776="","",IF(M1776="","시작일 미입력",IF(M1776&lt;1,"시작일 이전(확인)",IF(M1776=1,"1일째",IF(M1776=2,"2일째",IF(M1776=3,"3일째",IF(M1776&lt;=7,"일주일 이내",IF(M1776&lt;=14,"이주일 이내","15일 이후"))))))))</f>
        <v/>
      </c>
      <c r="O1776" s="0" t="str">
        <f aca="false">IF(AND(COUNTA($A1776:$J1776)&gt;0,OR(클레임조회!$C$4="",AND(ISNUMBER($B1776),$B1776&gt;=클레임조회!$C$4)),OR(클레임조회!$C$5="",AND(ISNUMBER($B1776),$B1776&lt;=클레임조회!$C$5)),OR(클레임조회!$C$6="",$C1776=클레임조회!$C$6),OR(클레임조회!$C$7="",$D1776=클레임조회!$C$7),OR(클레임조회!$C$8="",$E1776=클레임조회!$C$8),OR(클레임조회!$C$9="",$F1776=클레임조회!$C$9),OR(클레임조회!$C$10="",ISNUMBER(SEARCH(클레임조회!$C$10,$C1776&amp;" "&amp;$F1776&amp;" "&amp;$G1776&amp;" "&amp;$H1776)))),COUNT(O$1:O1775)+1,"")</f>
        <v/>
      </c>
      <c r="P1776" s="0" t="str">
        <f aca="false">IF(AND(TRIM(C1776)&lt;&gt;"",COUNTIF(C$2:C1776,C1776)=1),MAX(P$1:P1775)+1,"")</f>
        <v/>
      </c>
      <c r="Q1776" s="0" t="str">
        <f aca="false">IF(AND(TRIM(F1776)&lt;&gt;"",COUNTIF(F$2:F1776,F1776)=1),MAX(Q$1:Q1775)+1,"")</f>
        <v/>
      </c>
    </row>
    <row r="1777" customFormat="false" ht="15" hidden="false" customHeight="false" outlineLevel="0" collapsed="false">
      <c r="A1777" s="9"/>
      <c r="B1777" s="10"/>
      <c r="C1777" s="11"/>
      <c r="D1777" s="11"/>
      <c r="E1777" s="11"/>
      <c r="F1777" s="11"/>
      <c r="G1777" s="12"/>
      <c r="H1777" s="12"/>
      <c r="I1777" s="10"/>
      <c r="J1777" s="12"/>
      <c r="K1777" s="13" t="str">
        <f aca="false">IF(ISNUMBER(B1777),YEAR(B1777),"")</f>
        <v/>
      </c>
      <c r="L1777" s="13" t="str">
        <f aca="false">IF(ISNUMBER(B1777),MONTH(B1777),"")</f>
        <v/>
      </c>
      <c r="M1777" s="13" t="str">
        <f aca="false">IF(AND(ISNUMBER(B1777),ISNUMBER(I1777)),B1777-I1777+1,"")</f>
        <v/>
      </c>
      <c r="N1777" s="14" t="str">
        <f aca="false">IF(B1777="","",IF(M1777="","시작일 미입력",IF(M1777&lt;1,"시작일 이전(확인)",IF(M1777=1,"1일째",IF(M1777=2,"2일째",IF(M1777=3,"3일째",IF(M1777&lt;=7,"일주일 이내",IF(M1777&lt;=14,"이주일 이내","15일 이후"))))))))</f>
        <v/>
      </c>
      <c r="O1777" s="0" t="str">
        <f aca="false">IF(AND(COUNTA($A1777:$J1777)&gt;0,OR(클레임조회!$C$4="",AND(ISNUMBER($B1777),$B1777&gt;=클레임조회!$C$4)),OR(클레임조회!$C$5="",AND(ISNUMBER($B1777),$B1777&lt;=클레임조회!$C$5)),OR(클레임조회!$C$6="",$C1777=클레임조회!$C$6),OR(클레임조회!$C$7="",$D1777=클레임조회!$C$7),OR(클레임조회!$C$8="",$E1777=클레임조회!$C$8),OR(클레임조회!$C$9="",$F1777=클레임조회!$C$9),OR(클레임조회!$C$10="",ISNUMBER(SEARCH(클레임조회!$C$10,$C1777&amp;" "&amp;$F1777&amp;" "&amp;$G1777&amp;" "&amp;$H1777)))),COUNT(O$1:O1776)+1,"")</f>
        <v/>
      </c>
      <c r="P1777" s="0" t="str">
        <f aca="false">IF(AND(TRIM(C1777)&lt;&gt;"",COUNTIF(C$2:C1777,C1777)=1),MAX(P$1:P1776)+1,"")</f>
        <v/>
      </c>
      <c r="Q1777" s="0" t="str">
        <f aca="false">IF(AND(TRIM(F1777)&lt;&gt;"",COUNTIF(F$2:F1777,F1777)=1),MAX(Q$1:Q1776)+1,"")</f>
        <v/>
      </c>
    </row>
    <row r="1778" customFormat="false" ht="15" hidden="false" customHeight="false" outlineLevel="0" collapsed="false">
      <c r="A1778" s="9"/>
      <c r="B1778" s="10"/>
      <c r="C1778" s="11"/>
      <c r="D1778" s="11"/>
      <c r="E1778" s="11"/>
      <c r="F1778" s="11"/>
      <c r="G1778" s="12"/>
      <c r="H1778" s="12"/>
      <c r="I1778" s="10"/>
      <c r="J1778" s="12"/>
      <c r="K1778" s="13" t="str">
        <f aca="false">IF(ISNUMBER(B1778),YEAR(B1778),"")</f>
        <v/>
      </c>
      <c r="L1778" s="13" t="str">
        <f aca="false">IF(ISNUMBER(B1778),MONTH(B1778),"")</f>
        <v/>
      </c>
      <c r="M1778" s="13" t="str">
        <f aca="false">IF(AND(ISNUMBER(B1778),ISNUMBER(I1778)),B1778-I1778+1,"")</f>
        <v/>
      </c>
      <c r="N1778" s="14" t="str">
        <f aca="false">IF(B1778="","",IF(M1778="","시작일 미입력",IF(M1778&lt;1,"시작일 이전(확인)",IF(M1778=1,"1일째",IF(M1778=2,"2일째",IF(M1778=3,"3일째",IF(M1778&lt;=7,"일주일 이내",IF(M1778&lt;=14,"이주일 이내","15일 이후"))))))))</f>
        <v/>
      </c>
      <c r="O1778" s="0" t="str">
        <f aca="false">IF(AND(COUNTA($A1778:$J1778)&gt;0,OR(클레임조회!$C$4="",AND(ISNUMBER($B1778),$B1778&gt;=클레임조회!$C$4)),OR(클레임조회!$C$5="",AND(ISNUMBER($B1778),$B1778&lt;=클레임조회!$C$5)),OR(클레임조회!$C$6="",$C1778=클레임조회!$C$6),OR(클레임조회!$C$7="",$D1778=클레임조회!$C$7),OR(클레임조회!$C$8="",$E1778=클레임조회!$C$8),OR(클레임조회!$C$9="",$F1778=클레임조회!$C$9),OR(클레임조회!$C$10="",ISNUMBER(SEARCH(클레임조회!$C$10,$C1778&amp;" "&amp;$F1778&amp;" "&amp;$G1778&amp;" "&amp;$H1778)))),COUNT(O$1:O1777)+1,"")</f>
        <v/>
      </c>
      <c r="P1778" s="0" t="str">
        <f aca="false">IF(AND(TRIM(C1778)&lt;&gt;"",COUNTIF(C$2:C1778,C1778)=1),MAX(P$1:P1777)+1,"")</f>
        <v/>
      </c>
      <c r="Q1778" s="0" t="str">
        <f aca="false">IF(AND(TRIM(F1778)&lt;&gt;"",COUNTIF(F$2:F1778,F1778)=1),MAX(Q$1:Q1777)+1,"")</f>
        <v/>
      </c>
    </row>
    <row r="1779" customFormat="false" ht="15" hidden="false" customHeight="false" outlineLevel="0" collapsed="false">
      <c r="A1779" s="9"/>
      <c r="B1779" s="10"/>
      <c r="C1779" s="11"/>
      <c r="D1779" s="11"/>
      <c r="E1779" s="11"/>
      <c r="F1779" s="11"/>
      <c r="G1779" s="12"/>
      <c r="H1779" s="12"/>
      <c r="I1779" s="10"/>
      <c r="J1779" s="12"/>
      <c r="K1779" s="13" t="str">
        <f aca="false">IF(ISNUMBER(B1779),YEAR(B1779),"")</f>
        <v/>
      </c>
      <c r="L1779" s="13" t="str">
        <f aca="false">IF(ISNUMBER(B1779),MONTH(B1779),"")</f>
        <v/>
      </c>
      <c r="M1779" s="13" t="str">
        <f aca="false">IF(AND(ISNUMBER(B1779),ISNUMBER(I1779)),B1779-I1779+1,"")</f>
        <v/>
      </c>
      <c r="N1779" s="14" t="str">
        <f aca="false">IF(B1779="","",IF(M1779="","시작일 미입력",IF(M1779&lt;1,"시작일 이전(확인)",IF(M1779=1,"1일째",IF(M1779=2,"2일째",IF(M1779=3,"3일째",IF(M1779&lt;=7,"일주일 이내",IF(M1779&lt;=14,"이주일 이내","15일 이후"))))))))</f>
        <v/>
      </c>
      <c r="O1779" s="0" t="str">
        <f aca="false">IF(AND(COUNTA($A1779:$J1779)&gt;0,OR(클레임조회!$C$4="",AND(ISNUMBER($B1779),$B1779&gt;=클레임조회!$C$4)),OR(클레임조회!$C$5="",AND(ISNUMBER($B1779),$B1779&lt;=클레임조회!$C$5)),OR(클레임조회!$C$6="",$C1779=클레임조회!$C$6),OR(클레임조회!$C$7="",$D1779=클레임조회!$C$7),OR(클레임조회!$C$8="",$E1779=클레임조회!$C$8),OR(클레임조회!$C$9="",$F1779=클레임조회!$C$9),OR(클레임조회!$C$10="",ISNUMBER(SEARCH(클레임조회!$C$10,$C1779&amp;" "&amp;$F1779&amp;" "&amp;$G1779&amp;" "&amp;$H1779)))),COUNT(O$1:O1778)+1,"")</f>
        <v/>
      </c>
      <c r="P1779" s="0" t="str">
        <f aca="false">IF(AND(TRIM(C1779)&lt;&gt;"",COUNTIF(C$2:C1779,C1779)=1),MAX(P$1:P1778)+1,"")</f>
        <v/>
      </c>
      <c r="Q1779" s="0" t="str">
        <f aca="false">IF(AND(TRIM(F1779)&lt;&gt;"",COUNTIF(F$2:F1779,F1779)=1),MAX(Q$1:Q1778)+1,"")</f>
        <v/>
      </c>
    </row>
    <row r="1780" customFormat="false" ht="15" hidden="false" customHeight="false" outlineLevel="0" collapsed="false">
      <c r="A1780" s="9"/>
      <c r="B1780" s="10"/>
      <c r="C1780" s="11"/>
      <c r="D1780" s="11"/>
      <c r="E1780" s="11"/>
      <c r="F1780" s="11"/>
      <c r="G1780" s="12"/>
      <c r="H1780" s="12"/>
      <c r="I1780" s="10"/>
      <c r="J1780" s="12"/>
      <c r="K1780" s="13" t="str">
        <f aca="false">IF(ISNUMBER(B1780),YEAR(B1780),"")</f>
        <v/>
      </c>
      <c r="L1780" s="13" t="str">
        <f aca="false">IF(ISNUMBER(B1780),MONTH(B1780),"")</f>
        <v/>
      </c>
      <c r="M1780" s="13" t="str">
        <f aca="false">IF(AND(ISNUMBER(B1780),ISNUMBER(I1780)),B1780-I1780+1,"")</f>
        <v/>
      </c>
      <c r="N1780" s="14" t="str">
        <f aca="false">IF(B1780="","",IF(M1780="","시작일 미입력",IF(M1780&lt;1,"시작일 이전(확인)",IF(M1780=1,"1일째",IF(M1780=2,"2일째",IF(M1780=3,"3일째",IF(M1780&lt;=7,"일주일 이내",IF(M1780&lt;=14,"이주일 이내","15일 이후"))))))))</f>
        <v/>
      </c>
      <c r="O1780" s="0" t="str">
        <f aca="false">IF(AND(COUNTA($A1780:$J1780)&gt;0,OR(클레임조회!$C$4="",AND(ISNUMBER($B1780),$B1780&gt;=클레임조회!$C$4)),OR(클레임조회!$C$5="",AND(ISNUMBER($B1780),$B1780&lt;=클레임조회!$C$5)),OR(클레임조회!$C$6="",$C1780=클레임조회!$C$6),OR(클레임조회!$C$7="",$D1780=클레임조회!$C$7),OR(클레임조회!$C$8="",$E1780=클레임조회!$C$8),OR(클레임조회!$C$9="",$F1780=클레임조회!$C$9),OR(클레임조회!$C$10="",ISNUMBER(SEARCH(클레임조회!$C$10,$C1780&amp;" "&amp;$F1780&amp;" "&amp;$G1780&amp;" "&amp;$H1780)))),COUNT(O$1:O1779)+1,"")</f>
        <v/>
      </c>
      <c r="P1780" s="0" t="str">
        <f aca="false">IF(AND(TRIM(C1780)&lt;&gt;"",COUNTIF(C$2:C1780,C1780)=1),MAX(P$1:P1779)+1,"")</f>
        <v/>
      </c>
      <c r="Q1780" s="0" t="str">
        <f aca="false">IF(AND(TRIM(F1780)&lt;&gt;"",COUNTIF(F$2:F1780,F1780)=1),MAX(Q$1:Q1779)+1,"")</f>
        <v/>
      </c>
    </row>
    <row r="1781" customFormat="false" ht="15" hidden="false" customHeight="false" outlineLevel="0" collapsed="false">
      <c r="A1781" s="9"/>
      <c r="B1781" s="10"/>
      <c r="C1781" s="11"/>
      <c r="D1781" s="11"/>
      <c r="E1781" s="11"/>
      <c r="F1781" s="11"/>
      <c r="G1781" s="12"/>
      <c r="H1781" s="12"/>
      <c r="I1781" s="10"/>
      <c r="J1781" s="12"/>
      <c r="K1781" s="13" t="str">
        <f aca="false">IF(ISNUMBER(B1781),YEAR(B1781),"")</f>
        <v/>
      </c>
      <c r="L1781" s="13" t="str">
        <f aca="false">IF(ISNUMBER(B1781),MONTH(B1781),"")</f>
        <v/>
      </c>
      <c r="M1781" s="13" t="str">
        <f aca="false">IF(AND(ISNUMBER(B1781),ISNUMBER(I1781)),B1781-I1781+1,"")</f>
        <v/>
      </c>
      <c r="N1781" s="14" t="str">
        <f aca="false">IF(B1781="","",IF(M1781="","시작일 미입력",IF(M1781&lt;1,"시작일 이전(확인)",IF(M1781=1,"1일째",IF(M1781=2,"2일째",IF(M1781=3,"3일째",IF(M1781&lt;=7,"일주일 이내",IF(M1781&lt;=14,"이주일 이내","15일 이후"))))))))</f>
        <v/>
      </c>
      <c r="O1781" s="0" t="str">
        <f aca="false">IF(AND(COUNTA($A1781:$J1781)&gt;0,OR(클레임조회!$C$4="",AND(ISNUMBER($B1781),$B1781&gt;=클레임조회!$C$4)),OR(클레임조회!$C$5="",AND(ISNUMBER($B1781),$B1781&lt;=클레임조회!$C$5)),OR(클레임조회!$C$6="",$C1781=클레임조회!$C$6),OR(클레임조회!$C$7="",$D1781=클레임조회!$C$7),OR(클레임조회!$C$8="",$E1781=클레임조회!$C$8),OR(클레임조회!$C$9="",$F1781=클레임조회!$C$9),OR(클레임조회!$C$10="",ISNUMBER(SEARCH(클레임조회!$C$10,$C1781&amp;" "&amp;$F1781&amp;" "&amp;$G1781&amp;" "&amp;$H1781)))),COUNT(O$1:O1780)+1,"")</f>
        <v/>
      </c>
      <c r="P1781" s="0" t="str">
        <f aca="false">IF(AND(TRIM(C1781)&lt;&gt;"",COUNTIF(C$2:C1781,C1781)=1),MAX(P$1:P1780)+1,"")</f>
        <v/>
      </c>
      <c r="Q1781" s="0" t="str">
        <f aca="false">IF(AND(TRIM(F1781)&lt;&gt;"",COUNTIF(F$2:F1781,F1781)=1),MAX(Q$1:Q1780)+1,"")</f>
        <v/>
      </c>
    </row>
    <row r="1782" customFormat="false" ht="15" hidden="false" customHeight="false" outlineLevel="0" collapsed="false">
      <c r="A1782" s="9"/>
      <c r="B1782" s="10"/>
      <c r="C1782" s="11"/>
      <c r="D1782" s="11"/>
      <c r="E1782" s="11"/>
      <c r="F1782" s="11"/>
      <c r="G1782" s="12"/>
      <c r="H1782" s="12"/>
      <c r="I1782" s="10"/>
      <c r="J1782" s="12"/>
      <c r="K1782" s="13" t="str">
        <f aca="false">IF(ISNUMBER(B1782),YEAR(B1782),"")</f>
        <v/>
      </c>
      <c r="L1782" s="13" t="str">
        <f aca="false">IF(ISNUMBER(B1782),MONTH(B1782),"")</f>
        <v/>
      </c>
      <c r="M1782" s="13" t="str">
        <f aca="false">IF(AND(ISNUMBER(B1782),ISNUMBER(I1782)),B1782-I1782+1,"")</f>
        <v/>
      </c>
      <c r="N1782" s="14" t="str">
        <f aca="false">IF(B1782="","",IF(M1782="","시작일 미입력",IF(M1782&lt;1,"시작일 이전(확인)",IF(M1782=1,"1일째",IF(M1782=2,"2일째",IF(M1782=3,"3일째",IF(M1782&lt;=7,"일주일 이내",IF(M1782&lt;=14,"이주일 이내","15일 이후"))))))))</f>
        <v/>
      </c>
      <c r="O1782" s="0" t="str">
        <f aca="false">IF(AND(COUNTA($A1782:$J1782)&gt;0,OR(클레임조회!$C$4="",AND(ISNUMBER($B1782),$B1782&gt;=클레임조회!$C$4)),OR(클레임조회!$C$5="",AND(ISNUMBER($B1782),$B1782&lt;=클레임조회!$C$5)),OR(클레임조회!$C$6="",$C1782=클레임조회!$C$6),OR(클레임조회!$C$7="",$D1782=클레임조회!$C$7),OR(클레임조회!$C$8="",$E1782=클레임조회!$C$8),OR(클레임조회!$C$9="",$F1782=클레임조회!$C$9),OR(클레임조회!$C$10="",ISNUMBER(SEARCH(클레임조회!$C$10,$C1782&amp;" "&amp;$F1782&amp;" "&amp;$G1782&amp;" "&amp;$H1782)))),COUNT(O$1:O1781)+1,"")</f>
        <v/>
      </c>
      <c r="P1782" s="0" t="str">
        <f aca="false">IF(AND(TRIM(C1782)&lt;&gt;"",COUNTIF(C$2:C1782,C1782)=1),MAX(P$1:P1781)+1,"")</f>
        <v/>
      </c>
      <c r="Q1782" s="0" t="str">
        <f aca="false">IF(AND(TRIM(F1782)&lt;&gt;"",COUNTIF(F$2:F1782,F1782)=1),MAX(Q$1:Q1781)+1,"")</f>
        <v/>
      </c>
    </row>
    <row r="1783" customFormat="false" ht="15" hidden="false" customHeight="false" outlineLevel="0" collapsed="false">
      <c r="A1783" s="9"/>
      <c r="B1783" s="10"/>
      <c r="C1783" s="11"/>
      <c r="D1783" s="11"/>
      <c r="E1783" s="11"/>
      <c r="F1783" s="11"/>
      <c r="G1783" s="12"/>
      <c r="H1783" s="12"/>
      <c r="I1783" s="10"/>
      <c r="J1783" s="12"/>
      <c r="K1783" s="13" t="str">
        <f aca="false">IF(ISNUMBER(B1783),YEAR(B1783),"")</f>
        <v/>
      </c>
      <c r="L1783" s="13" t="str">
        <f aca="false">IF(ISNUMBER(B1783),MONTH(B1783),"")</f>
        <v/>
      </c>
      <c r="M1783" s="13" t="str">
        <f aca="false">IF(AND(ISNUMBER(B1783),ISNUMBER(I1783)),B1783-I1783+1,"")</f>
        <v/>
      </c>
      <c r="N1783" s="14" t="str">
        <f aca="false">IF(B1783="","",IF(M1783="","시작일 미입력",IF(M1783&lt;1,"시작일 이전(확인)",IF(M1783=1,"1일째",IF(M1783=2,"2일째",IF(M1783=3,"3일째",IF(M1783&lt;=7,"일주일 이내",IF(M1783&lt;=14,"이주일 이내","15일 이후"))))))))</f>
        <v/>
      </c>
      <c r="O1783" s="0" t="str">
        <f aca="false">IF(AND(COUNTA($A1783:$J1783)&gt;0,OR(클레임조회!$C$4="",AND(ISNUMBER($B1783),$B1783&gt;=클레임조회!$C$4)),OR(클레임조회!$C$5="",AND(ISNUMBER($B1783),$B1783&lt;=클레임조회!$C$5)),OR(클레임조회!$C$6="",$C1783=클레임조회!$C$6),OR(클레임조회!$C$7="",$D1783=클레임조회!$C$7),OR(클레임조회!$C$8="",$E1783=클레임조회!$C$8),OR(클레임조회!$C$9="",$F1783=클레임조회!$C$9),OR(클레임조회!$C$10="",ISNUMBER(SEARCH(클레임조회!$C$10,$C1783&amp;" "&amp;$F1783&amp;" "&amp;$G1783&amp;" "&amp;$H1783)))),COUNT(O$1:O1782)+1,"")</f>
        <v/>
      </c>
      <c r="P1783" s="0" t="str">
        <f aca="false">IF(AND(TRIM(C1783)&lt;&gt;"",COUNTIF(C$2:C1783,C1783)=1),MAX(P$1:P1782)+1,"")</f>
        <v/>
      </c>
      <c r="Q1783" s="0" t="str">
        <f aca="false">IF(AND(TRIM(F1783)&lt;&gt;"",COUNTIF(F$2:F1783,F1783)=1),MAX(Q$1:Q1782)+1,"")</f>
        <v/>
      </c>
    </row>
    <row r="1784" customFormat="false" ht="15" hidden="false" customHeight="false" outlineLevel="0" collapsed="false">
      <c r="A1784" s="9"/>
      <c r="B1784" s="10"/>
      <c r="C1784" s="11"/>
      <c r="D1784" s="11"/>
      <c r="E1784" s="11"/>
      <c r="F1784" s="11"/>
      <c r="G1784" s="12"/>
      <c r="H1784" s="12"/>
      <c r="I1784" s="10"/>
      <c r="J1784" s="12"/>
      <c r="K1784" s="13" t="str">
        <f aca="false">IF(ISNUMBER(B1784),YEAR(B1784),"")</f>
        <v/>
      </c>
      <c r="L1784" s="13" t="str">
        <f aca="false">IF(ISNUMBER(B1784),MONTH(B1784),"")</f>
        <v/>
      </c>
      <c r="M1784" s="13" t="str">
        <f aca="false">IF(AND(ISNUMBER(B1784),ISNUMBER(I1784)),B1784-I1784+1,"")</f>
        <v/>
      </c>
      <c r="N1784" s="14" t="str">
        <f aca="false">IF(B1784="","",IF(M1784="","시작일 미입력",IF(M1784&lt;1,"시작일 이전(확인)",IF(M1784=1,"1일째",IF(M1784=2,"2일째",IF(M1784=3,"3일째",IF(M1784&lt;=7,"일주일 이내",IF(M1784&lt;=14,"이주일 이내","15일 이후"))))))))</f>
        <v/>
      </c>
      <c r="O1784" s="0" t="str">
        <f aca="false">IF(AND(COUNTA($A1784:$J1784)&gt;0,OR(클레임조회!$C$4="",AND(ISNUMBER($B1784),$B1784&gt;=클레임조회!$C$4)),OR(클레임조회!$C$5="",AND(ISNUMBER($B1784),$B1784&lt;=클레임조회!$C$5)),OR(클레임조회!$C$6="",$C1784=클레임조회!$C$6),OR(클레임조회!$C$7="",$D1784=클레임조회!$C$7),OR(클레임조회!$C$8="",$E1784=클레임조회!$C$8),OR(클레임조회!$C$9="",$F1784=클레임조회!$C$9),OR(클레임조회!$C$10="",ISNUMBER(SEARCH(클레임조회!$C$10,$C1784&amp;" "&amp;$F1784&amp;" "&amp;$G1784&amp;" "&amp;$H1784)))),COUNT(O$1:O1783)+1,"")</f>
        <v/>
      </c>
      <c r="P1784" s="0" t="str">
        <f aca="false">IF(AND(TRIM(C1784)&lt;&gt;"",COUNTIF(C$2:C1784,C1784)=1),MAX(P$1:P1783)+1,"")</f>
        <v/>
      </c>
      <c r="Q1784" s="0" t="str">
        <f aca="false">IF(AND(TRIM(F1784)&lt;&gt;"",COUNTIF(F$2:F1784,F1784)=1),MAX(Q$1:Q1783)+1,"")</f>
        <v/>
      </c>
    </row>
    <row r="1785" customFormat="false" ht="15" hidden="false" customHeight="false" outlineLevel="0" collapsed="false">
      <c r="A1785" s="9"/>
      <c r="B1785" s="10"/>
      <c r="C1785" s="11"/>
      <c r="D1785" s="11"/>
      <c r="E1785" s="11"/>
      <c r="F1785" s="11"/>
      <c r="G1785" s="12"/>
      <c r="H1785" s="12"/>
      <c r="I1785" s="10"/>
      <c r="J1785" s="12"/>
      <c r="K1785" s="13" t="str">
        <f aca="false">IF(ISNUMBER(B1785),YEAR(B1785),"")</f>
        <v/>
      </c>
      <c r="L1785" s="13" t="str">
        <f aca="false">IF(ISNUMBER(B1785),MONTH(B1785),"")</f>
        <v/>
      </c>
      <c r="M1785" s="13" t="str">
        <f aca="false">IF(AND(ISNUMBER(B1785),ISNUMBER(I1785)),B1785-I1785+1,"")</f>
        <v/>
      </c>
      <c r="N1785" s="14" t="str">
        <f aca="false">IF(B1785="","",IF(M1785="","시작일 미입력",IF(M1785&lt;1,"시작일 이전(확인)",IF(M1785=1,"1일째",IF(M1785=2,"2일째",IF(M1785=3,"3일째",IF(M1785&lt;=7,"일주일 이내",IF(M1785&lt;=14,"이주일 이내","15일 이후"))))))))</f>
        <v/>
      </c>
      <c r="O1785" s="0" t="str">
        <f aca="false">IF(AND(COUNTA($A1785:$J1785)&gt;0,OR(클레임조회!$C$4="",AND(ISNUMBER($B1785),$B1785&gt;=클레임조회!$C$4)),OR(클레임조회!$C$5="",AND(ISNUMBER($B1785),$B1785&lt;=클레임조회!$C$5)),OR(클레임조회!$C$6="",$C1785=클레임조회!$C$6),OR(클레임조회!$C$7="",$D1785=클레임조회!$C$7),OR(클레임조회!$C$8="",$E1785=클레임조회!$C$8),OR(클레임조회!$C$9="",$F1785=클레임조회!$C$9),OR(클레임조회!$C$10="",ISNUMBER(SEARCH(클레임조회!$C$10,$C1785&amp;" "&amp;$F1785&amp;" "&amp;$G1785&amp;" "&amp;$H1785)))),COUNT(O$1:O1784)+1,"")</f>
        <v/>
      </c>
      <c r="P1785" s="0" t="str">
        <f aca="false">IF(AND(TRIM(C1785)&lt;&gt;"",COUNTIF(C$2:C1785,C1785)=1),MAX(P$1:P1784)+1,"")</f>
        <v/>
      </c>
      <c r="Q1785" s="0" t="str">
        <f aca="false">IF(AND(TRIM(F1785)&lt;&gt;"",COUNTIF(F$2:F1785,F1785)=1),MAX(Q$1:Q1784)+1,"")</f>
        <v/>
      </c>
    </row>
    <row r="1786" customFormat="false" ht="15" hidden="false" customHeight="false" outlineLevel="0" collapsed="false">
      <c r="A1786" s="9"/>
      <c r="B1786" s="10"/>
      <c r="C1786" s="11"/>
      <c r="D1786" s="11"/>
      <c r="E1786" s="11"/>
      <c r="F1786" s="11"/>
      <c r="G1786" s="12"/>
      <c r="H1786" s="12"/>
      <c r="I1786" s="10"/>
      <c r="J1786" s="12"/>
      <c r="K1786" s="13" t="str">
        <f aca="false">IF(ISNUMBER(B1786),YEAR(B1786),"")</f>
        <v/>
      </c>
      <c r="L1786" s="13" t="str">
        <f aca="false">IF(ISNUMBER(B1786),MONTH(B1786),"")</f>
        <v/>
      </c>
      <c r="M1786" s="13" t="str">
        <f aca="false">IF(AND(ISNUMBER(B1786),ISNUMBER(I1786)),B1786-I1786+1,"")</f>
        <v/>
      </c>
      <c r="N1786" s="14" t="str">
        <f aca="false">IF(B1786="","",IF(M1786="","시작일 미입력",IF(M1786&lt;1,"시작일 이전(확인)",IF(M1786=1,"1일째",IF(M1786=2,"2일째",IF(M1786=3,"3일째",IF(M1786&lt;=7,"일주일 이내",IF(M1786&lt;=14,"이주일 이내","15일 이후"))))))))</f>
        <v/>
      </c>
      <c r="O1786" s="0" t="str">
        <f aca="false">IF(AND(COUNTA($A1786:$J1786)&gt;0,OR(클레임조회!$C$4="",AND(ISNUMBER($B1786),$B1786&gt;=클레임조회!$C$4)),OR(클레임조회!$C$5="",AND(ISNUMBER($B1786),$B1786&lt;=클레임조회!$C$5)),OR(클레임조회!$C$6="",$C1786=클레임조회!$C$6),OR(클레임조회!$C$7="",$D1786=클레임조회!$C$7),OR(클레임조회!$C$8="",$E1786=클레임조회!$C$8),OR(클레임조회!$C$9="",$F1786=클레임조회!$C$9),OR(클레임조회!$C$10="",ISNUMBER(SEARCH(클레임조회!$C$10,$C1786&amp;" "&amp;$F1786&amp;" "&amp;$G1786&amp;" "&amp;$H1786)))),COUNT(O$1:O1785)+1,"")</f>
        <v/>
      </c>
      <c r="P1786" s="0" t="str">
        <f aca="false">IF(AND(TRIM(C1786)&lt;&gt;"",COUNTIF(C$2:C1786,C1786)=1),MAX(P$1:P1785)+1,"")</f>
        <v/>
      </c>
      <c r="Q1786" s="0" t="str">
        <f aca="false">IF(AND(TRIM(F1786)&lt;&gt;"",COUNTIF(F$2:F1786,F1786)=1),MAX(Q$1:Q1785)+1,"")</f>
        <v/>
      </c>
    </row>
    <row r="1787" customFormat="false" ht="15" hidden="false" customHeight="false" outlineLevel="0" collapsed="false">
      <c r="A1787" s="9"/>
      <c r="B1787" s="10"/>
      <c r="C1787" s="11"/>
      <c r="D1787" s="11"/>
      <c r="E1787" s="11"/>
      <c r="F1787" s="11"/>
      <c r="G1787" s="12"/>
      <c r="H1787" s="12"/>
      <c r="I1787" s="10"/>
      <c r="J1787" s="12"/>
      <c r="K1787" s="13" t="str">
        <f aca="false">IF(ISNUMBER(B1787),YEAR(B1787),"")</f>
        <v/>
      </c>
      <c r="L1787" s="13" t="str">
        <f aca="false">IF(ISNUMBER(B1787),MONTH(B1787),"")</f>
        <v/>
      </c>
      <c r="M1787" s="13" t="str">
        <f aca="false">IF(AND(ISNUMBER(B1787),ISNUMBER(I1787)),B1787-I1787+1,"")</f>
        <v/>
      </c>
      <c r="N1787" s="14" t="str">
        <f aca="false">IF(B1787="","",IF(M1787="","시작일 미입력",IF(M1787&lt;1,"시작일 이전(확인)",IF(M1787=1,"1일째",IF(M1787=2,"2일째",IF(M1787=3,"3일째",IF(M1787&lt;=7,"일주일 이내",IF(M1787&lt;=14,"이주일 이내","15일 이후"))))))))</f>
        <v/>
      </c>
      <c r="O1787" s="0" t="str">
        <f aca="false">IF(AND(COUNTA($A1787:$J1787)&gt;0,OR(클레임조회!$C$4="",AND(ISNUMBER($B1787),$B1787&gt;=클레임조회!$C$4)),OR(클레임조회!$C$5="",AND(ISNUMBER($B1787),$B1787&lt;=클레임조회!$C$5)),OR(클레임조회!$C$6="",$C1787=클레임조회!$C$6),OR(클레임조회!$C$7="",$D1787=클레임조회!$C$7),OR(클레임조회!$C$8="",$E1787=클레임조회!$C$8),OR(클레임조회!$C$9="",$F1787=클레임조회!$C$9),OR(클레임조회!$C$10="",ISNUMBER(SEARCH(클레임조회!$C$10,$C1787&amp;" "&amp;$F1787&amp;" "&amp;$G1787&amp;" "&amp;$H1787)))),COUNT(O$1:O1786)+1,"")</f>
        <v/>
      </c>
      <c r="P1787" s="0" t="str">
        <f aca="false">IF(AND(TRIM(C1787)&lt;&gt;"",COUNTIF(C$2:C1787,C1787)=1),MAX(P$1:P1786)+1,"")</f>
        <v/>
      </c>
      <c r="Q1787" s="0" t="str">
        <f aca="false">IF(AND(TRIM(F1787)&lt;&gt;"",COUNTIF(F$2:F1787,F1787)=1),MAX(Q$1:Q1786)+1,"")</f>
        <v/>
      </c>
    </row>
    <row r="1788" customFormat="false" ht="15" hidden="false" customHeight="false" outlineLevel="0" collapsed="false">
      <c r="A1788" s="9"/>
      <c r="B1788" s="10"/>
      <c r="C1788" s="11"/>
      <c r="D1788" s="11"/>
      <c r="E1788" s="11"/>
      <c r="F1788" s="11"/>
      <c r="G1788" s="12"/>
      <c r="H1788" s="12"/>
      <c r="I1788" s="10"/>
      <c r="J1788" s="12"/>
      <c r="K1788" s="13" t="str">
        <f aca="false">IF(ISNUMBER(B1788),YEAR(B1788),"")</f>
        <v/>
      </c>
      <c r="L1788" s="13" t="str">
        <f aca="false">IF(ISNUMBER(B1788),MONTH(B1788),"")</f>
        <v/>
      </c>
      <c r="M1788" s="13" t="str">
        <f aca="false">IF(AND(ISNUMBER(B1788),ISNUMBER(I1788)),B1788-I1788+1,"")</f>
        <v/>
      </c>
      <c r="N1788" s="14" t="str">
        <f aca="false">IF(B1788="","",IF(M1788="","시작일 미입력",IF(M1788&lt;1,"시작일 이전(확인)",IF(M1788=1,"1일째",IF(M1788=2,"2일째",IF(M1788=3,"3일째",IF(M1788&lt;=7,"일주일 이내",IF(M1788&lt;=14,"이주일 이내","15일 이후"))))))))</f>
        <v/>
      </c>
      <c r="O1788" s="0" t="str">
        <f aca="false">IF(AND(COUNTA($A1788:$J1788)&gt;0,OR(클레임조회!$C$4="",AND(ISNUMBER($B1788),$B1788&gt;=클레임조회!$C$4)),OR(클레임조회!$C$5="",AND(ISNUMBER($B1788),$B1788&lt;=클레임조회!$C$5)),OR(클레임조회!$C$6="",$C1788=클레임조회!$C$6),OR(클레임조회!$C$7="",$D1788=클레임조회!$C$7),OR(클레임조회!$C$8="",$E1788=클레임조회!$C$8),OR(클레임조회!$C$9="",$F1788=클레임조회!$C$9),OR(클레임조회!$C$10="",ISNUMBER(SEARCH(클레임조회!$C$10,$C1788&amp;" "&amp;$F1788&amp;" "&amp;$G1788&amp;" "&amp;$H1788)))),COUNT(O$1:O1787)+1,"")</f>
        <v/>
      </c>
      <c r="P1788" s="0" t="str">
        <f aca="false">IF(AND(TRIM(C1788)&lt;&gt;"",COUNTIF(C$2:C1788,C1788)=1),MAX(P$1:P1787)+1,"")</f>
        <v/>
      </c>
      <c r="Q1788" s="0" t="str">
        <f aca="false">IF(AND(TRIM(F1788)&lt;&gt;"",COUNTIF(F$2:F1788,F1788)=1),MAX(Q$1:Q1787)+1,"")</f>
        <v/>
      </c>
    </row>
    <row r="1789" customFormat="false" ht="15" hidden="false" customHeight="false" outlineLevel="0" collapsed="false">
      <c r="A1789" s="9"/>
      <c r="B1789" s="10"/>
      <c r="C1789" s="11"/>
      <c r="D1789" s="11"/>
      <c r="E1789" s="11"/>
      <c r="F1789" s="11"/>
      <c r="G1789" s="12"/>
      <c r="H1789" s="12"/>
      <c r="I1789" s="10"/>
      <c r="J1789" s="12"/>
      <c r="K1789" s="13" t="str">
        <f aca="false">IF(ISNUMBER(B1789),YEAR(B1789),"")</f>
        <v/>
      </c>
      <c r="L1789" s="13" t="str">
        <f aca="false">IF(ISNUMBER(B1789),MONTH(B1789),"")</f>
        <v/>
      </c>
      <c r="M1789" s="13" t="str">
        <f aca="false">IF(AND(ISNUMBER(B1789),ISNUMBER(I1789)),B1789-I1789+1,"")</f>
        <v/>
      </c>
      <c r="N1789" s="14" t="str">
        <f aca="false">IF(B1789="","",IF(M1789="","시작일 미입력",IF(M1789&lt;1,"시작일 이전(확인)",IF(M1789=1,"1일째",IF(M1789=2,"2일째",IF(M1789=3,"3일째",IF(M1789&lt;=7,"일주일 이내",IF(M1789&lt;=14,"이주일 이내","15일 이후"))))))))</f>
        <v/>
      </c>
      <c r="O1789" s="0" t="str">
        <f aca="false">IF(AND(COUNTA($A1789:$J1789)&gt;0,OR(클레임조회!$C$4="",AND(ISNUMBER($B1789),$B1789&gt;=클레임조회!$C$4)),OR(클레임조회!$C$5="",AND(ISNUMBER($B1789),$B1789&lt;=클레임조회!$C$5)),OR(클레임조회!$C$6="",$C1789=클레임조회!$C$6),OR(클레임조회!$C$7="",$D1789=클레임조회!$C$7),OR(클레임조회!$C$8="",$E1789=클레임조회!$C$8),OR(클레임조회!$C$9="",$F1789=클레임조회!$C$9),OR(클레임조회!$C$10="",ISNUMBER(SEARCH(클레임조회!$C$10,$C1789&amp;" "&amp;$F1789&amp;" "&amp;$G1789&amp;" "&amp;$H1789)))),COUNT(O$1:O1788)+1,"")</f>
        <v/>
      </c>
      <c r="P1789" s="0" t="str">
        <f aca="false">IF(AND(TRIM(C1789)&lt;&gt;"",COUNTIF(C$2:C1789,C1789)=1),MAX(P$1:P1788)+1,"")</f>
        <v/>
      </c>
      <c r="Q1789" s="0" t="str">
        <f aca="false">IF(AND(TRIM(F1789)&lt;&gt;"",COUNTIF(F$2:F1789,F1789)=1),MAX(Q$1:Q1788)+1,"")</f>
        <v/>
      </c>
    </row>
    <row r="1790" customFormat="false" ht="15" hidden="false" customHeight="false" outlineLevel="0" collapsed="false">
      <c r="A1790" s="9"/>
      <c r="B1790" s="10"/>
      <c r="C1790" s="11"/>
      <c r="D1790" s="11"/>
      <c r="E1790" s="11"/>
      <c r="F1790" s="11"/>
      <c r="G1790" s="12"/>
      <c r="H1790" s="12"/>
      <c r="I1790" s="10"/>
      <c r="J1790" s="12"/>
      <c r="K1790" s="13" t="str">
        <f aca="false">IF(ISNUMBER(B1790),YEAR(B1790),"")</f>
        <v/>
      </c>
      <c r="L1790" s="13" t="str">
        <f aca="false">IF(ISNUMBER(B1790),MONTH(B1790),"")</f>
        <v/>
      </c>
      <c r="M1790" s="13" t="str">
        <f aca="false">IF(AND(ISNUMBER(B1790),ISNUMBER(I1790)),B1790-I1790+1,"")</f>
        <v/>
      </c>
      <c r="N1790" s="14" t="str">
        <f aca="false">IF(B1790="","",IF(M1790="","시작일 미입력",IF(M1790&lt;1,"시작일 이전(확인)",IF(M1790=1,"1일째",IF(M1790=2,"2일째",IF(M1790=3,"3일째",IF(M1790&lt;=7,"일주일 이내",IF(M1790&lt;=14,"이주일 이내","15일 이후"))))))))</f>
        <v/>
      </c>
      <c r="O1790" s="0" t="str">
        <f aca="false">IF(AND(COUNTA($A1790:$J1790)&gt;0,OR(클레임조회!$C$4="",AND(ISNUMBER($B1790),$B1790&gt;=클레임조회!$C$4)),OR(클레임조회!$C$5="",AND(ISNUMBER($B1790),$B1790&lt;=클레임조회!$C$5)),OR(클레임조회!$C$6="",$C1790=클레임조회!$C$6),OR(클레임조회!$C$7="",$D1790=클레임조회!$C$7),OR(클레임조회!$C$8="",$E1790=클레임조회!$C$8),OR(클레임조회!$C$9="",$F1790=클레임조회!$C$9),OR(클레임조회!$C$10="",ISNUMBER(SEARCH(클레임조회!$C$10,$C1790&amp;" "&amp;$F1790&amp;" "&amp;$G1790&amp;" "&amp;$H1790)))),COUNT(O$1:O1789)+1,"")</f>
        <v/>
      </c>
      <c r="P1790" s="0" t="str">
        <f aca="false">IF(AND(TRIM(C1790)&lt;&gt;"",COUNTIF(C$2:C1790,C1790)=1),MAX(P$1:P1789)+1,"")</f>
        <v/>
      </c>
      <c r="Q1790" s="0" t="str">
        <f aca="false">IF(AND(TRIM(F1790)&lt;&gt;"",COUNTIF(F$2:F1790,F1790)=1),MAX(Q$1:Q1789)+1,"")</f>
        <v/>
      </c>
    </row>
    <row r="1791" customFormat="false" ht="15" hidden="false" customHeight="false" outlineLevel="0" collapsed="false">
      <c r="A1791" s="9"/>
      <c r="B1791" s="10"/>
      <c r="C1791" s="11"/>
      <c r="D1791" s="11"/>
      <c r="E1791" s="11"/>
      <c r="F1791" s="11"/>
      <c r="G1791" s="12"/>
      <c r="H1791" s="12"/>
      <c r="I1791" s="10"/>
      <c r="J1791" s="12"/>
      <c r="K1791" s="13" t="str">
        <f aca="false">IF(ISNUMBER(B1791),YEAR(B1791),"")</f>
        <v/>
      </c>
      <c r="L1791" s="13" t="str">
        <f aca="false">IF(ISNUMBER(B1791),MONTH(B1791),"")</f>
        <v/>
      </c>
      <c r="M1791" s="13" t="str">
        <f aca="false">IF(AND(ISNUMBER(B1791),ISNUMBER(I1791)),B1791-I1791+1,"")</f>
        <v/>
      </c>
      <c r="N1791" s="14" t="str">
        <f aca="false">IF(B1791="","",IF(M1791="","시작일 미입력",IF(M1791&lt;1,"시작일 이전(확인)",IF(M1791=1,"1일째",IF(M1791=2,"2일째",IF(M1791=3,"3일째",IF(M1791&lt;=7,"일주일 이내",IF(M1791&lt;=14,"이주일 이내","15일 이후"))))))))</f>
        <v/>
      </c>
      <c r="O1791" s="0" t="str">
        <f aca="false">IF(AND(COUNTA($A1791:$J1791)&gt;0,OR(클레임조회!$C$4="",AND(ISNUMBER($B1791),$B1791&gt;=클레임조회!$C$4)),OR(클레임조회!$C$5="",AND(ISNUMBER($B1791),$B1791&lt;=클레임조회!$C$5)),OR(클레임조회!$C$6="",$C1791=클레임조회!$C$6),OR(클레임조회!$C$7="",$D1791=클레임조회!$C$7),OR(클레임조회!$C$8="",$E1791=클레임조회!$C$8),OR(클레임조회!$C$9="",$F1791=클레임조회!$C$9),OR(클레임조회!$C$10="",ISNUMBER(SEARCH(클레임조회!$C$10,$C1791&amp;" "&amp;$F1791&amp;" "&amp;$G1791&amp;" "&amp;$H1791)))),COUNT(O$1:O1790)+1,"")</f>
        <v/>
      </c>
      <c r="P1791" s="0" t="str">
        <f aca="false">IF(AND(TRIM(C1791)&lt;&gt;"",COUNTIF(C$2:C1791,C1791)=1),MAX(P$1:P1790)+1,"")</f>
        <v/>
      </c>
      <c r="Q1791" s="0" t="str">
        <f aca="false">IF(AND(TRIM(F1791)&lt;&gt;"",COUNTIF(F$2:F1791,F1791)=1),MAX(Q$1:Q1790)+1,"")</f>
        <v/>
      </c>
    </row>
    <row r="1792" customFormat="false" ht="15" hidden="false" customHeight="false" outlineLevel="0" collapsed="false">
      <c r="A1792" s="9"/>
      <c r="B1792" s="10"/>
      <c r="C1792" s="11"/>
      <c r="D1792" s="11"/>
      <c r="E1792" s="11"/>
      <c r="F1792" s="11"/>
      <c r="G1792" s="12"/>
      <c r="H1792" s="12"/>
      <c r="I1792" s="10"/>
      <c r="J1792" s="12"/>
      <c r="K1792" s="13" t="str">
        <f aca="false">IF(ISNUMBER(B1792),YEAR(B1792),"")</f>
        <v/>
      </c>
      <c r="L1792" s="13" t="str">
        <f aca="false">IF(ISNUMBER(B1792),MONTH(B1792),"")</f>
        <v/>
      </c>
      <c r="M1792" s="13" t="str">
        <f aca="false">IF(AND(ISNUMBER(B1792),ISNUMBER(I1792)),B1792-I1792+1,"")</f>
        <v/>
      </c>
      <c r="N1792" s="14" t="str">
        <f aca="false">IF(B1792="","",IF(M1792="","시작일 미입력",IF(M1792&lt;1,"시작일 이전(확인)",IF(M1792=1,"1일째",IF(M1792=2,"2일째",IF(M1792=3,"3일째",IF(M1792&lt;=7,"일주일 이내",IF(M1792&lt;=14,"이주일 이내","15일 이후"))))))))</f>
        <v/>
      </c>
      <c r="O1792" s="0" t="str">
        <f aca="false">IF(AND(COUNTA($A1792:$J1792)&gt;0,OR(클레임조회!$C$4="",AND(ISNUMBER($B1792),$B1792&gt;=클레임조회!$C$4)),OR(클레임조회!$C$5="",AND(ISNUMBER($B1792),$B1792&lt;=클레임조회!$C$5)),OR(클레임조회!$C$6="",$C1792=클레임조회!$C$6),OR(클레임조회!$C$7="",$D1792=클레임조회!$C$7),OR(클레임조회!$C$8="",$E1792=클레임조회!$C$8),OR(클레임조회!$C$9="",$F1792=클레임조회!$C$9),OR(클레임조회!$C$10="",ISNUMBER(SEARCH(클레임조회!$C$10,$C1792&amp;" "&amp;$F1792&amp;" "&amp;$G1792&amp;" "&amp;$H1792)))),COUNT(O$1:O1791)+1,"")</f>
        <v/>
      </c>
      <c r="P1792" s="0" t="str">
        <f aca="false">IF(AND(TRIM(C1792)&lt;&gt;"",COUNTIF(C$2:C1792,C1792)=1),MAX(P$1:P1791)+1,"")</f>
        <v/>
      </c>
      <c r="Q1792" s="0" t="str">
        <f aca="false">IF(AND(TRIM(F1792)&lt;&gt;"",COUNTIF(F$2:F1792,F1792)=1),MAX(Q$1:Q1791)+1,"")</f>
        <v/>
      </c>
    </row>
    <row r="1793" customFormat="false" ht="15" hidden="false" customHeight="false" outlineLevel="0" collapsed="false">
      <c r="A1793" s="9"/>
      <c r="B1793" s="10"/>
      <c r="C1793" s="11"/>
      <c r="D1793" s="11"/>
      <c r="E1793" s="11"/>
      <c r="F1793" s="11"/>
      <c r="G1793" s="12"/>
      <c r="H1793" s="12"/>
      <c r="I1793" s="10"/>
      <c r="J1793" s="12"/>
      <c r="K1793" s="13" t="str">
        <f aca="false">IF(ISNUMBER(B1793),YEAR(B1793),"")</f>
        <v/>
      </c>
      <c r="L1793" s="13" t="str">
        <f aca="false">IF(ISNUMBER(B1793),MONTH(B1793),"")</f>
        <v/>
      </c>
      <c r="M1793" s="13" t="str">
        <f aca="false">IF(AND(ISNUMBER(B1793),ISNUMBER(I1793)),B1793-I1793+1,"")</f>
        <v/>
      </c>
      <c r="N1793" s="14" t="str">
        <f aca="false">IF(B1793="","",IF(M1793="","시작일 미입력",IF(M1793&lt;1,"시작일 이전(확인)",IF(M1793=1,"1일째",IF(M1793=2,"2일째",IF(M1793=3,"3일째",IF(M1793&lt;=7,"일주일 이내",IF(M1793&lt;=14,"이주일 이내","15일 이후"))))))))</f>
        <v/>
      </c>
      <c r="O1793" s="0" t="str">
        <f aca="false">IF(AND(COUNTA($A1793:$J1793)&gt;0,OR(클레임조회!$C$4="",AND(ISNUMBER($B1793),$B1793&gt;=클레임조회!$C$4)),OR(클레임조회!$C$5="",AND(ISNUMBER($B1793),$B1793&lt;=클레임조회!$C$5)),OR(클레임조회!$C$6="",$C1793=클레임조회!$C$6),OR(클레임조회!$C$7="",$D1793=클레임조회!$C$7),OR(클레임조회!$C$8="",$E1793=클레임조회!$C$8),OR(클레임조회!$C$9="",$F1793=클레임조회!$C$9),OR(클레임조회!$C$10="",ISNUMBER(SEARCH(클레임조회!$C$10,$C1793&amp;" "&amp;$F1793&amp;" "&amp;$G1793&amp;" "&amp;$H1793)))),COUNT(O$1:O1792)+1,"")</f>
        <v/>
      </c>
      <c r="P1793" s="0" t="str">
        <f aca="false">IF(AND(TRIM(C1793)&lt;&gt;"",COUNTIF(C$2:C1793,C1793)=1),MAX(P$1:P1792)+1,"")</f>
        <v/>
      </c>
      <c r="Q1793" s="0" t="str">
        <f aca="false">IF(AND(TRIM(F1793)&lt;&gt;"",COUNTIF(F$2:F1793,F1793)=1),MAX(Q$1:Q1792)+1,"")</f>
        <v/>
      </c>
    </row>
    <row r="1794" customFormat="false" ht="15" hidden="false" customHeight="false" outlineLevel="0" collapsed="false">
      <c r="A1794" s="9"/>
      <c r="B1794" s="10"/>
      <c r="C1794" s="11"/>
      <c r="D1794" s="11"/>
      <c r="E1794" s="11"/>
      <c r="F1794" s="11"/>
      <c r="G1794" s="12"/>
      <c r="H1794" s="12"/>
      <c r="I1794" s="10"/>
      <c r="J1794" s="12"/>
      <c r="K1794" s="13" t="str">
        <f aca="false">IF(ISNUMBER(B1794),YEAR(B1794),"")</f>
        <v/>
      </c>
      <c r="L1794" s="13" t="str">
        <f aca="false">IF(ISNUMBER(B1794),MONTH(B1794),"")</f>
        <v/>
      </c>
      <c r="M1794" s="13" t="str">
        <f aca="false">IF(AND(ISNUMBER(B1794),ISNUMBER(I1794)),B1794-I1794+1,"")</f>
        <v/>
      </c>
      <c r="N1794" s="14" t="str">
        <f aca="false">IF(B1794="","",IF(M1794="","시작일 미입력",IF(M1794&lt;1,"시작일 이전(확인)",IF(M1794=1,"1일째",IF(M1794=2,"2일째",IF(M1794=3,"3일째",IF(M1794&lt;=7,"일주일 이내",IF(M1794&lt;=14,"이주일 이내","15일 이후"))))))))</f>
        <v/>
      </c>
      <c r="O1794" s="0" t="str">
        <f aca="false">IF(AND(COUNTA($A1794:$J1794)&gt;0,OR(클레임조회!$C$4="",AND(ISNUMBER($B1794),$B1794&gt;=클레임조회!$C$4)),OR(클레임조회!$C$5="",AND(ISNUMBER($B1794),$B1794&lt;=클레임조회!$C$5)),OR(클레임조회!$C$6="",$C1794=클레임조회!$C$6),OR(클레임조회!$C$7="",$D1794=클레임조회!$C$7),OR(클레임조회!$C$8="",$E1794=클레임조회!$C$8),OR(클레임조회!$C$9="",$F1794=클레임조회!$C$9),OR(클레임조회!$C$10="",ISNUMBER(SEARCH(클레임조회!$C$10,$C1794&amp;" "&amp;$F1794&amp;" "&amp;$G1794&amp;" "&amp;$H1794)))),COUNT(O$1:O1793)+1,"")</f>
        <v/>
      </c>
      <c r="P1794" s="0" t="str">
        <f aca="false">IF(AND(TRIM(C1794)&lt;&gt;"",COUNTIF(C$2:C1794,C1794)=1),MAX(P$1:P1793)+1,"")</f>
        <v/>
      </c>
      <c r="Q1794" s="0" t="str">
        <f aca="false">IF(AND(TRIM(F1794)&lt;&gt;"",COUNTIF(F$2:F1794,F1794)=1),MAX(Q$1:Q1793)+1,"")</f>
        <v/>
      </c>
    </row>
    <row r="1795" customFormat="false" ht="15" hidden="false" customHeight="false" outlineLevel="0" collapsed="false">
      <c r="A1795" s="9"/>
      <c r="B1795" s="10"/>
      <c r="C1795" s="11"/>
      <c r="D1795" s="11"/>
      <c r="E1795" s="11"/>
      <c r="F1795" s="11"/>
      <c r="G1795" s="12"/>
      <c r="H1795" s="12"/>
      <c r="I1795" s="10"/>
      <c r="J1795" s="12"/>
      <c r="K1795" s="13" t="str">
        <f aca="false">IF(ISNUMBER(B1795),YEAR(B1795),"")</f>
        <v/>
      </c>
      <c r="L1795" s="13" t="str">
        <f aca="false">IF(ISNUMBER(B1795),MONTH(B1795),"")</f>
        <v/>
      </c>
      <c r="M1795" s="13" t="str">
        <f aca="false">IF(AND(ISNUMBER(B1795),ISNUMBER(I1795)),B1795-I1795+1,"")</f>
        <v/>
      </c>
      <c r="N1795" s="14" t="str">
        <f aca="false">IF(B1795="","",IF(M1795="","시작일 미입력",IF(M1795&lt;1,"시작일 이전(확인)",IF(M1795=1,"1일째",IF(M1795=2,"2일째",IF(M1795=3,"3일째",IF(M1795&lt;=7,"일주일 이내",IF(M1795&lt;=14,"이주일 이내","15일 이후"))))))))</f>
        <v/>
      </c>
      <c r="O1795" s="0" t="str">
        <f aca="false">IF(AND(COUNTA($A1795:$J1795)&gt;0,OR(클레임조회!$C$4="",AND(ISNUMBER($B1795),$B1795&gt;=클레임조회!$C$4)),OR(클레임조회!$C$5="",AND(ISNUMBER($B1795),$B1795&lt;=클레임조회!$C$5)),OR(클레임조회!$C$6="",$C1795=클레임조회!$C$6),OR(클레임조회!$C$7="",$D1795=클레임조회!$C$7),OR(클레임조회!$C$8="",$E1795=클레임조회!$C$8),OR(클레임조회!$C$9="",$F1795=클레임조회!$C$9),OR(클레임조회!$C$10="",ISNUMBER(SEARCH(클레임조회!$C$10,$C1795&amp;" "&amp;$F1795&amp;" "&amp;$G1795&amp;" "&amp;$H1795)))),COUNT(O$1:O1794)+1,"")</f>
        <v/>
      </c>
      <c r="P1795" s="0" t="str">
        <f aca="false">IF(AND(TRIM(C1795)&lt;&gt;"",COUNTIF(C$2:C1795,C1795)=1),MAX(P$1:P1794)+1,"")</f>
        <v/>
      </c>
      <c r="Q1795" s="0" t="str">
        <f aca="false">IF(AND(TRIM(F1795)&lt;&gt;"",COUNTIF(F$2:F1795,F1795)=1),MAX(Q$1:Q1794)+1,"")</f>
        <v/>
      </c>
    </row>
    <row r="1796" customFormat="false" ht="15" hidden="false" customHeight="false" outlineLevel="0" collapsed="false">
      <c r="A1796" s="9"/>
      <c r="B1796" s="10"/>
      <c r="C1796" s="11"/>
      <c r="D1796" s="11"/>
      <c r="E1796" s="11"/>
      <c r="F1796" s="11"/>
      <c r="G1796" s="12"/>
      <c r="H1796" s="12"/>
      <c r="I1796" s="10"/>
      <c r="J1796" s="12"/>
      <c r="K1796" s="13" t="str">
        <f aca="false">IF(ISNUMBER(B1796),YEAR(B1796),"")</f>
        <v/>
      </c>
      <c r="L1796" s="13" t="str">
        <f aca="false">IF(ISNUMBER(B1796),MONTH(B1796),"")</f>
        <v/>
      </c>
      <c r="M1796" s="13" t="str">
        <f aca="false">IF(AND(ISNUMBER(B1796),ISNUMBER(I1796)),B1796-I1796+1,"")</f>
        <v/>
      </c>
      <c r="N1796" s="14" t="str">
        <f aca="false">IF(B1796="","",IF(M1796="","시작일 미입력",IF(M1796&lt;1,"시작일 이전(확인)",IF(M1796=1,"1일째",IF(M1796=2,"2일째",IF(M1796=3,"3일째",IF(M1796&lt;=7,"일주일 이내",IF(M1796&lt;=14,"이주일 이내","15일 이후"))))))))</f>
        <v/>
      </c>
      <c r="O1796" s="0" t="str">
        <f aca="false">IF(AND(COUNTA($A1796:$J1796)&gt;0,OR(클레임조회!$C$4="",AND(ISNUMBER($B1796),$B1796&gt;=클레임조회!$C$4)),OR(클레임조회!$C$5="",AND(ISNUMBER($B1796),$B1796&lt;=클레임조회!$C$5)),OR(클레임조회!$C$6="",$C1796=클레임조회!$C$6),OR(클레임조회!$C$7="",$D1796=클레임조회!$C$7),OR(클레임조회!$C$8="",$E1796=클레임조회!$C$8),OR(클레임조회!$C$9="",$F1796=클레임조회!$C$9),OR(클레임조회!$C$10="",ISNUMBER(SEARCH(클레임조회!$C$10,$C1796&amp;" "&amp;$F1796&amp;" "&amp;$G1796&amp;" "&amp;$H1796)))),COUNT(O$1:O1795)+1,"")</f>
        <v/>
      </c>
      <c r="P1796" s="0" t="str">
        <f aca="false">IF(AND(TRIM(C1796)&lt;&gt;"",COUNTIF(C$2:C1796,C1796)=1),MAX(P$1:P1795)+1,"")</f>
        <v/>
      </c>
      <c r="Q1796" s="0" t="str">
        <f aca="false">IF(AND(TRIM(F1796)&lt;&gt;"",COUNTIF(F$2:F1796,F1796)=1),MAX(Q$1:Q1795)+1,"")</f>
        <v/>
      </c>
    </row>
    <row r="1797" customFormat="false" ht="15" hidden="false" customHeight="false" outlineLevel="0" collapsed="false">
      <c r="A1797" s="9"/>
      <c r="B1797" s="10"/>
      <c r="C1797" s="11"/>
      <c r="D1797" s="11"/>
      <c r="E1797" s="11"/>
      <c r="F1797" s="11"/>
      <c r="G1797" s="12"/>
      <c r="H1797" s="12"/>
      <c r="I1797" s="10"/>
      <c r="J1797" s="12"/>
      <c r="K1797" s="13" t="str">
        <f aca="false">IF(ISNUMBER(B1797),YEAR(B1797),"")</f>
        <v/>
      </c>
      <c r="L1797" s="13" t="str">
        <f aca="false">IF(ISNUMBER(B1797),MONTH(B1797),"")</f>
        <v/>
      </c>
      <c r="M1797" s="13" t="str">
        <f aca="false">IF(AND(ISNUMBER(B1797),ISNUMBER(I1797)),B1797-I1797+1,"")</f>
        <v/>
      </c>
      <c r="N1797" s="14" t="str">
        <f aca="false">IF(B1797="","",IF(M1797="","시작일 미입력",IF(M1797&lt;1,"시작일 이전(확인)",IF(M1797=1,"1일째",IF(M1797=2,"2일째",IF(M1797=3,"3일째",IF(M1797&lt;=7,"일주일 이내",IF(M1797&lt;=14,"이주일 이내","15일 이후"))))))))</f>
        <v/>
      </c>
      <c r="O1797" s="0" t="str">
        <f aca="false">IF(AND(COUNTA($A1797:$J1797)&gt;0,OR(클레임조회!$C$4="",AND(ISNUMBER($B1797),$B1797&gt;=클레임조회!$C$4)),OR(클레임조회!$C$5="",AND(ISNUMBER($B1797),$B1797&lt;=클레임조회!$C$5)),OR(클레임조회!$C$6="",$C1797=클레임조회!$C$6),OR(클레임조회!$C$7="",$D1797=클레임조회!$C$7),OR(클레임조회!$C$8="",$E1797=클레임조회!$C$8),OR(클레임조회!$C$9="",$F1797=클레임조회!$C$9),OR(클레임조회!$C$10="",ISNUMBER(SEARCH(클레임조회!$C$10,$C1797&amp;" "&amp;$F1797&amp;" "&amp;$G1797&amp;" "&amp;$H1797)))),COUNT(O$1:O1796)+1,"")</f>
        <v/>
      </c>
      <c r="P1797" s="0" t="str">
        <f aca="false">IF(AND(TRIM(C1797)&lt;&gt;"",COUNTIF(C$2:C1797,C1797)=1),MAX(P$1:P1796)+1,"")</f>
        <v/>
      </c>
      <c r="Q1797" s="0" t="str">
        <f aca="false">IF(AND(TRIM(F1797)&lt;&gt;"",COUNTIF(F$2:F1797,F1797)=1),MAX(Q$1:Q1796)+1,"")</f>
        <v/>
      </c>
    </row>
    <row r="1798" customFormat="false" ht="15" hidden="false" customHeight="false" outlineLevel="0" collapsed="false">
      <c r="A1798" s="9"/>
      <c r="B1798" s="10"/>
      <c r="C1798" s="11"/>
      <c r="D1798" s="11"/>
      <c r="E1798" s="11"/>
      <c r="F1798" s="11"/>
      <c r="G1798" s="12"/>
      <c r="H1798" s="12"/>
      <c r="I1798" s="10"/>
      <c r="J1798" s="12"/>
      <c r="K1798" s="13" t="str">
        <f aca="false">IF(ISNUMBER(B1798),YEAR(B1798),"")</f>
        <v/>
      </c>
      <c r="L1798" s="13" t="str">
        <f aca="false">IF(ISNUMBER(B1798),MONTH(B1798),"")</f>
        <v/>
      </c>
      <c r="M1798" s="13" t="str">
        <f aca="false">IF(AND(ISNUMBER(B1798),ISNUMBER(I1798)),B1798-I1798+1,"")</f>
        <v/>
      </c>
      <c r="N1798" s="14" t="str">
        <f aca="false">IF(B1798="","",IF(M1798="","시작일 미입력",IF(M1798&lt;1,"시작일 이전(확인)",IF(M1798=1,"1일째",IF(M1798=2,"2일째",IF(M1798=3,"3일째",IF(M1798&lt;=7,"일주일 이내",IF(M1798&lt;=14,"이주일 이내","15일 이후"))))))))</f>
        <v/>
      </c>
      <c r="O1798" s="0" t="str">
        <f aca="false">IF(AND(COUNTA($A1798:$J1798)&gt;0,OR(클레임조회!$C$4="",AND(ISNUMBER($B1798),$B1798&gt;=클레임조회!$C$4)),OR(클레임조회!$C$5="",AND(ISNUMBER($B1798),$B1798&lt;=클레임조회!$C$5)),OR(클레임조회!$C$6="",$C1798=클레임조회!$C$6),OR(클레임조회!$C$7="",$D1798=클레임조회!$C$7),OR(클레임조회!$C$8="",$E1798=클레임조회!$C$8),OR(클레임조회!$C$9="",$F1798=클레임조회!$C$9),OR(클레임조회!$C$10="",ISNUMBER(SEARCH(클레임조회!$C$10,$C1798&amp;" "&amp;$F1798&amp;" "&amp;$G1798&amp;" "&amp;$H1798)))),COUNT(O$1:O1797)+1,"")</f>
        <v/>
      </c>
      <c r="P1798" s="0" t="str">
        <f aca="false">IF(AND(TRIM(C1798)&lt;&gt;"",COUNTIF(C$2:C1798,C1798)=1),MAX(P$1:P1797)+1,"")</f>
        <v/>
      </c>
      <c r="Q1798" s="0" t="str">
        <f aca="false">IF(AND(TRIM(F1798)&lt;&gt;"",COUNTIF(F$2:F1798,F1798)=1),MAX(Q$1:Q1797)+1,"")</f>
        <v/>
      </c>
    </row>
    <row r="1799" customFormat="false" ht="15" hidden="false" customHeight="false" outlineLevel="0" collapsed="false">
      <c r="A1799" s="9"/>
      <c r="B1799" s="10"/>
      <c r="C1799" s="11"/>
      <c r="D1799" s="11"/>
      <c r="E1799" s="11"/>
      <c r="F1799" s="11"/>
      <c r="G1799" s="12"/>
      <c r="H1799" s="12"/>
      <c r="I1799" s="10"/>
      <c r="J1799" s="12"/>
      <c r="K1799" s="13" t="str">
        <f aca="false">IF(ISNUMBER(B1799),YEAR(B1799),"")</f>
        <v/>
      </c>
      <c r="L1799" s="13" t="str">
        <f aca="false">IF(ISNUMBER(B1799),MONTH(B1799),"")</f>
        <v/>
      </c>
      <c r="M1799" s="13" t="str">
        <f aca="false">IF(AND(ISNUMBER(B1799),ISNUMBER(I1799)),B1799-I1799+1,"")</f>
        <v/>
      </c>
      <c r="N1799" s="14" t="str">
        <f aca="false">IF(B1799="","",IF(M1799="","시작일 미입력",IF(M1799&lt;1,"시작일 이전(확인)",IF(M1799=1,"1일째",IF(M1799=2,"2일째",IF(M1799=3,"3일째",IF(M1799&lt;=7,"일주일 이내",IF(M1799&lt;=14,"이주일 이내","15일 이후"))))))))</f>
        <v/>
      </c>
      <c r="O1799" s="0" t="str">
        <f aca="false">IF(AND(COUNTA($A1799:$J1799)&gt;0,OR(클레임조회!$C$4="",AND(ISNUMBER($B1799),$B1799&gt;=클레임조회!$C$4)),OR(클레임조회!$C$5="",AND(ISNUMBER($B1799),$B1799&lt;=클레임조회!$C$5)),OR(클레임조회!$C$6="",$C1799=클레임조회!$C$6),OR(클레임조회!$C$7="",$D1799=클레임조회!$C$7),OR(클레임조회!$C$8="",$E1799=클레임조회!$C$8),OR(클레임조회!$C$9="",$F1799=클레임조회!$C$9),OR(클레임조회!$C$10="",ISNUMBER(SEARCH(클레임조회!$C$10,$C1799&amp;" "&amp;$F1799&amp;" "&amp;$G1799&amp;" "&amp;$H1799)))),COUNT(O$1:O1798)+1,"")</f>
        <v/>
      </c>
      <c r="P1799" s="0" t="str">
        <f aca="false">IF(AND(TRIM(C1799)&lt;&gt;"",COUNTIF(C$2:C1799,C1799)=1),MAX(P$1:P1798)+1,"")</f>
        <v/>
      </c>
      <c r="Q1799" s="0" t="str">
        <f aca="false">IF(AND(TRIM(F1799)&lt;&gt;"",COUNTIF(F$2:F1799,F1799)=1),MAX(Q$1:Q1798)+1,"")</f>
        <v/>
      </c>
    </row>
    <row r="1800" customFormat="false" ht="15" hidden="false" customHeight="false" outlineLevel="0" collapsed="false">
      <c r="A1800" s="9"/>
      <c r="B1800" s="10"/>
      <c r="C1800" s="11"/>
      <c r="D1800" s="11"/>
      <c r="E1800" s="11"/>
      <c r="F1800" s="11"/>
      <c r="G1800" s="12"/>
      <c r="H1800" s="12"/>
      <c r="I1800" s="10"/>
      <c r="J1800" s="12"/>
      <c r="K1800" s="13" t="str">
        <f aca="false">IF(ISNUMBER(B1800),YEAR(B1800),"")</f>
        <v/>
      </c>
      <c r="L1800" s="13" t="str">
        <f aca="false">IF(ISNUMBER(B1800),MONTH(B1800),"")</f>
        <v/>
      </c>
      <c r="M1800" s="13" t="str">
        <f aca="false">IF(AND(ISNUMBER(B1800),ISNUMBER(I1800)),B1800-I1800+1,"")</f>
        <v/>
      </c>
      <c r="N1800" s="14" t="str">
        <f aca="false">IF(B1800="","",IF(M1800="","시작일 미입력",IF(M1800&lt;1,"시작일 이전(확인)",IF(M1800=1,"1일째",IF(M1800=2,"2일째",IF(M1800=3,"3일째",IF(M1800&lt;=7,"일주일 이내",IF(M1800&lt;=14,"이주일 이내","15일 이후"))))))))</f>
        <v/>
      </c>
      <c r="O1800" s="0" t="str">
        <f aca="false">IF(AND(COUNTA($A1800:$J1800)&gt;0,OR(클레임조회!$C$4="",AND(ISNUMBER($B1800),$B1800&gt;=클레임조회!$C$4)),OR(클레임조회!$C$5="",AND(ISNUMBER($B1800),$B1800&lt;=클레임조회!$C$5)),OR(클레임조회!$C$6="",$C1800=클레임조회!$C$6),OR(클레임조회!$C$7="",$D1800=클레임조회!$C$7),OR(클레임조회!$C$8="",$E1800=클레임조회!$C$8),OR(클레임조회!$C$9="",$F1800=클레임조회!$C$9),OR(클레임조회!$C$10="",ISNUMBER(SEARCH(클레임조회!$C$10,$C1800&amp;" "&amp;$F1800&amp;" "&amp;$G1800&amp;" "&amp;$H1800)))),COUNT(O$1:O1799)+1,"")</f>
        <v/>
      </c>
      <c r="P1800" s="0" t="str">
        <f aca="false">IF(AND(TRIM(C1800)&lt;&gt;"",COUNTIF(C$2:C1800,C1800)=1),MAX(P$1:P1799)+1,"")</f>
        <v/>
      </c>
      <c r="Q1800" s="0" t="str">
        <f aca="false">IF(AND(TRIM(F1800)&lt;&gt;"",COUNTIF(F$2:F1800,F1800)=1),MAX(Q$1:Q1799)+1,"")</f>
        <v/>
      </c>
    </row>
    <row r="1801" customFormat="false" ht="15" hidden="false" customHeight="false" outlineLevel="0" collapsed="false">
      <c r="A1801" s="9"/>
      <c r="B1801" s="10"/>
      <c r="C1801" s="11"/>
      <c r="D1801" s="11"/>
      <c r="E1801" s="11"/>
      <c r="F1801" s="11"/>
      <c r="G1801" s="12"/>
      <c r="H1801" s="12"/>
      <c r="I1801" s="10"/>
      <c r="J1801" s="12"/>
      <c r="K1801" s="13" t="str">
        <f aca="false">IF(ISNUMBER(B1801),YEAR(B1801),"")</f>
        <v/>
      </c>
      <c r="L1801" s="13" t="str">
        <f aca="false">IF(ISNUMBER(B1801),MONTH(B1801),"")</f>
        <v/>
      </c>
      <c r="M1801" s="13" t="str">
        <f aca="false">IF(AND(ISNUMBER(B1801),ISNUMBER(I1801)),B1801-I1801+1,"")</f>
        <v/>
      </c>
      <c r="N1801" s="14" t="str">
        <f aca="false">IF(B1801="","",IF(M1801="","시작일 미입력",IF(M1801&lt;1,"시작일 이전(확인)",IF(M1801=1,"1일째",IF(M1801=2,"2일째",IF(M1801=3,"3일째",IF(M1801&lt;=7,"일주일 이내",IF(M1801&lt;=14,"이주일 이내","15일 이후"))))))))</f>
        <v/>
      </c>
      <c r="O1801" s="0" t="str">
        <f aca="false">IF(AND(COUNTA($A1801:$J1801)&gt;0,OR(클레임조회!$C$4="",AND(ISNUMBER($B1801),$B1801&gt;=클레임조회!$C$4)),OR(클레임조회!$C$5="",AND(ISNUMBER($B1801),$B1801&lt;=클레임조회!$C$5)),OR(클레임조회!$C$6="",$C1801=클레임조회!$C$6),OR(클레임조회!$C$7="",$D1801=클레임조회!$C$7),OR(클레임조회!$C$8="",$E1801=클레임조회!$C$8),OR(클레임조회!$C$9="",$F1801=클레임조회!$C$9),OR(클레임조회!$C$10="",ISNUMBER(SEARCH(클레임조회!$C$10,$C1801&amp;" "&amp;$F1801&amp;" "&amp;$G1801&amp;" "&amp;$H1801)))),COUNT(O$1:O1800)+1,"")</f>
        <v/>
      </c>
      <c r="P1801" s="0" t="str">
        <f aca="false">IF(AND(TRIM(C1801)&lt;&gt;"",COUNTIF(C$2:C1801,C1801)=1),MAX(P$1:P1800)+1,"")</f>
        <v/>
      </c>
      <c r="Q1801" s="0" t="str">
        <f aca="false">IF(AND(TRIM(F1801)&lt;&gt;"",COUNTIF(F$2:F1801,F1801)=1),MAX(Q$1:Q1800)+1,"")</f>
        <v/>
      </c>
    </row>
    <row r="1802" customFormat="false" ht="15" hidden="false" customHeight="false" outlineLevel="0" collapsed="false">
      <c r="A1802" s="9"/>
      <c r="B1802" s="10"/>
      <c r="C1802" s="11"/>
      <c r="D1802" s="11"/>
      <c r="E1802" s="11"/>
      <c r="F1802" s="11"/>
      <c r="G1802" s="12"/>
      <c r="H1802" s="12"/>
      <c r="I1802" s="10"/>
      <c r="J1802" s="12"/>
      <c r="K1802" s="13" t="str">
        <f aca="false">IF(ISNUMBER(B1802),YEAR(B1802),"")</f>
        <v/>
      </c>
      <c r="L1802" s="13" t="str">
        <f aca="false">IF(ISNUMBER(B1802),MONTH(B1802),"")</f>
        <v/>
      </c>
      <c r="M1802" s="13" t="str">
        <f aca="false">IF(AND(ISNUMBER(B1802),ISNUMBER(I1802)),B1802-I1802+1,"")</f>
        <v/>
      </c>
      <c r="N1802" s="14" t="str">
        <f aca="false">IF(B1802="","",IF(M1802="","시작일 미입력",IF(M1802&lt;1,"시작일 이전(확인)",IF(M1802=1,"1일째",IF(M1802=2,"2일째",IF(M1802=3,"3일째",IF(M1802&lt;=7,"일주일 이내",IF(M1802&lt;=14,"이주일 이내","15일 이후"))))))))</f>
        <v/>
      </c>
      <c r="O1802" s="0" t="str">
        <f aca="false">IF(AND(COUNTA($A1802:$J1802)&gt;0,OR(클레임조회!$C$4="",AND(ISNUMBER($B1802),$B1802&gt;=클레임조회!$C$4)),OR(클레임조회!$C$5="",AND(ISNUMBER($B1802),$B1802&lt;=클레임조회!$C$5)),OR(클레임조회!$C$6="",$C1802=클레임조회!$C$6),OR(클레임조회!$C$7="",$D1802=클레임조회!$C$7),OR(클레임조회!$C$8="",$E1802=클레임조회!$C$8),OR(클레임조회!$C$9="",$F1802=클레임조회!$C$9),OR(클레임조회!$C$10="",ISNUMBER(SEARCH(클레임조회!$C$10,$C1802&amp;" "&amp;$F1802&amp;" "&amp;$G1802&amp;" "&amp;$H1802)))),COUNT(O$1:O1801)+1,"")</f>
        <v/>
      </c>
      <c r="P1802" s="0" t="str">
        <f aca="false">IF(AND(TRIM(C1802)&lt;&gt;"",COUNTIF(C$2:C1802,C1802)=1),MAX(P$1:P1801)+1,"")</f>
        <v/>
      </c>
      <c r="Q1802" s="0" t="str">
        <f aca="false">IF(AND(TRIM(F1802)&lt;&gt;"",COUNTIF(F$2:F1802,F1802)=1),MAX(Q$1:Q1801)+1,"")</f>
        <v/>
      </c>
    </row>
    <row r="1803" customFormat="false" ht="15" hidden="false" customHeight="false" outlineLevel="0" collapsed="false">
      <c r="A1803" s="9"/>
      <c r="B1803" s="10"/>
      <c r="C1803" s="11"/>
      <c r="D1803" s="11"/>
      <c r="E1803" s="11"/>
      <c r="F1803" s="11"/>
      <c r="G1803" s="12"/>
      <c r="H1803" s="12"/>
      <c r="I1803" s="10"/>
      <c r="J1803" s="12"/>
      <c r="K1803" s="13" t="str">
        <f aca="false">IF(ISNUMBER(B1803),YEAR(B1803),"")</f>
        <v/>
      </c>
      <c r="L1803" s="13" t="str">
        <f aca="false">IF(ISNUMBER(B1803),MONTH(B1803),"")</f>
        <v/>
      </c>
      <c r="M1803" s="13" t="str">
        <f aca="false">IF(AND(ISNUMBER(B1803),ISNUMBER(I1803)),B1803-I1803+1,"")</f>
        <v/>
      </c>
      <c r="N1803" s="14" t="str">
        <f aca="false">IF(B1803="","",IF(M1803="","시작일 미입력",IF(M1803&lt;1,"시작일 이전(확인)",IF(M1803=1,"1일째",IF(M1803=2,"2일째",IF(M1803=3,"3일째",IF(M1803&lt;=7,"일주일 이내",IF(M1803&lt;=14,"이주일 이내","15일 이후"))))))))</f>
        <v/>
      </c>
      <c r="O1803" s="0" t="str">
        <f aca="false">IF(AND(COUNTA($A1803:$J1803)&gt;0,OR(클레임조회!$C$4="",AND(ISNUMBER($B1803),$B1803&gt;=클레임조회!$C$4)),OR(클레임조회!$C$5="",AND(ISNUMBER($B1803),$B1803&lt;=클레임조회!$C$5)),OR(클레임조회!$C$6="",$C1803=클레임조회!$C$6),OR(클레임조회!$C$7="",$D1803=클레임조회!$C$7),OR(클레임조회!$C$8="",$E1803=클레임조회!$C$8),OR(클레임조회!$C$9="",$F1803=클레임조회!$C$9),OR(클레임조회!$C$10="",ISNUMBER(SEARCH(클레임조회!$C$10,$C1803&amp;" "&amp;$F1803&amp;" "&amp;$G1803&amp;" "&amp;$H1803)))),COUNT(O$1:O1802)+1,"")</f>
        <v/>
      </c>
      <c r="P1803" s="0" t="str">
        <f aca="false">IF(AND(TRIM(C1803)&lt;&gt;"",COUNTIF(C$2:C1803,C1803)=1),MAX(P$1:P1802)+1,"")</f>
        <v/>
      </c>
      <c r="Q1803" s="0" t="str">
        <f aca="false">IF(AND(TRIM(F1803)&lt;&gt;"",COUNTIF(F$2:F1803,F1803)=1),MAX(Q$1:Q1802)+1,"")</f>
        <v/>
      </c>
    </row>
    <row r="1804" customFormat="false" ht="15" hidden="false" customHeight="false" outlineLevel="0" collapsed="false">
      <c r="A1804" s="9"/>
      <c r="B1804" s="10"/>
      <c r="C1804" s="11"/>
      <c r="D1804" s="11"/>
      <c r="E1804" s="11"/>
      <c r="F1804" s="11"/>
      <c r="G1804" s="12"/>
      <c r="H1804" s="12"/>
      <c r="I1804" s="10"/>
      <c r="J1804" s="12"/>
      <c r="K1804" s="13" t="str">
        <f aca="false">IF(ISNUMBER(B1804),YEAR(B1804),"")</f>
        <v/>
      </c>
      <c r="L1804" s="13" t="str">
        <f aca="false">IF(ISNUMBER(B1804),MONTH(B1804),"")</f>
        <v/>
      </c>
      <c r="M1804" s="13" t="str">
        <f aca="false">IF(AND(ISNUMBER(B1804),ISNUMBER(I1804)),B1804-I1804+1,"")</f>
        <v/>
      </c>
      <c r="N1804" s="14" t="str">
        <f aca="false">IF(B1804="","",IF(M1804="","시작일 미입력",IF(M1804&lt;1,"시작일 이전(확인)",IF(M1804=1,"1일째",IF(M1804=2,"2일째",IF(M1804=3,"3일째",IF(M1804&lt;=7,"일주일 이내",IF(M1804&lt;=14,"이주일 이내","15일 이후"))))))))</f>
        <v/>
      </c>
      <c r="O1804" s="0" t="str">
        <f aca="false">IF(AND(COUNTA($A1804:$J1804)&gt;0,OR(클레임조회!$C$4="",AND(ISNUMBER($B1804),$B1804&gt;=클레임조회!$C$4)),OR(클레임조회!$C$5="",AND(ISNUMBER($B1804),$B1804&lt;=클레임조회!$C$5)),OR(클레임조회!$C$6="",$C1804=클레임조회!$C$6),OR(클레임조회!$C$7="",$D1804=클레임조회!$C$7),OR(클레임조회!$C$8="",$E1804=클레임조회!$C$8),OR(클레임조회!$C$9="",$F1804=클레임조회!$C$9),OR(클레임조회!$C$10="",ISNUMBER(SEARCH(클레임조회!$C$10,$C1804&amp;" "&amp;$F1804&amp;" "&amp;$G1804&amp;" "&amp;$H1804)))),COUNT(O$1:O1803)+1,"")</f>
        <v/>
      </c>
      <c r="P1804" s="0" t="str">
        <f aca="false">IF(AND(TRIM(C1804)&lt;&gt;"",COUNTIF(C$2:C1804,C1804)=1),MAX(P$1:P1803)+1,"")</f>
        <v/>
      </c>
      <c r="Q1804" s="0" t="str">
        <f aca="false">IF(AND(TRIM(F1804)&lt;&gt;"",COUNTIF(F$2:F1804,F1804)=1),MAX(Q$1:Q1803)+1,"")</f>
        <v/>
      </c>
    </row>
    <row r="1805" customFormat="false" ht="15" hidden="false" customHeight="false" outlineLevel="0" collapsed="false">
      <c r="A1805" s="9"/>
      <c r="B1805" s="10"/>
      <c r="C1805" s="11"/>
      <c r="D1805" s="11"/>
      <c r="E1805" s="11"/>
      <c r="F1805" s="11"/>
      <c r="G1805" s="12"/>
      <c r="H1805" s="12"/>
      <c r="I1805" s="10"/>
      <c r="J1805" s="12"/>
      <c r="K1805" s="13" t="str">
        <f aca="false">IF(ISNUMBER(B1805),YEAR(B1805),"")</f>
        <v/>
      </c>
      <c r="L1805" s="13" t="str">
        <f aca="false">IF(ISNUMBER(B1805),MONTH(B1805),"")</f>
        <v/>
      </c>
      <c r="M1805" s="13" t="str">
        <f aca="false">IF(AND(ISNUMBER(B1805),ISNUMBER(I1805)),B1805-I1805+1,"")</f>
        <v/>
      </c>
      <c r="N1805" s="14" t="str">
        <f aca="false">IF(B1805="","",IF(M1805="","시작일 미입력",IF(M1805&lt;1,"시작일 이전(확인)",IF(M1805=1,"1일째",IF(M1805=2,"2일째",IF(M1805=3,"3일째",IF(M1805&lt;=7,"일주일 이내",IF(M1805&lt;=14,"이주일 이내","15일 이후"))))))))</f>
        <v/>
      </c>
      <c r="O1805" s="0" t="str">
        <f aca="false">IF(AND(COUNTA($A1805:$J1805)&gt;0,OR(클레임조회!$C$4="",AND(ISNUMBER($B1805),$B1805&gt;=클레임조회!$C$4)),OR(클레임조회!$C$5="",AND(ISNUMBER($B1805),$B1805&lt;=클레임조회!$C$5)),OR(클레임조회!$C$6="",$C1805=클레임조회!$C$6),OR(클레임조회!$C$7="",$D1805=클레임조회!$C$7),OR(클레임조회!$C$8="",$E1805=클레임조회!$C$8),OR(클레임조회!$C$9="",$F1805=클레임조회!$C$9),OR(클레임조회!$C$10="",ISNUMBER(SEARCH(클레임조회!$C$10,$C1805&amp;" "&amp;$F1805&amp;" "&amp;$G1805&amp;" "&amp;$H1805)))),COUNT(O$1:O1804)+1,"")</f>
        <v/>
      </c>
      <c r="P1805" s="0" t="str">
        <f aca="false">IF(AND(TRIM(C1805)&lt;&gt;"",COUNTIF(C$2:C1805,C1805)=1),MAX(P$1:P1804)+1,"")</f>
        <v/>
      </c>
      <c r="Q1805" s="0" t="str">
        <f aca="false">IF(AND(TRIM(F1805)&lt;&gt;"",COUNTIF(F$2:F1805,F1805)=1),MAX(Q$1:Q1804)+1,"")</f>
        <v/>
      </c>
    </row>
    <row r="1806" customFormat="false" ht="15" hidden="false" customHeight="false" outlineLevel="0" collapsed="false">
      <c r="A1806" s="9"/>
      <c r="B1806" s="10"/>
      <c r="C1806" s="11"/>
      <c r="D1806" s="11"/>
      <c r="E1806" s="11"/>
      <c r="F1806" s="11"/>
      <c r="G1806" s="12"/>
      <c r="H1806" s="12"/>
      <c r="I1806" s="10"/>
      <c r="J1806" s="12"/>
      <c r="K1806" s="13" t="str">
        <f aca="false">IF(ISNUMBER(B1806),YEAR(B1806),"")</f>
        <v/>
      </c>
      <c r="L1806" s="13" t="str">
        <f aca="false">IF(ISNUMBER(B1806),MONTH(B1806),"")</f>
        <v/>
      </c>
      <c r="M1806" s="13" t="str">
        <f aca="false">IF(AND(ISNUMBER(B1806),ISNUMBER(I1806)),B1806-I1806+1,"")</f>
        <v/>
      </c>
      <c r="N1806" s="14" t="str">
        <f aca="false">IF(B1806="","",IF(M1806="","시작일 미입력",IF(M1806&lt;1,"시작일 이전(확인)",IF(M1806=1,"1일째",IF(M1806=2,"2일째",IF(M1806=3,"3일째",IF(M1806&lt;=7,"일주일 이내",IF(M1806&lt;=14,"이주일 이내","15일 이후"))))))))</f>
        <v/>
      </c>
      <c r="O1806" s="0" t="str">
        <f aca="false">IF(AND(COUNTA($A1806:$J1806)&gt;0,OR(클레임조회!$C$4="",AND(ISNUMBER($B1806),$B1806&gt;=클레임조회!$C$4)),OR(클레임조회!$C$5="",AND(ISNUMBER($B1806),$B1806&lt;=클레임조회!$C$5)),OR(클레임조회!$C$6="",$C1806=클레임조회!$C$6),OR(클레임조회!$C$7="",$D1806=클레임조회!$C$7),OR(클레임조회!$C$8="",$E1806=클레임조회!$C$8),OR(클레임조회!$C$9="",$F1806=클레임조회!$C$9),OR(클레임조회!$C$10="",ISNUMBER(SEARCH(클레임조회!$C$10,$C1806&amp;" "&amp;$F1806&amp;" "&amp;$G1806&amp;" "&amp;$H1806)))),COUNT(O$1:O1805)+1,"")</f>
        <v/>
      </c>
      <c r="P1806" s="0" t="str">
        <f aca="false">IF(AND(TRIM(C1806)&lt;&gt;"",COUNTIF(C$2:C1806,C1806)=1),MAX(P$1:P1805)+1,"")</f>
        <v/>
      </c>
      <c r="Q1806" s="0" t="str">
        <f aca="false">IF(AND(TRIM(F1806)&lt;&gt;"",COUNTIF(F$2:F1806,F1806)=1),MAX(Q$1:Q1805)+1,"")</f>
        <v/>
      </c>
    </row>
    <row r="1807" customFormat="false" ht="15" hidden="false" customHeight="false" outlineLevel="0" collapsed="false">
      <c r="A1807" s="9"/>
      <c r="B1807" s="10"/>
      <c r="C1807" s="11"/>
      <c r="D1807" s="11"/>
      <c r="E1807" s="11"/>
      <c r="F1807" s="11"/>
      <c r="G1807" s="12"/>
      <c r="H1807" s="12"/>
      <c r="I1807" s="10"/>
      <c r="J1807" s="12"/>
      <c r="K1807" s="13" t="str">
        <f aca="false">IF(ISNUMBER(B1807),YEAR(B1807),"")</f>
        <v/>
      </c>
      <c r="L1807" s="13" t="str">
        <f aca="false">IF(ISNUMBER(B1807),MONTH(B1807),"")</f>
        <v/>
      </c>
      <c r="M1807" s="13" t="str">
        <f aca="false">IF(AND(ISNUMBER(B1807),ISNUMBER(I1807)),B1807-I1807+1,"")</f>
        <v/>
      </c>
      <c r="N1807" s="14" t="str">
        <f aca="false">IF(B1807="","",IF(M1807="","시작일 미입력",IF(M1807&lt;1,"시작일 이전(확인)",IF(M1807=1,"1일째",IF(M1807=2,"2일째",IF(M1807=3,"3일째",IF(M1807&lt;=7,"일주일 이내",IF(M1807&lt;=14,"이주일 이내","15일 이후"))))))))</f>
        <v/>
      </c>
      <c r="O1807" s="0" t="str">
        <f aca="false">IF(AND(COUNTA($A1807:$J1807)&gt;0,OR(클레임조회!$C$4="",AND(ISNUMBER($B1807),$B1807&gt;=클레임조회!$C$4)),OR(클레임조회!$C$5="",AND(ISNUMBER($B1807),$B1807&lt;=클레임조회!$C$5)),OR(클레임조회!$C$6="",$C1807=클레임조회!$C$6),OR(클레임조회!$C$7="",$D1807=클레임조회!$C$7),OR(클레임조회!$C$8="",$E1807=클레임조회!$C$8),OR(클레임조회!$C$9="",$F1807=클레임조회!$C$9),OR(클레임조회!$C$10="",ISNUMBER(SEARCH(클레임조회!$C$10,$C1807&amp;" "&amp;$F1807&amp;" "&amp;$G1807&amp;" "&amp;$H1807)))),COUNT(O$1:O1806)+1,"")</f>
        <v/>
      </c>
      <c r="P1807" s="0" t="str">
        <f aca="false">IF(AND(TRIM(C1807)&lt;&gt;"",COUNTIF(C$2:C1807,C1807)=1),MAX(P$1:P1806)+1,"")</f>
        <v/>
      </c>
      <c r="Q1807" s="0" t="str">
        <f aca="false">IF(AND(TRIM(F1807)&lt;&gt;"",COUNTIF(F$2:F1807,F1807)=1),MAX(Q$1:Q1806)+1,"")</f>
        <v/>
      </c>
    </row>
    <row r="1808" customFormat="false" ht="15" hidden="false" customHeight="false" outlineLevel="0" collapsed="false">
      <c r="A1808" s="9"/>
      <c r="B1808" s="10"/>
      <c r="C1808" s="11"/>
      <c r="D1808" s="11"/>
      <c r="E1808" s="11"/>
      <c r="F1808" s="11"/>
      <c r="G1808" s="12"/>
      <c r="H1808" s="12"/>
      <c r="I1808" s="10"/>
      <c r="J1808" s="12"/>
      <c r="K1808" s="13" t="str">
        <f aca="false">IF(ISNUMBER(B1808),YEAR(B1808),"")</f>
        <v/>
      </c>
      <c r="L1808" s="13" t="str">
        <f aca="false">IF(ISNUMBER(B1808),MONTH(B1808),"")</f>
        <v/>
      </c>
      <c r="M1808" s="13" t="str">
        <f aca="false">IF(AND(ISNUMBER(B1808),ISNUMBER(I1808)),B1808-I1808+1,"")</f>
        <v/>
      </c>
      <c r="N1808" s="14" t="str">
        <f aca="false">IF(B1808="","",IF(M1808="","시작일 미입력",IF(M1808&lt;1,"시작일 이전(확인)",IF(M1808=1,"1일째",IF(M1808=2,"2일째",IF(M1808=3,"3일째",IF(M1808&lt;=7,"일주일 이내",IF(M1808&lt;=14,"이주일 이내","15일 이후"))))))))</f>
        <v/>
      </c>
      <c r="O1808" s="0" t="str">
        <f aca="false">IF(AND(COUNTA($A1808:$J1808)&gt;0,OR(클레임조회!$C$4="",AND(ISNUMBER($B1808),$B1808&gt;=클레임조회!$C$4)),OR(클레임조회!$C$5="",AND(ISNUMBER($B1808),$B1808&lt;=클레임조회!$C$5)),OR(클레임조회!$C$6="",$C1808=클레임조회!$C$6),OR(클레임조회!$C$7="",$D1808=클레임조회!$C$7),OR(클레임조회!$C$8="",$E1808=클레임조회!$C$8),OR(클레임조회!$C$9="",$F1808=클레임조회!$C$9),OR(클레임조회!$C$10="",ISNUMBER(SEARCH(클레임조회!$C$10,$C1808&amp;" "&amp;$F1808&amp;" "&amp;$G1808&amp;" "&amp;$H1808)))),COUNT(O$1:O1807)+1,"")</f>
        <v/>
      </c>
      <c r="P1808" s="0" t="str">
        <f aca="false">IF(AND(TRIM(C1808)&lt;&gt;"",COUNTIF(C$2:C1808,C1808)=1),MAX(P$1:P1807)+1,"")</f>
        <v/>
      </c>
      <c r="Q1808" s="0" t="str">
        <f aca="false">IF(AND(TRIM(F1808)&lt;&gt;"",COUNTIF(F$2:F1808,F1808)=1),MAX(Q$1:Q1807)+1,"")</f>
        <v/>
      </c>
    </row>
    <row r="1809" customFormat="false" ht="15" hidden="false" customHeight="false" outlineLevel="0" collapsed="false">
      <c r="A1809" s="9"/>
      <c r="B1809" s="10"/>
      <c r="C1809" s="11"/>
      <c r="D1809" s="11"/>
      <c r="E1809" s="11"/>
      <c r="F1809" s="11"/>
      <c r="G1809" s="12"/>
      <c r="H1809" s="12"/>
      <c r="I1809" s="10"/>
      <c r="J1809" s="12"/>
      <c r="K1809" s="13" t="str">
        <f aca="false">IF(ISNUMBER(B1809),YEAR(B1809),"")</f>
        <v/>
      </c>
      <c r="L1809" s="13" t="str">
        <f aca="false">IF(ISNUMBER(B1809),MONTH(B1809),"")</f>
        <v/>
      </c>
      <c r="M1809" s="13" t="str">
        <f aca="false">IF(AND(ISNUMBER(B1809),ISNUMBER(I1809)),B1809-I1809+1,"")</f>
        <v/>
      </c>
      <c r="N1809" s="14" t="str">
        <f aca="false">IF(B1809="","",IF(M1809="","시작일 미입력",IF(M1809&lt;1,"시작일 이전(확인)",IF(M1809=1,"1일째",IF(M1809=2,"2일째",IF(M1809=3,"3일째",IF(M1809&lt;=7,"일주일 이내",IF(M1809&lt;=14,"이주일 이내","15일 이후"))))))))</f>
        <v/>
      </c>
      <c r="O1809" s="0" t="str">
        <f aca="false">IF(AND(COUNTA($A1809:$J1809)&gt;0,OR(클레임조회!$C$4="",AND(ISNUMBER($B1809),$B1809&gt;=클레임조회!$C$4)),OR(클레임조회!$C$5="",AND(ISNUMBER($B1809),$B1809&lt;=클레임조회!$C$5)),OR(클레임조회!$C$6="",$C1809=클레임조회!$C$6),OR(클레임조회!$C$7="",$D1809=클레임조회!$C$7),OR(클레임조회!$C$8="",$E1809=클레임조회!$C$8),OR(클레임조회!$C$9="",$F1809=클레임조회!$C$9),OR(클레임조회!$C$10="",ISNUMBER(SEARCH(클레임조회!$C$10,$C1809&amp;" "&amp;$F1809&amp;" "&amp;$G1809&amp;" "&amp;$H1809)))),COUNT(O$1:O1808)+1,"")</f>
        <v/>
      </c>
      <c r="P1809" s="0" t="str">
        <f aca="false">IF(AND(TRIM(C1809)&lt;&gt;"",COUNTIF(C$2:C1809,C1809)=1),MAX(P$1:P1808)+1,"")</f>
        <v/>
      </c>
      <c r="Q1809" s="0" t="str">
        <f aca="false">IF(AND(TRIM(F1809)&lt;&gt;"",COUNTIF(F$2:F1809,F1809)=1),MAX(Q$1:Q1808)+1,"")</f>
        <v/>
      </c>
    </row>
    <row r="1810" customFormat="false" ht="15" hidden="false" customHeight="false" outlineLevel="0" collapsed="false">
      <c r="A1810" s="9"/>
      <c r="B1810" s="10"/>
      <c r="C1810" s="11"/>
      <c r="D1810" s="11"/>
      <c r="E1810" s="11"/>
      <c r="F1810" s="11"/>
      <c r="G1810" s="12"/>
      <c r="H1810" s="12"/>
      <c r="I1810" s="10"/>
      <c r="J1810" s="12"/>
      <c r="K1810" s="13" t="str">
        <f aca="false">IF(ISNUMBER(B1810),YEAR(B1810),"")</f>
        <v/>
      </c>
      <c r="L1810" s="13" t="str">
        <f aca="false">IF(ISNUMBER(B1810),MONTH(B1810),"")</f>
        <v/>
      </c>
      <c r="M1810" s="13" t="str">
        <f aca="false">IF(AND(ISNUMBER(B1810),ISNUMBER(I1810)),B1810-I1810+1,"")</f>
        <v/>
      </c>
      <c r="N1810" s="14" t="str">
        <f aca="false">IF(B1810="","",IF(M1810="","시작일 미입력",IF(M1810&lt;1,"시작일 이전(확인)",IF(M1810=1,"1일째",IF(M1810=2,"2일째",IF(M1810=3,"3일째",IF(M1810&lt;=7,"일주일 이내",IF(M1810&lt;=14,"이주일 이내","15일 이후"))))))))</f>
        <v/>
      </c>
      <c r="O1810" s="0" t="str">
        <f aca="false">IF(AND(COUNTA($A1810:$J1810)&gt;0,OR(클레임조회!$C$4="",AND(ISNUMBER($B1810),$B1810&gt;=클레임조회!$C$4)),OR(클레임조회!$C$5="",AND(ISNUMBER($B1810),$B1810&lt;=클레임조회!$C$5)),OR(클레임조회!$C$6="",$C1810=클레임조회!$C$6),OR(클레임조회!$C$7="",$D1810=클레임조회!$C$7),OR(클레임조회!$C$8="",$E1810=클레임조회!$C$8),OR(클레임조회!$C$9="",$F1810=클레임조회!$C$9),OR(클레임조회!$C$10="",ISNUMBER(SEARCH(클레임조회!$C$10,$C1810&amp;" "&amp;$F1810&amp;" "&amp;$G1810&amp;" "&amp;$H1810)))),COUNT(O$1:O1809)+1,"")</f>
        <v/>
      </c>
      <c r="P1810" s="0" t="str">
        <f aca="false">IF(AND(TRIM(C1810)&lt;&gt;"",COUNTIF(C$2:C1810,C1810)=1),MAX(P$1:P1809)+1,"")</f>
        <v/>
      </c>
      <c r="Q1810" s="0" t="str">
        <f aca="false">IF(AND(TRIM(F1810)&lt;&gt;"",COUNTIF(F$2:F1810,F1810)=1),MAX(Q$1:Q1809)+1,"")</f>
        <v/>
      </c>
    </row>
    <row r="1811" customFormat="false" ht="15" hidden="false" customHeight="false" outlineLevel="0" collapsed="false">
      <c r="A1811" s="9"/>
      <c r="B1811" s="10"/>
      <c r="C1811" s="11"/>
      <c r="D1811" s="11"/>
      <c r="E1811" s="11"/>
      <c r="F1811" s="11"/>
      <c r="G1811" s="12"/>
      <c r="H1811" s="12"/>
      <c r="I1811" s="10"/>
      <c r="J1811" s="12"/>
      <c r="K1811" s="13" t="str">
        <f aca="false">IF(ISNUMBER(B1811),YEAR(B1811),"")</f>
        <v/>
      </c>
      <c r="L1811" s="13" t="str">
        <f aca="false">IF(ISNUMBER(B1811),MONTH(B1811),"")</f>
        <v/>
      </c>
      <c r="M1811" s="13" t="str">
        <f aca="false">IF(AND(ISNUMBER(B1811),ISNUMBER(I1811)),B1811-I1811+1,"")</f>
        <v/>
      </c>
      <c r="N1811" s="14" t="str">
        <f aca="false">IF(B1811="","",IF(M1811="","시작일 미입력",IF(M1811&lt;1,"시작일 이전(확인)",IF(M1811=1,"1일째",IF(M1811=2,"2일째",IF(M1811=3,"3일째",IF(M1811&lt;=7,"일주일 이내",IF(M1811&lt;=14,"이주일 이내","15일 이후"))))))))</f>
        <v/>
      </c>
      <c r="O1811" s="0" t="str">
        <f aca="false">IF(AND(COUNTA($A1811:$J1811)&gt;0,OR(클레임조회!$C$4="",AND(ISNUMBER($B1811),$B1811&gt;=클레임조회!$C$4)),OR(클레임조회!$C$5="",AND(ISNUMBER($B1811),$B1811&lt;=클레임조회!$C$5)),OR(클레임조회!$C$6="",$C1811=클레임조회!$C$6),OR(클레임조회!$C$7="",$D1811=클레임조회!$C$7),OR(클레임조회!$C$8="",$E1811=클레임조회!$C$8),OR(클레임조회!$C$9="",$F1811=클레임조회!$C$9),OR(클레임조회!$C$10="",ISNUMBER(SEARCH(클레임조회!$C$10,$C1811&amp;" "&amp;$F1811&amp;" "&amp;$G1811&amp;" "&amp;$H1811)))),COUNT(O$1:O1810)+1,"")</f>
        <v/>
      </c>
      <c r="P1811" s="0" t="str">
        <f aca="false">IF(AND(TRIM(C1811)&lt;&gt;"",COUNTIF(C$2:C1811,C1811)=1),MAX(P$1:P1810)+1,"")</f>
        <v/>
      </c>
      <c r="Q1811" s="0" t="str">
        <f aca="false">IF(AND(TRIM(F1811)&lt;&gt;"",COUNTIF(F$2:F1811,F1811)=1),MAX(Q$1:Q1810)+1,"")</f>
        <v/>
      </c>
    </row>
    <row r="1812" customFormat="false" ht="15" hidden="false" customHeight="false" outlineLevel="0" collapsed="false">
      <c r="A1812" s="9"/>
      <c r="B1812" s="10"/>
      <c r="C1812" s="11"/>
      <c r="D1812" s="11"/>
      <c r="E1812" s="11"/>
      <c r="F1812" s="11"/>
      <c r="G1812" s="12"/>
      <c r="H1812" s="12"/>
      <c r="I1812" s="10"/>
      <c r="J1812" s="12"/>
      <c r="K1812" s="13" t="str">
        <f aca="false">IF(ISNUMBER(B1812),YEAR(B1812),"")</f>
        <v/>
      </c>
      <c r="L1812" s="13" t="str">
        <f aca="false">IF(ISNUMBER(B1812),MONTH(B1812),"")</f>
        <v/>
      </c>
      <c r="M1812" s="13" t="str">
        <f aca="false">IF(AND(ISNUMBER(B1812),ISNUMBER(I1812)),B1812-I1812+1,"")</f>
        <v/>
      </c>
      <c r="N1812" s="14" t="str">
        <f aca="false">IF(B1812="","",IF(M1812="","시작일 미입력",IF(M1812&lt;1,"시작일 이전(확인)",IF(M1812=1,"1일째",IF(M1812=2,"2일째",IF(M1812=3,"3일째",IF(M1812&lt;=7,"일주일 이내",IF(M1812&lt;=14,"이주일 이내","15일 이후"))))))))</f>
        <v/>
      </c>
      <c r="O1812" s="0" t="str">
        <f aca="false">IF(AND(COUNTA($A1812:$J1812)&gt;0,OR(클레임조회!$C$4="",AND(ISNUMBER($B1812),$B1812&gt;=클레임조회!$C$4)),OR(클레임조회!$C$5="",AND(ISNUMBER($B1812),$B1812&lt;=클레임조회!$C$5)),OR(클레임조회!$C$6="",$C1812=클레임조회!$C$6),OR(클레임조회!$C$7="",$D1812=클레임조회!$C$7),OR(클레임조회!$C$8="",$E1812=클레임조회!$C$8),OR(클레임조회!$C$9="",$F1812=클레임조회!$C$9),OR(클레임조회!$C$10="",ISNUMBER(SEARCH(클레임조회!$C$10,$C1812&amp;" "&amp;$F1812&amp;" "&amp;$G1812&amp;" "&amp;$H1812)))),COUNT(O$1:O1811)+1,"")</f>
        <v/>
      </c>
      <c r="P1812" s="0" t="str">
        <f aca="false">IF(AND(TRIM(C1812)&lt;&gt;"",COUNTIF(C$2:C1812,C1812)=1),MAX(P$1:P1811)+1,"")</f>
        <v/>
      </c>
      <c r="Q1812" s="0" t="str">
        <f aca="false">IF(AND(TRIM(F1812)&lt;&gt;"",COUNTIF(F$2:F1812,F1812)=1),MAX(Q$1:Q1811)+1,"")</f>
        <v/>
      </c>
    </row>
    <row r="1813" customFormat="false" ht="15" hidden="false" customHeight="false" outlineLevel="0" collapsed="false">
      <c r="A1813" s="9"/>
      <c r="B1813" s="10"/>
      <c r="C1813" s="11"/>
      <c r="D1813" s="11"/>
      <c r="E1813" s="11"/>
      <c r="F1813" s="11"/>
      <c r="G1813" s="12"/>
      <c r="H1813" s="12"/>
      <c r="I1813" s="10"/>
      <c r="J1813" s="12"/>
      <c r="K1813" s="13" t="str">
        <f aca="false">IF(ISNUMBER(B1813),YEAR(B1813),"")</f>
        <v/>
      </c>
      <c r="L1813" s="13" t="str">
        <f aca="false">IF(ISNUMBER(B1813),MONTH(B1813),"")</f>
        <v/>
      </c>
      <c r="M1813" s="13" t="str">
        <f aca="false">IF(AND(ISNUMBER(B1813),ISNUMBER(I1813)),B1813-I1813+1,"")</f>
        <v/>
      </c>
      <c r="N1813" s="14" t="str">
        <f aca="false">IF(B1813="","",IF(M1813="","시작일 미입력",IF(M1813&lt;1,"시작일 이전(확인)",IF(M1813=1,"1일째",IF(M1813=2,"2일째",IF(M1813=3,"3일째",IF(M1813&lt;=7,"일주일 이내",IF(M1813&lt;=14,"이주일 이내","15일 이후"))))))))</f>
        <v/>
      </c>
      <c r="O1813" s="0" t="str">
        <f aca="false">IF(AND(COUNTA($A1813:$J1813)&gt;0,OR(클레임조회!$C$4="",AND(ISNUMBER($B1813),$B1813&gt;=클레임조회!$C$4)),OR(클레임조회!$C$5="",AND(ISNUMBER($B1813),$B1813&lt;=클레임조회!$C$5)),OR(클레임조회!$C$6="",$C1813=클레임조회!$C$6),OR(클레임조회!$C$7="",$D1813=클레임조회!$C$7),OR(클레임조회!$C$8="",$E1813=클레임조회!$C$8),OR(클레임조회!$C$9="",$F1813=클레임조회!$C$9),OR(클레임조회!$C$10="",ISNUMBER(SEARCH(클레임조회!$C$10,$C1813&amp;" "&amp;$F1813&amp;" "&amp;$G1813&amp;" "&amp;$H1813)))),COUNT(O$1:O1812)+1,"")</f>
        <v/>
      </c>
      <c r="P1813" s="0" t="str">
        <f aca="false">IF(AND(TRIM(C1813)&lt;&gt;"",COUNTIF(C$2:C1813,C1813)=1),MAX(P$1:P1812)+1,"")</f>
        <v/>
      </c>
      <c r="Q1813" s="0" t="str">
        <f aca="false">IF(AND(TRIM(F1813)&lt;&gt;"",COUNTIF(F$2:F1813,F1813)=1),MAX(Q$1:Q1812)+1,"")</f>
        <v/>
      </c>
    </row>
    <row r="1814" customFormat="false" ht="15" hidden="false" customHeight="false" outlineLevel="0" collapsed="false">
      <c r="A1814" s="9"/>
      <c r="B1814" s="10"/>
      <c r="C1814" s="11"/>
      <c r="D1814" s="11"/>
      <c r="E1814" s="11"/>
      <c r="F1814" s="11"/>
      <c r="G1814" s="12"/>
      <c r="H1814" s="12"/>
      <c r="I1814" s="10"/>
      <c r="J1814" s="12"/>
      <c r="K1814" s="13" t="str">
        <f aca="false">IF(ISNUMBER(B1814),YEAR(B1814),"")</f>
        <v/>
      </c>
      <c r="L1814" s="13" t="str">
        <f aca="false">IF(ISNUMBER(B1814),MONTH(B1814),"")</f>
        <v/>
      </c>
      <c r="M1814" s="13" t="str">
        <f aca="false">IF(AND(ISNUMBER(B1814),ISNUMBER(I1814)),B1814-I1814+1,"")</f>
        <v/>
      </c>
      <c r="N1814" s="14" t="str">
        <f aca="false">IF(B1814="","",IF(M1814="","시작일 미입력",IF(M1814&lt;1,"시작일 이전(확인)",IF(M1814=1,"1일째",IF(M1814=2,"2일째",IF(M1814=3,"3일째",IF(M1814&lt;=7,"일주일 이내",IF(M1814&lt;=14,"이주일 이내","15일 이후"))))))))</f>
        <v/>
      </c>
      <c r="O1814" s="0" t="str">
        <f aca="false">IF(AND(COUNTA($A1814:$J1814)&gt;0,OR(클레임조회!$C$4="",AND(ISNUMBER($B1814),$B1814&gt;=클레임조회!$C$4)),OR(클레임조회!$C$5="",AND(ISNUMBER($B1814),$B1814&lt;=클레임조회!$C$5)),OR(클레임조회!$C$6="",$C1814=클레임조회!$C$6),OR(클레임조회!$C$7="",$D1814=클레임조회!$C$7),OR(클레임조회!$C$8="",$E1814=클레임조회!$C$8),OR(클레임조회!$C$9="",$F1814=클레임조회!$C$9),OR(클레임조회!$C$10="",ISNUMBER(SEARCH(클레임조회!$C$10,$C1814&amp;" "&amp;$F1814&amp;" "&amp;$G1814&amp;" "&amp;$H1814)))),COUNT(O$1:O1813)+1,"")</f>
        <v/>
      </c>
      <c r="P1814" s="0" t="str">
        <f aca="false">IF(AND(TRIM(C1814)&lt;&gt;"",COUNTIF(C$2:C1814,C1814)=1),MAX(P$1:P1813)+1,"")</f>
        <v/>
      </c>
      <c r="Q1814" s="0" t="str">
        <f aca="false">IF(AND(TRIM(F1814)&lt;&gt;"",COUNTIF(F$2:F1814,F1814)=1),MAX(Q$1:Q1813)+1,"")</f>
        <v/>
      </c>
    </row>
    <row r="1815" customFormat="false" ht="15" hidden="false" customHeight="false" outlineLevel="0" collapsed="false">
      <c r="A1815" s="9"/>
      <c r="B1815" s="10"/>
      <c r="C1815" s="11"/>
      <c r="D1815" s="11"/>
      <c r="E1815" s="11"/>
      <c r="F1815" s="11"/>
      <c r="G1815" s="12"/>
      <c r="H1815" s="12"/>
      <c r="I1815" s="10"/>
      <c r="J1815" s="12"/>
      <c r="K1815" s="13" t="str">
        <f aca="false">IF(ISNUMBER(B1815),YEAR(B1815),"")</f>
        <v/>
      </c>
      <c r="L1815" s="13" t="str">
        <f aca="false">IF(ISNUMBER(B1815),MONTH(B1815),"")</f>
        <v/>
      </c>
      <c r="M1815" s="13" t="str">
        <f aca="false">IF(AND(ISNUMBER(B1815),ISNUMBER(I1815)),B1815-I1815+1,"")</f>
        <v/>
      </c>
      <c r="N1815" s="14" t="str">
        <f aca="false">IF(B1815="","",IF(M1815="","시작일 미입력",IF(M1815&lt;1,"시작일 이전(확인)",IF(M1815=1,"1일째",IF(M1815=2,"2일째",IF(M1815=3,"3일째",IF(M1815&lt;=7,"일주일 이내",IF(M1815&lt;=14,"이주일 이내","15일 이후"))))))))</f>
        <v/>
      </c>
      <c r="O1815" s="0" t="str">
        <f aca="false">IF(AND(COUNTA($A1815:$J1815)&gt;0,OR(클레임조회!$C$4="",AND(ISNUMBER($B1815),$B1815&gt;=클레임조회!$C$4)),OR(클레임조회!$C$5="",AND(ISNUMBER($B1815),$B1815&lt;=클레임조회!$C$5)),OR(클레임조회!$C$6="",$C1815=클레임조회!$C$6),OR(클레임조회!$C$7="",$D1815=클레임조회!$C$7),OR(클레임조회!$C$8="",$E1815=클레임조회!$C$8),OR(클레임조회!$C$9="",$F1815=클레임조회!$C$9),OR(클레임조회!$C$10="",ISNUMBER(SEARCH(클레임조회!$C$10,$C1815&amp;" "&amp;$F1815&amp;" "&amp;$G1815&amp;" "&amp;$H1815)))),COUNT(O$1:O1814)+1,"")</f>
        <v/>
      </c>
      <c r="P1815" s="0" t="str">
        <f aca="false">IF(AND(TRIM(C1815)&lt;&gt;"",COUNTIF(C$2:C1815,C1815)=1),MAX(P$1:P1814)+1,"")</f>
        <v/>
      </c>
      <c r="Q1815" s="0" t="str">
        <f aca="false">IF(AND(TRIM(F1815)&lt;&gt;"",COUNTIF(F$2:F1815,F1815)=1),MAX(Q$1:Q1814)+1,"")</f>
        <v/>
      </c>
    </row>
    <row r="1816" customFormat="false" ht="15" hidden="false" customHeight="false" outlineLevel="0" collapsed="false">
      <c r="A1816" s="9"/>
      <c r="B1816" s="10"/>
      <c r="C1816" s="11"/>
      <c r="D1816" s="11"/>
      <c r="E1816" s="11"/>
      <c r="F1816" s="11"/>
      <c r="G1816" s="12"/>
      <c r="H1816" s="12"/>
      <c r="I1816" s="10"/>
      <c r="J1816" s="12"/>
      <c r="K1816" s="13" t="str">
        <f aca="false">IF(ISNUMBER(B1816),YEAR(B1816),"")</f>
        <v/>
      </c>
      <c r="L1816" s="13" t="str">
        <f aca="false">IF(ISNUMBER(B1816),MONTH(B1816),"")</f>
        <v/>
      </c>
      <c r="M1816" s="13" t="str">
        <f aca="false">IF(AND(ISNUMBER(B1816),ISNUMBER(I1816)),B1816-I1816+1,"")</f>
        <v/>
      </c>
      <c r="N1816" s="14" t="str">
        <f aca="false">IF(B1816="","",IF(M1816="","시작일 미입력",IF(M1816&lt;1,"시작일 이전(확인)",IF(M1816=1,"1일째",IF(M1816=2,"2일째",IF(M1816=3,"3일째",IF(M1816&lt;=7,"일주일 이내",IF(M1816&lt;=14,"이주일 이내","15일 이후"))))))))</f>
        <v/>
      </c>
      <c r="O1816" s="0" t="str">
        <f aca="false">IF(AND(COUNTA($A1816:$J1816)&gt;0,OR(클레임조회!$C$4="",AND(ISNUMBER($B1816),$B1816&gt;=클레임조회!$C$4)),OR(클레임조회!$C$5="",AND(ISNUMBER($B1816),$B1816&lt;=클레임조회!$C$5)),OR(클레임조회!$C$6="",$C1816=클레임조회!$C$6),OR(클레임조회!$C$7="",$D1816=클레임조회!$C$7),OR(클레임조회!$C$8="",$E1816=클레임조회!$C$8),OR(클레임조회!$C$9="",$F1816=클레임조회!$C$9),OR(클레임조회!$C$10="",ISNUMBER(SEARCH(클레임조회!$C$10,$C1816&amp;" "&amp;$F1816&amp;" "&amp;$G1816&amp;" "&amp;$H1816)))),COUNT(O$1:O1815)+1,"")</f>
        <v/>
      </c>
      <c r="P1816" s="0" t="str">
        <f aca="false">IF(AND(TRIM(C1816)&lt;&gt;"",COUNTIF(C$2:C1816,C1816)=1),MAX(P$1:P1815)+1,"")</f>
        <v/>
      </c>
      <c r="Q1816" s="0" t="str">
        <f aca="false">IF(AND(TRIM(F1816)&lt;&gt;"",COUNTIF(F$2:F1816,F1816)=1),MAX(Q$1:Q1815)+1,"")</f>
        <v/>
      </c>
    </row>
    <row r="1817" customFormat="false" ht="15" hidden="false" customHeight="false" outlineLevel="0" collapsed="false">
      <c r="A1817" s="9"/>
      <c r="B1817" s="10"/>
      <c r="C1817" s="11"/>
      <c r="D1817" s="11"/>
      <c r="E1817" s="11"/>
      <c r="F1817" s="11"/>
      <c r="G1817" s="12"/>
      <c r="H1817" s="12"/>
      <c r="I1817" s="10"/>
      <c r="J1817" s="12"/>
      <c r="K1817" s="13" t="str">
        <f aca="false">IF(ISNUMBER(B1817),YEAR(B1817),"")</f>
        <v/>
      </c>
      <c r="L1817" s="13" t="str">
        <f aca="false">IF(ISNUMBER(B1817),MONTH(B1817),"")</f>
        <v/>
      </c>
      <c r="M1817" s="13" t="str">
        <f aca="false">IF(AND(ISNUMBER(B1817),ISNUMBER(I1817)),B1817-I1817+1,"")</f>
        <v/>
      </c>
      <c r="N1817" s="14" t="str">
        <f aca="false">IF(B1817="","",IF(M1817="","시작일 미입력",IF(M1817&lt;1,"시작일 이전(확인)",IF(M1817=1,"1일째",IF(M1817=2,"2일째",IF(M1817=3,"3일째",IF(M1817&lt;=7,"일주일 이내",IF(M1817&lt;=14,"이주일 이내","15일 이후"))))))))</f>
        <v/>
      </c>
      <c r="O1817" s="0" t="str">
        <f aca="false">IF(AND(COUNTA($A1817:$J1817)&gt;0,OR(클레임조회!$C$4="",AND(ISNUMBER($B1817),$B1817&gt;=클레임조회!$C$4)),OR(클레임조회!$C$5="",AND(ISNUMBER($B1817),$B1817&lt;=클레임조회!$C$5)),OR(클레임조회!$C$6="",$C1817=클레임조회!$C$6),OR(클레임조회!$C$7="",$D1817=클레임조회!$C$7),OR(클레임조회!$C$8="",$E1817=클레임조회!$C$8),OR(클레임조회!$C$9="",$F1817=클레임조회!$C$9),OR(클레임조회!$C$10="",ISNUMBER(SEARCH(클레임조회!$C$10,$C1817&amp;" "&amp;$F1817&amp;" "&amp;$G1817&amp;" "&amp;$H1817)))),COUNT(O$1:O1816)+1,"")</f>
        <v/>
      </c>
      <c r="P1817" s="0" t="str">
        <f aca="false">IF(AND(TRIM(C1817)&lt;&gt;"",COUNTIF(C$2:C1817,C1817)=1),MAX(P$1:P1816)+1,"")</f>
        <v/>
      </c>
      <c r="Q1817" s="0" t="str">
        <f aca="false">IF(AND(TRIM(F1817)&lt;&gt;"",COUNTIF(F$2:F1817,F1817)=1),MAX(Q$1:Q1816)+1,"")</f>
        <v/>
      </c>
    </row>
    <row r="1818" customFormat="false" ht="15" hidden="false" customHeight="false" outlineLevel="0" collapsed="false">
      <c r="A1818" s="9"/>
      <c r="B1818" s="10"/>
      <c r="C1818" s="11"/>
      <c r="D1818" s="11"/>
      <c r="E1818" s="11"/>
      <c r="F1818" s="11"/>
      <c r="G1818" s="12"/>
      <c r="H1818" s="12"/>
      <c r="I1818" s="10"/>
      <c r="J1818" s="12"/>
      <c r="K1818" s="13" t="str">
        <f aca="false">IF(ISNUMBER(B1818),YEAR(B1818),"")</f>
        <v/>
      </c>
      <c r="L1818" s="13" t="str">
        <f aca="false">IF(ISNUMBER(B1818),MONTH(B1818),"")</f>
        <v/>
      </c>
      <c r="M1818" s="13" t="str">
        <f aca="false">IF(AND(ISNUMBER(B1818),ISNUMBER(I1818)),B1818-I1818+1,"")</f>
        <v/>
      </c>
      <c r="N1818" s="14" t="str">
        <f aca="false">IF(B1818="","",IF(M1818="","시작일 미입력",IF(M1818&lt;1,"시작일 이전(확인)",IF(M1818=1,"1일째",IF(M1818=2,"2일째",IF(M1818=3,"3일째",IF(M1818&lt;=7,"일주일 이내",IF(M1818&lt;=14,"이주일 이내","15일 이후"))))))))</f>
        <v/>
      </c>
      <c r="O1818" s="0" t="str">
        <f aca="false">IF(AND(COUNTA($A1818:$J1818)&gt;0,OR(클레임조회!$C$4="",AND(ISNUMBER($B1818),$B1818&gt;=클레임조회!$C$4)),OR(클레임조회!$C$5="",AND(ISNUMBER($B1818),$B1818&lt;=클레임조회!$C$5)),OR(클레임조회!$C$6="",$C1818=클레임조회!$C$6),OR(클레임조회!$C$7="",$D1818=클레임조회!$C$7),OR(클레임조회!$C$8="",$E1818=클레임조회!$C$8),OR(클레임조회!$C$9="",$F1818=클레임조회!$C$9),OR(클레임조회!$C$10="",ISNUMBER(SEARCH(클레임조회!$C$10,$C1818&amp;" "&amp;$F1818&amp;" "&amp;$G1818&amp;" "&amp;$H1818)))),COUNT(O$1:O1817)+1,"")</f>
        <v/>
      </c>
      <c r="P1818" s="0" t="str">
        <f aca="false">IF(AND(TRIM(C1818)&lt;&gt;"",COUNTIF(C$2:C1818,C1818)=1),MAX(P$1:P1817)+1,"")</f>
        <v/>
      </c>
      <c r="Q1818" s="0" t="str">
        <f aca="false">IF(AND(TRIM(F1818)&lt;&gt;"",COUNTIF(F$2:F1818,F1818)=1),MAX(Q$1:Q1817)+1,"")</f>
        <v/>
      </c>
    </row>
    <row r="1819" customFormat="false" ht="15" hidden="false" customHeight="false" outlineLevel="0" collapsed="false">
      <c r="A1819" s="9"/>
      <c r="B1819" s="10"/>
      <c r="C1819" s="11"/>
      <c r="D1819" s="11"/>
      <c r="E1819" s="11"/>
      <c r="F1819" s="11"/>
      <c r="G1819" s="12"/>
      <c r="H1819" s="12"/>
      <c r="I1819" s="10"/>
      <c r="J1819" s="12"/>
      <c r="K1819" s="13" t="str">
        <f aca="false">IF(ISNUMBER(B1819),YEAR(B1819),"")</f>
        <v/>
      </c>
      <c r="L1819" s="13" t="str">
        <f aca="false">IF(ISNUMBER(B1819),MONTH(B1819),"")</f>
        <v/>
      </c>
      <c r="M1819" s="13" t="str">
        <f aca="false">IF(AND(ISNUMBER(B1819),ISNUMBER(I1819)),B1819-I1819+1,"")</f>
        <v/>
      </c>
      <c r="N1819" s="14" t="str">
        <f aca="false">IF(B1819="","",IF(M1819="","시작일 미입력",IF(M1819&lt;1,"시작일 이전(확인)",IF(M1819=1,"1일째",IF(M1819=2,"2일째",IF(M1819=3,"3일째",IF(M1819&lt;=7,"일주일 이내",IF(M1819&lt;=14,"이주일 이내","15일 이후"))))))))</f>
        <v/>
      </c>
      <c r="O1819" s="0" t="str">
        <f aca="false">IF(AND(COUNTA($A1819:$J1819)&gt;0,OR(클레임조회!$C$4="",AND(ISNUMBER($B1819),$B1819&gt;=클레임조회!$C$4)),OR(클레임조회!$C$5="",AND(ISNUMBER($B1819),$B1819&lt;=클레임조회!$C$5)),OR(클레임조회!$C$6="",$C1819=클레임조회!$C$6),OR(클레임조회!$C$7="",$D1819=클레임조회!$C$7),OR(클레임조회!$C$8="",$E1819=클레임조회!$C$8),OR(클레임조회!$C$9="",$F1819=클레임조회!$C$9),OR(클레임조회!$C$10="",ISNUMBER(SEARCH(클레임조회!$C$10,$C1819&amp;" "&amp;$F1819&amp;" "&amp;$G1819&amp;" "&amp;$H1819)))),COUNT(O$1:O1818)+1,"")</f>
        <v/>
      </c>
      <c r="P1819" s="0" t="str">
        <f aca="false">IF(AND(TRIM(C1819)&lt;&gt;"",COUNTIF(C$2:C1819,C1819)=1),MAX(P$1:P1818)+1,"")</f>
        <v/>
      </c>
      <c r="Q1819" s="0" t="str">
        <f aca="false">IF(AND(TRIM(F1819)&lt;&gt;"",COUNTIF(F$2:F1819,F1819)=1),MAX(Q$1:Q1818)+1,"")</f>
        <v/>
      </c>
    </row>
    <row r="1820" customFormat="false" ht="15" hidden="false" customHeight="false" outlineLevel="0" collapsed="false">
      <c r="A1820" s="9"/>
      <c r="B1820" s="10"/>
      <c r="C1820" s="11"/>
      <c r="D1820" s="11"/>
      <c r="E1820" s="11"/>
      <c r="F1820" s="11"/>
      <c r="G1820" s="12"/>
      <c r="H1820" s="12"/>
      <c r="I1820" s="10"/>
      <c r="J1820" s="12"/>
      <c r="K1820" s="13" t="str">
        <f aca="false">IF(ISNUMBER(B1820),YEAR(B1820),"")</f>
        <v/>
      </c>
      <c r="L1820" s="13" t="str">
        <f aca="false">IF(ISNUMBER(B1820),MONTH(B1820),"")</f>
        <v/>
      </c>
      <c r="M1820" s="13" t="str">
        <f aca="false">IF(AND(ISNUMBER(B1820),ISNUMBER(I1820)),B1820-I1820+1,"")</f>
        <v/>
      </c>
      <c r="N1820" s="14" t="str">
        <f aca="false">IF(B1820="","",IF(M1820="","시작일 미입력",IF(M1820&lt;1,"시작일 이전(확인)",IF(M1820=1,"1일째",IF(M1820=2,"2일째",IF(M1820=3,"3일째",IF(M1820&lt;=7,"일주일 이내",IF(M1820&lt;=14,"이주일 이내","15일 이후"))))))))</f>
        <v/>
      </c>
      <c r="O1820" s="0" t="str">
        <f aca="false">IF(AND(COUNTA($A1820:$J1820)&gt;0,OR(클레임조회!$C$4="",AND(ISNUMBER($B1820),$B1820&gt;=클레임조회!$C$4)),OR(클레임조회!$C$5="",AND(ISNUMBER($B1820),$B1820&lt;=클레임조회!$C$5)),OR(클레임조회!$C$6="",$C1820=클레임조회!$C$6),OR(클레임조회!$C$7="",$D1820=클레임조회!$C$7),OR(클레임조회!$C$8="",$E1820=클레임조회!$C$8),OR(클레임조회!$C$9="",$F1820=클레임조회!$C$9),OR(클레임조회!$C$10="",ISNUMBER(SEARCH(클레임조회!$C$10,$C1820&amp;" "&amp;$F1820&amp;" "&amp;$G1820&amp;" "&amp;$H1820)))),COUNT(O$1:O1819)+1,"")</f>
        <v/>
      </c>
      <c r="P1820" s="0" t="str">
        <f aca="false">IF(AND(TRIM(C1820)&lt;&gt;"",COUNTIF(C$2:C1820,C1820)=1),MAX(P$1:P1819)+1,"")</f>
        <v/>
      </c>
      <c r="Q1820" s="0" t="str">
        <f aca="false">IF(AND(TRIM(F1820)&lt;&gt;"",COUNTIF(F$2:F1820,F1820)=1),MAX(Q$1:Q1819)+1,"")</f>
        <v/>
      </c>
    </row>
    <row r="1821" customFormat="false" ht="15" hidden="false" customHeight="false" outlineLevel="0" collapsed="false">
      <c r="A1821" s="9"/>
      <c r="B1821" s="10"/>
      <c r="C1821" s="11"/>
      <c r="D1821" s="11"/>
      <c r="E1821" s="11"/>
      <c r="F1821" s="11"/>
      <c r="G1821" s="12"/>
      <c r="H1821" s="12"/>
      <c r="I1821" s="10"/>
      <c r="J1821" s="12"/>
      <c r="K1821" s="13" t="str">
        <f aca="false">IF(ISNUMBER(B1821),YEAR(B1821),"")</f>
        <v/>
      </c>
      <c r="L1821" s="13" t="str">
        <f aca="false">IF(ISNUMBER(B1821),MONTH(B1821),"")</f>
        <v/>
      </c>
      <c r="M1821" s="13" t="str">
        <f aca="false">IF(AND(ISNUMBER(B1821),ISNUMBER(I1821)),B1821-I1821+1,"")</f>
        <v/>
      </c>
      <c r="N1821" s="14" t="str">
        <f aca="false">IF(B1821="","",IF(M1821="","시작일 미입력",IF(M1821&lt;1,"시작일 이전(확인)",IF(M1821=1,"1일째",IF(M1821=2,"2일째",IF(M1821=3,"3일째",IF(M1821&lt;=7,"일주일 이내",IF(M1821&lt;=14,"이주일 이내","15일 이후"))))))))</f>
        <v/>
      </c>
      <c r="O1821" s="0" t="str">
        <f aca="false">IF(AND(COUNTA($A1821:$J1821)&gt;0,OR(클레임조회!$C$4="",AND(ISNUMBER($B1821),$B1821&gt;=클레임조회!$C$4)),OR(클레임조회!$C$5="",AND(ISNUMBER($B1821),$B1821&lt;=클레임조회!$C$5)),OR(클레임조회!$C$6="",$C1821=클레임조회!$C$6),OR(클레임조회!$C$7="",$D1821=클레임조회!$C$7),OR(클레임조회!$C$8="",$E1821=클레임조회!$C$8),OR(클레임조회!$C$9="",$F1821=클레임조회!$C$9),OR(클레임조회!$C$10="",ISNUMBER(SEARCH(클레임조회!$C$10,$C1821&amp;" "&amp;$F1821&amp;" "&amp;$G1821&amp;" "&amp;$H1821)))),COUNT(O$1:O1820)+1,"")</f>
        <v/>
      </c>
      <c r="P1821" s="0" t="str">
        <f aca="false">IF(AND(TRIM(C1821)&lt;&gt;"",COUNTIF(C$2:C1821,C1821)=1),MAX(P$1:P1820)+1,"")</f>
        <v/>
      </c>
      <c r="Q1821" s="0" t="str">
        <f aca="false">IF(AND(TRIM(F1821)&lt;&gt;"",COUNTIF(F$2:F1821,F1821)=1),MAX(Q$1:Q1820)+1,"")</f>
        <v/>
      </c>
    </row>
    <row r="1822" customFormat="false" ht="15" hidden="false" customHeight="false" outlineLevel="0" collapsed="false">
      <c r="A1822" s="9"/>
      <c r="B1822" s="10"/>
      <c r="C1822" s="11"/>
      <c r="D1822" s="11"/>
      <c r="E1822" s="11"/>
      <c r="F1822" s="11"/>
      <c r="G1822" s="12"/>
      <c r="H1822" s="12"/>
      <c r="I1822" s="10"/>
      <c r="J1822" s="12"/>
      <c r="K1822" s="13" t="str">
        <f aca="false">IF(ISNUMBER(B1822),YEAR(B1822),"")</f>
        <v/>
      </c>
      <c r="L1822" s="13" t="str">
        <f aca="false">IF(ISNUMBER(B1822),MONTH(B1822),"")</f>
        <v/>
      </c>
      <c r="M1822" s="13" t="str">
        <f aca="false">IF(AND(ISNUMBER(B1822),ISNUMBER(I1822)),B1822-I1822+1,"")</f>
        <v/>
      </c>
      <c r="N1822" s="14" t="str">
        <f aca="false">IF(B1822="","",IF(M1822="","시작일 미입력",IF(M1822&lt;1,"시작일 이전(확인)",IF(M1822=1,"1일째",IF(M1822=2,"2일째",IF(M1822=3,"3일째",IF(M1822&lt;=7,"일주일 이내",IF(M1822&lt;=14,"이주일 이내","15일 이후"))))))))</f>
        <v/>
      </c>
      <c r="O1822" s="0" t="str">
        <f aca="false">IF(AND(COUNTA($A1822:$J1822)&gt;0,OR(클레임조회!$C$4="",AND(ISNUMBER($B1822),$B1822&gt;=클레임조회!$C$4)),OR(클레임조회!$C$5="",AND(ISNUMBER($B1822),$B1822&lt;=클레임조회!$C$5)),OR(클레임조회!$C$6="",$C1822=클레임조회!$C$6),OR(클레임조회!$C$7="",$D1822=클레임조회!$C$7),OR(클레임조회!$C$8="",$E1822=클레임조회!$C$8),OR(클레임조회!$C$9="",$F1822=클레임조회!$C$9),OR(클레임조회!$C$10="",ISNUMBER(SEARCH(클레임조회!$C$10,$C1822&amp;" "&amp;$F1822&amp;" "&amp;$G1822&amp;" "&amp;$H1822)))),COUNT(O$1:O1821)+1,"")</f>
        <v/>
      </c>
      <c r="P1822" s="0" t="str">
        <f aca="false">IF(AND(TRIM(C1822)&lt;&gt;"",COUNTIF(C$2:C1822,C1822)=1),MAX(P$1:P1821)+1,"")</f>
        <v/>
      </c>
      <c r="Q1822" s="0" t="str">
        <f aca="false">IF(AND(TRIM(F1822)&lt;&gt;"",COUNTIF(F$2:F1822,F1822)=1),MAX(Q$1:Q1821)+1,"")</f>
        <v/>
      </c>
    </row>
    <row r="1823" customFormat="false" ht="15" hidden="false" customHeight="false" outlineLevel="0" collapsed="false">
      <c r="A1823" s="9"/>
      <c r="B1823" s="10"/>
      <c r="C1823" s="11"/>
      <c r="D1823" s="11"/>
      <c r="E1823" s="11"/>
      <c r="F1823" s="11"/>
      <c r="G1823" s="12"/>
      <c r="H1823" s="12"/>
      <c r="I1823" s="10"/>
      <c r="J1823" s="12"/>
      <c r="K1823" s="13" t="str">
        <f aca="false">IF(ISNUMBER(B1823),YEAR(B1823),"")</f>
        <v/>
      </c>
      <c r="L1823" s="13" t="str">
        <f aca="false">IF(ISNUMBER(B1823),MONTH(B1823),"")</f>
        <v/>
      </c>
      <c r="M1823" s="13" t="str">
        <f aca="false">IF(AND(ISNUMBER(B1823),ISNUMBER(I1823)),B1823-I1823+1,"")</f>
        <v/>
      </c>
      <c r="N1823" s="14" t="str">
        <f aca="false">IF(B1823="","",IF(M1823="","시작일 미입력",IF(M1823&lt;1,"시작일 이전(확인)",IF(M1823=1,"1일째",IF(M1823=2,"2일째",IF(M1823=3,"3일째",IF(M1823&lt;=7,"일주일 이내",IF(M1823&lt;=14,"이주일 이내","15일 이후"))))))))</f>
        <v/>
      </c>
      <c r="O1823" s="0" t="str">
        <f aca="false">IF(AND(COUNTA($A1823:$J1823)&gt;0,OR(클레임조회!$C$4="",AND(ISNUMBER($B1823),$B1823&gt;=클레임조회!$C$4)),OR(클레임조회!$C$5="",AND(ISNUMBER($B1823),$B1823&lt;=클레임조회!$C$5)),OR(클레임조회!$C$6="",$C1823=클레임조회!$C$6),OR(클레임조회!$C$7="",$D1823=클레임조회!$C$7),OR(클레임조회!$C$8="",$E1823=클레임조회!$C$8),OR(클레임조회!$C$9="",$F1823=클레임조회!$C$9),OR(클레임조회!$C$10="",ISNUMBER(SEARCH(클레임조회!$C$10,$C1823&amp;" "&amp;$F1823&amp;" "&amp;$G1823&amp;" "&amp;$H1823)))),COUNT(O$1:O1822)+1,"")</f>
        <v/>
      </c>
      <c r="P1823" s="0" t="str">
        <f aca="false">IF(AND(TRIM(C1823)&lt;&gt;"",COUNTIF(C$2:C1823,C1823)=1),MAX(P$1:P1822)+1,"")</f>
        <v/>
      </c>
      <c r="Q1823" s="0" t="str">
        <f aca="false">IF(AND(TRIM(F1823)&lt;&gt;"",COUNTIF(F$2:F1823,F1823)=1),MAX(Q$1:Q1822)+1,"")</f>
        <v/>
      </c>
    </row>
    <row r="1824" customFormat="false" ht="15" hidden="false" customHeight="false" outlineLevel="0" collapsed="false">
      <c r="A1824" s="9"/>
      <c r="B1824" s="10"/>
      <c r="C1824" s="11"/>
      <c r="D1824" s="11"/>
      <c r="E1824" s="11"/>
      <c r="F1824" s="11"/>
      <c r="G1824" s="12"/>
      <c r="H1824" s="12"/>
      <c r="I1824" s="10"/>
      <c r="J1824" s="12"/>
      <c r="K1824" s="13" t="str">
        <f aca="false">IF(ISNUMBER(B1824),YEAR(B1824),"")</f>
        <v/>
      </c>
      <c r="L1824" s="13" t="str">
        <f aca="false">IF(ISNUMBER(B1824),MONTH(B1824),"")</f>
        <v/>
      </c>
      <c r="M1824" s="13" t="str">
        <f aca="false">IF(AND(ISNUMBER(B1824),ISNUMBER(I1824)),B1824-I1824+1,"")</f>
        <v/>
      </c>
      <c r="N1824" s="14" t="str">
        <f aca="false">IF(B1824="","",IF(M1824="","시작일 미입력",IF(M1824&lt;1,"시작일 이전(확인)",IF(M1824=1,"1일째",IF(M1824=2,"2일째",IF(M1824=3,"3일째",IF(M1824&lt;=7,"일주일 이내",IF(M1824&lt;=14,"이주일 이내","15일 이후"))))))))</f>
        <v/>
      </c>
      <c r="O1824" s="0" t="str">
        <f aca="false">IF(AND(COUNTA($A1824:$J1824)&gt;0,OR(클레임조회!$C$4="",AND(ISNUMBER($B1824),$B1824&gt;=클레임조회!$C$4)),OR(클레임조회!$C$5="",AND(ISNUMBER($B1824),$B1824&lt;=클레임조회!$C$5)),OR(클레임조회!$C$6="",$C1824=클레임조회!$C$6),OR(클레임조회!$C$7="",$D1824=클레임조회!$C$7),OR(클레임조회!$C$8="",$E1824=클레임조회!$C$8),OR(클레임조회!$C$9="",$F1824=클레임조회!$C$9),OR(클레임조회!$C$10="",ISNUMBER(SEARCH(클레임조회!$C$10,$C1824&amp;" "&amp;$F1824&amp;" "&amp;$G1824&amp;" "&amp;$H1824)))),COUNT(O$1:O1823)+1,"")</f>
        <v/>
      </c>
      <c r="P1824" s="0" t="str">
        <f aca="false">IF(AND(TRIM(C1824)&lt;&gt;"",COUNTIF(C$2:C1824,C1824)=1),MAX(P$1:P1823)+1,"")</f>
        <v/>
      </c>
      <c r="Q1824" s="0" t="str">
        <f aca="false">IF(AND(TRIM(F1824)&lt;&gt;"",COUNTIF(F$2:F1824,F1824)=1),MAX(Q$1:Q1823)+1,"")</f>
        <v/>
      </c>
    </row>
    <row r="1825" customFormat="false" ht="15" hidden="false" customHeight="false" outlineLevel="0" collapsed="false">
      <c r="A1825" s="9"/>
      <c r="B1825" s="10"/>
      <c r="C1825" s="11"/>
      <c r="D1825" s="11"/>
      <c r="E1825" s="11"/>
      <c r="F1825" s="11"/>
      <c r="G1825" s="12"/>
      <c r="H1825" s="12"/>
      <c r="I1825" s="10"/>
      <c r="J1825" s="12"/>
      <c r="K1825" s="13" t="str">
        <f aca="false">IF(ISNUMBER(B1825),YEAR(B1825),"")</f>
        <v/>
      </c>
      <c r="L1825" s="13" t="str">
        <f aca="false">IF(ISNUMBER(B1825),MONTH(B1825),"")</f>
        <v/>
      </c>
      <c r="M1825" s="13" t="str">
        <f aca="false">IF(AND(ISNUMBER(B1825),ISNUMBER(I1825)),B1825-I1825+1,"")</f>
        <v/>
      </c>
      <c r="N1825" s="14" t="str">
        <f aca="false">IF(B1825="","",IF(M1825="","시작일 미입력",IF(M1825&lt;1,"시작일 이전(확인)",IF(M1825=1,"1일째",IF(M1825=2,"2일째",IF(M1825=3,"3일째",IF(M1825&lt;=7,"일주일 이내",IF(M1825&lt;=14,"이주일 이내","15일 이후"))))))))</f>
        <v/>
      </c>
      <c r="O1825" s="0" t="str">
        <f aca="false">IF(AND(COUNTA($A1825:$J1825)&gt;0,OR(클레임조회!$C$4="",AND(ISNUMBER($B1825),$B1825&gt;=클레임조회!$C$4)),OR(클레임조회!$C$5="",AND(ISNUMBER($B1825),$B1825&lt;=클레임조회!$C$5)),OR(클레임조회!$C$6="",$C1825=클레임조회!$C$6),OR(클레임조회!$C$7="",$D1825=클레임조회!$C$7),OR(클레임조회!$C$8="",$E1825=클레임조회!$C$8),OR(클레임조회!$C$9="",$F1825=클레임조회!$C$9),OR(클레임조회!$C$10="",ISNUMBER(SEARCH(클레임조회!$C$10,$C1825&amp;" "&amp;$F1825&amp;" "&amp;$G1825&amp;" "&amp;$H1825)))),COUNT(O$1:O1824)+1,"")</f>
        <v/>
      </c>
      <c r="P1825" s="0" t="str">
        <f aca="false">IF(AND(TRIM(C1825)&lt;&gt;"",COUNTIF(C$2:C1825,C1825)=1),MAX(P$1:P1824)+1,"")</f>
        <v/>
      </c>
      <c r="Q1825" s="0" t="str">
        <f aca="false">IF(AND(TRIM(F1825)&lt;&gt;"",COUNTIF(F$2:F1825,F1825)=1),MAX(Q$1:Q1824)+1,"")</f>
        <v/>
      </c>
    </row>
    <row r="1826" customFormat="false" ht="15" hidden="false" customHeight="false" outlineLevel="0" collapsed="false">
      <c r="A1826" s="9"/>
      <c r="B1826" s="10"/>
      <c r="C1826" s="11"/>
      <c r="D1826" s="11"/>
      <c r="E1826" s="11"/>
      <c r="F1826" s="11"/>
      <c r="G1826" s="12"/>
      <c r="H1826" s="12"/>
      <c r="I1826" s="10"/>
      <c r="J1826" s="12"/>
      <c r="K1826" s="13" t="str">
        <f aca="false">IF(ISNUMBER(B1826),YEAR(B1826),"")</f>
        <v/>
      </c>
      <c r="L1826" s="13" t="str">
        <f aca="false">IF(ISNUMBER(B1826),MONTH(B1826),"")</f>
        <v/>
      </c>
      <c r="M1826" s="13" t="str">
        <f aca="false">IF(AND(ISNUMBER(B1826),ISNUMBER(I1826)),B1826-I1826+1,"")</f>
        <v/>
      </c>
      <c r="N1826" s="14" t="str">
        <f aca="false">IF(B1826="","",IF(M1826="","시작일 미입력",IF(M1826&lt;1,"시작일 이전(확인)",IF(M1826=1,"1일째",IF(M1826=2,"2일째",IF(M1826=3,"3일째",IF(M1826&lt;=7,"일주일 이내",IF(M1826&lt;=14,"이주일 이내","15일 이후"))))))))</f>
        <v/>
      </c>
      <c r="O1826" s="0" t="str">
        <f aca="false">IF(AND(COUNTA($A1826:$J1826)&gt;0,OR(클레임조회!$C$4="",AND(ISNUMBER($B1826),$B1826&gt;=클레임조회!$C$4)),OR(클레임조회!$C$5="",AND(ISNUMBER($B1826),$B1826&lt;=클레임조회!$C$5)),OR(클레임조회!$C$6="",$C1826=클레임조회!$C$6),OR(클레임조회!$C$7="",$D1826=클레임조회!$C$7),OR(클레임조회!$C$8="",$E1826=클레임조회!$C$8),OR(클레임조회!$C$9="",$F1826=클레임조회!$C$9),OR(클레임조회!$C$10="",ISNUMBER(SEARCH(클레임조회!$C$10,$C1826&amp;" "&amp;$F1826&amp;" "&amp;$G1826&amp;" "&amp;$H1826)))),COUNT(O$1:O1825)+1,"")</f>
        <v/>
      </c>
      <c r="P1826" s="0" t="str">
        <f aca="false">IF(AND(TRIM(C1826)&lt;&gt;"",COUNTIF(C$2:C1826,C1826)=1),MAX(P$1:P1825)+1,"")</f>
        <v/>
      </c>
      <c r="Q1826" s="0" t="str">
        <f aca="false">IF(AND(TRIM(F1826)&lt;&gt;"",COUNTIF(F$2:F1826,F1826)=1),MAX(Q$1:Q1825)+1,"")</f>
        <v/>
      </c>
    </row>
    <row r="1827" customFormat="false" ht="15" hidden="false" customHeight="false" outlineLevel="0" collapsed="false">
      <c r="A1827" s="9"/>
      <c r="B1827" s="10"/>
      <c r="C1827" s="11"/>
      <c r="D1827" s="11"/>
      <c r="E1827" s="11"/>
      <c r="F1827" s="11"/>
      <c r="G1827" s="12"/>
      <c r="H1827" s="12"/>
      <c r="I1827" s="10"/>
      <c r="J1827" s="12"/>
      <c r="K1827" s="13" t="str">
        <f aca="false">IF(ISNUMBER(B1827),YEAR(B1827),"")</f>
        <v/>
      </c>
      <c r="L1827" s="13" t="str">
        <f aca="false">IF(ISNUMBER(B1827),MONTH(B1827),"")</f>
        <v/>
      </c>
      <c r="M1827" s="13" t="str">
        <f aca="false">IF(AND(ISNUMBER(B1827),ISNUMBER(I1827)),B1827-I1827+1,"")</f>
        <v/>
      </c>
      <c r="N1827" s="14" t="str">
        <f aca="false">IF(B1827="","",IF(M1827="","시작일 미입력",IF(M1827&lt;1,"시작일 이전(확인)",IF(M1827=1,"1일째",IF(M1827=2,"2일째",IF(M1827=3,"3일째",IF(M1827&lt;=7,"일주일 이내",IF(M1827&lt;=14,"이주일 이내","15일 이후"))))))))</f>
        <v/>
      </c>
      <c r="O1827" s="0" t="str">
        <f aca="false">IF(AND(COUNTA($A1827:$J1827)&gt;0,OR(클레임조회!$C$4="",AND(ISNUMBER($B1827),$B1827&gt;=클레임조회!$C$4)),OR(클레임조회!$C$5="",AND(ISNUMBER($B1827),$B1827&lt;=클레임조회!$C$5)),OR(클레임조회!$C$6="",$C1827=클레임조회!$C$6),OR(클레임조회!$C$7="",$D1827=클레임조회!$C$7),OR(클레임조회!$C$8="",$E1827=클레임조회!$C$8),OR(클레임조회!$C$9="",$F1827=클레임조회!$C$9),OR(클레임조회!$C$10="",ISNUMBER(SEARCH(클레임조회!$C$10,$C1827&amp;" "&amp;$F1827&amp;" "&amp;$G1827&amp;" "&amp;$H1827)))),COUNT(O$1:O1826)+1,"")</f>
        <v/>
      </c>
      <c r="P1827" s="0" t="str">
        <f aca="false">IF(AND(TRIM(C1827)&lt;&gt;"",COUNTIF(C$2:C1827,C1827)=1),MAX(P$1:P1826)+1,"")</f>
        <v/>
      </c>
      <c r="Q1827" s="0" t="str">
        <f aca="false">IF(AND(TRIM(F1827)&lt;&gt;"",COUNTIF(F$2:F1827,F1827)=1),MAX(Q$1:Q1826)+1,"")</f>
        <v/>
      </c>
    </row>
    <row r="1828" customFormat="false" ht="15" hidden="false" customHeight="false" outlineLevel="0" collapsed="false">
      <c r="A1828" s="9"/>
      <c r="B1828" s="10"/>
      <c r="C1828" s="11"/>
      <c r="D1828" s="11"/>
      <c r="E1828" s="11"/>
      <c r="F1828" s="11"/>
      <c r="G1828" s="12"/>
      <c r="H1828" s="12"/>
      <c r="I1828" s="10"/>
      <c r="J1828" s="12"/>
      <c r="K1828" s="13" t="str">
        <f aca="false">IF(ISNUMBER(B1828),YEAR(B1828),"")</f>
        <v/>
      </c>
      <c r="L1828" s="13" t="str">
        <f aca="false">IF(ISNUMBER(B1828),MONTH(B1828),"")</f>
        <v/>
      </c>
      <c r="M1828" s="13" t="str">
        <f aca="false">IF(AND(ISNUMBER(B1828),ISNUMBER(I1828)),B1828-I1828+1,"")</f>
        <v/>
      </c>
      <c r="N1828" s="14" t="str">
        <f aca="false">IF(B1828="","",IF(M1828="","시작일 미입력",IF(M1828&lt;1,"시작일 이전(확인)",IF(M1828=1,"1일째",IF(M1828=2,"2일째",IF(M1828=3,"3일째",IF(M1828&lt;=7,"일주일 이내",IF(M1828&lt;=14,"이주일 이내","15일 이후"))))))))</f>
        <v/>
      </c>
      <c r="O1828" s="0" t="str">
        <f aca="false">IF(AND(COUNTA($A1828:$J1828)&gt;0,OR(클레임조회!$C$4="",AND(ISNUMBER($B1828),$B1828&gt;=클레임조회!$C$4)),OR(클레임조회!$C$5="",AND(ISNUMBER($B1828),$B1828&lt;=클레임조회!$C$5)),OR(클레임조회!$C$6="",$C1828=클레임조회!$C$6),OR(클레임조회!$C$7="",$D1828=클레임조회!$C$7),OR(클레임조회!$C$8="",$E1828=클레임조회!$C$8),OR(클레임조회!$C$9="",$F1828=클레임조회!$C$9),OR(클레임조회!$C$10="",ISNUMBER(SEARCH(클레임조회!$C$10,$C1828&amp;" "&amp;$F1828&amp;" "&amp;$G1828&amp;" "&amp;$H1828)))),COUNT(O$1:O1827)+1,"")</f>
        <v/>
      </c>
      <c r="P1828" s="0" t="str">
        <f aca="false">IF(AND(TRIM(C1828)&lt;&gt;"",COUNTIF(C$2:C1828,C1828)=1),MAX(P$1:P1827)+1,"")</f>
        <v/>
      </c>
      <c r="Q1828" s="0" t="str">
        <f aca="false">IF(AND(TRIM(F1828)&lt;&gt;"",COUNTIF(F$2:F1828,F1828)=1),MAX(Q$1:Q1827)+1,"")</f>
        <v/>
      </c>
    </row>
    <row r="1829" customFormat="false" ht="15" hidden="false" customHeight="false" outlineLevel="0" collapsed="false">
      <c r="A1829" s="9"/>
      <c r="B1829" s="10"/>
      <c r="C1829" s="11"/>
      <c r="D1829" s="11"/>
      <c r="E1829" s="11"/>
      <c r="F1829" s="11"/>
      <c r="G1829" s="12"/>
      <c r="H1829" s="12"/>
      <c r="I1829" s="10"/>
      <c r="J1829" s="12"/>
      <c r="K1829" s="13" t="str">
        <f aca="false">IF(ISNUMBER(B1829),YEAR(B1829),"")</f>
        <v/>
      </c>
      <c r="L1829" s="13" t="str">
        <f aca="false">IF(ISNUMBER(B1829),MONTH(B1829),"")</f>
        <v/>
      </c>
      <c r="M1829" s="13" t="str">
        <f aca="false">IF(AND(ISNUMBER(B1829),ISNUMBER(I1829)),B1829-I1829+1,"")</f>
        <v/>
      </c>
      <c r="N1829" s="14" t="str">
        <f aca="false">IF(B1829="","",IF(M1829="","시작일 미입력",IF(M1829&lt;1,"시작일 이전(확인)",IF(M1829=1,"1일째",IF(M1829=2,"2일째",IF(M1829=3,"3일째",IF(M1829&lt;=7,"일주일 이내",IF(M1829&lt;=14,"이주일 이내","15일 이후"))))))))</f>
        <v/>
      </c>
      <c r="O1829" s="0" t="str">
        <f aca="false">IF(AND(COUNTA($A1829:$J1829)&gt;0,OR(클레임조회!$C$4="",AND(ISNUMBER($B1829),$B1829&gt;=클레임조회!$C$4)),OR(클레임조회!$C$5="",AND(ISNUMBER($B1829),$B1829&lt;=클레임조회!$C$5)),OR(클레임조회!$C$6="",$C1829=클레임조회!$C$6),OR(클레임조회!$C$7="",$D1829=클레임조회!$C$7),OR(클레임조회!$C$8="",$E1829=클레임조회!$C$8),OR(클레임조회!$C$9="",$F1829=클레임조회!$C$9),OR(클레임조회!$C$10="",ISNUMBER(SEARCH(클레임조회!$C$10,$C1829&amp;" "&amp;$F1829&amp;" "&amp;$G1829&amp;" "&amp;$H1829)))),COUNT(O$1:O1828)+1,"")</f>
        <v/>
      </c>
      <c r="P1829" s="0" t="str">
        <f aca="false">IF(AND(TRIM(C1829)&lt;&gt;"",COUNTIF(C$2:C1829,C1829)=1),MAX(P$1:P1828)+1,"")</f>
        <v/>
      </c>
      <c r="Q1829" s="0" t="str">
        <f aca="false">IF(AND(TRIM(F1829)&lt;&gt;"",COUNTIF(F$2:F1829,F1829)=1),MAX(Q$1:Q1828)+1,"")</f>
        <v/>
      </c>
    </row>
    <row r="1830" customFormat="false" ht="15" hidden="false" customHeight="false" outlineLevel="0" collapsed="false">
      <c r="A1830" s="9"/>
      <c r="B1830" s="10"/>
      <c r="C1830" s="11"/>
      <c r="D1830" s="11"/>
      <c r="E1830" s="11"/>
      <c r="F1830" s="11"/>
      <c r="G1830" s="12"/>
      <c r="H1830" s="12"/>
      <c r="I1830" s="10"/>
      <c r="J1830" s="12"/>
      <c r="K1830" s="13" t="str">
        <f aca="false">IF(ISNUMBER(B1830),YEAR(B1830),"")</f>
        <v/>
      </c>
      <c r="L1830" s="13" t="str">
        <f aca="false">IF(ISNUMBER(B1830),MONTH(B1830),"")</f>
        <v/>
      </c>
      <c r="M1830" s="13" t="str">
        <f aca="false">IF(AND(ISNUMBER(B1830),ISNUMBER(I1830)),B1830-I1830+1,"")</f>
        <v/>
      </c>
      <c r="N1830" s="14" t="str">
        <f aca="false">IF(B1830="","",IF(M1830="","시작일 미입력",IF(M1830&lt;1,"시작일 이전(확인)",IF(M1830=1,"1일째",IF(M1830=2,"2일째",IF(M1830=3,"3일째",IF(M1830&lt;=7,"일주일 이내",IF(M1830&lt;=14,"이주일 이내","15일 이후"))))))))</f>
        <v/>
      </c>
      <c r="O1830" s="0" t="str">
        <f aca="false">IF(AND(COUNTA($A1830:$J1830)&gt;0,OR(클레임조회!$C$4="",AND(ISNUMBER($B1830),$B1830&gt;=클레임조회!$C$4)),OR(클레임조회!$C$5="",AND(ISNUMBER($B1830),$B1830&lt;=클레임조회!$C$5)),OR(클레임조회!$C$6="",$C1830=클레임조회!$C$6),OR(클레임조회!$C$7="",$D1830=클레임조회!$C$7),OR(클레임조회!$C$8="",$E1830=클레임조회!$C$8),OR(클레임조회!$C$9="",$F1830=클레임조회!$C$9),OR(클레임조회!$C$10="",ISNUMBER(SEARCH(클레임조회!$C$10,$C1830&amp;" "&amp;$F1830&amp;" "&amp;$G1830&amp;" "&amp;$H1830)))),COUNT(O$1:O1829)+1,"")</f>
        <v/>
      </c>
      <c r="P1830" s="0" t="str">
        <f aca="false">IF(AND(TRIM(C1830)&lt;&gt;"",COUNTIF(C$2:C1830,C1830)=1),MAX(P$1:P1829)+1,"")</f>
        <v/>
      </c>
      <c r="Q1830" s="0" t="str">
        <f aca="false">IF(AND(TRIM(F1830)&lt;&gt;"",COUNTIF(F$2:F1830,F1830)=1),MAX(Q$1:Q1829)+1,"")</f>
        <v/>
      </c>
    </row>
    <row r="1831" customFormat="false" ht="15" hidden="false" customHeight="false" outlineLevel="0" collapsed="false">
      <c r="A1831" s="9"/>
      <c r="B1831" s="10"/>
      <c r="C1831" s="11"/>
      <c r="D1831" s="11"/>
      <c r="E1831" s="11"/>
      <c r="F1831" s="11"/>
      <c r="G1831" s="12"/>
      <c r="H1831" s="12"/>
      <c r="I1831" s="10"/>
      <c r="J1831" s="12"/>
      <c r="K1831" s="13" t="str">
        <f aca="false">IF(ISNUMBER(B1831),YEAR(B1831),"")</f>
        <v/>
      </c>
      <c r="L1831" s="13" t="str">
        <f aca="false">IF(ISNUMBER(B1831),MONTH(B1831),"")</f>
        <v/>
      </c>
      <c r="M1831" s="13" t="str">
        <f aca="false">IF(AND(ISNUMBER(B1831),ISNUMBER(I1831)),B1831-I1831+1,"")</f>
        <v/>
      </c>
      <c r="N1831" s="14" t="str">
        <f aca="false">IF(B1831="","",IF(M1831="","시작일 미입력",IF(M1831&lt;1,"시작일 이전(확인)",IF(M1831=1,"1일째",IF(M1831=2,"2일째",IF(M1831=3,"3일째",IF(M1831&lt;=7,"일주일 이내",IF(M1831&lt;=14,"이주일 이내","15일 이후"))))))))</f>
        <v/>
      </c>
      <c r="O1831" s="0" t="str">
        <f aca="false">IF(AND(COUNTA($A1831:$J1831)&gt;0,OR(클레임조회!$C$4="",AND(ISNUMBER($B1831),$B1831&gt;=클레임조회!$C$4)),OR(클레임조회!$C$5="",AND(ISNUMBER($B1831),$B1831&lt;=클레임조회!$C$5)),OR(클레임조회!$C$6="",$C1831=클레임조회!$C$6),OR(클레임조회!$C$7="",$D1831=클레임조회!$C$7),OR(클레임조회!$C$8="",$E1831=클레임조회!$C$8),OR(클레임조회!$C$9="",$F1831=클레임조회!$C$9),OR(클레임조회!$C$10="",ISNUMBER(SEARCH(클레임조회!$C$10,$C1831&amp;" "&amp;$F1831&amp;" "&amp;$G1831&amp;" "&amp;$H1831)))),COUNT(O$1:O1830)+1,"")</f>
        <v/>
      </c>
      <c r="P1831" s="0" t="str">
        <f aca="false">IF(AND(TRIM(C1831)&lt;&gt;"",COUNTIF(C$2:C1831,C1831)=1),MAX(P$1:P1830)+1,"")</f>
        <v/>
      </c>
      <c r="Q1831" s="0" t="str">
        <f aca="false">IF(AND(TRIM(F1831)&lt;&gt;"",COUNTIF(F$2:F1831,F1831)=1),MAX(Q$1:Q1830)+1,"")</f>
        <v/>
      </c>
    </row>
    <row r="1832" customFormat="false" ht="15" hidden="false" customHeight="false" outlineLevel="0" collapsed="false">
      <c r="A1832" s="9"/>
      <c r="B1832" s="10"/>
      <c r="C1832" s="11"/>
      <c r="D1832" s="11"/>
      <c r="E1832" s="11"/>
      <c r="F1832" s="11"/>
      <c r="G1832" s="12"/>
      <c r="H1832" s="12"/>
      <c r="I1832" s="10"/>
      <c r="J1832" s="12"/>
      <c r="K1832" s="13" t="str">
        <f aca="false">IF(ISNUMBER(B1832),YEAR(B1832),"")</f>
        <v/>
      </c>
      <c r="L1832" s="13" t="str">
        <f aca="false">IF(ISNUMBER(B1832),MONTH(B1832),"")</f>
        <v/>
      </c>
      <c r="M1832" s="13" t="str">
        <f aca="false">IF(AND(ISNUMBER(B1832),ISNUMBER(I1832)),B1832-I1832+1,"")</f>
        <v/>
      </c>
      <c r="N1832" s="14" t="str">
        <f aca="false">IF(B1832="","",IF(M1832="","시작일 미입력",IF(M1832&lt;1,"시작일 이전(확인)",IF(M1832=1,"1일째",IF(M1832=2,"2일째",IF(M1832=3,"3일째",IF(M1832&lt;=7,"일주일 이내",IF(M1832&lt;=14,"이주일 이내","15일 이후"))))))))</f>
        <v/>
      </c>
      <c r="O1832" s="0" t="str">
        <f aca="false">IF(AND(COUNTA($A1832:$J1832)&gt;0,OR(클레임조회!$C$4="",AND(ISNUMBER($B1832),$B1832&gt;=클레임조회!$C$4)),OR(클레임조회!$C$5="",AND(ISNUMBER($B1832),$B1832&lt;=클레임조회!$C$5)),OR(클레임조회!$C$6="",$C1832=클레임조회!$C$6),OR(클레임조회!$C$7="",$D1832=클레임조회!$C$7),OR(클레임조회!$C$8="",$E1832=클레임조회!$C$8),OR(클레임조회!$C$9="",$F1832=클레임조회!$C$9),OR(클레임조회!$C$10="",ISNUMBER(SEARCH(클레임조회!$C$10,$C1832&amp;" "&amp;$F1832&amp;" "&amp;$G1832&amp;" "&amp;$H1832)))),COUNT(O$1:O1831)+1,"")</f>
        <v/>
      </c>
      <c r="P1832" s="0" t="str">
        <f aca="false">IF(AND(TRIM(C1832)&lt;&gt;"",COUNTIF(C$2:C1832,C1832)=1),MAX(P$1:P1831)+1,"")</f>
        <v/>
      </c>
      <c r="Q1832" s="0" t="str">
        <f aca="false">IF(AND(TRIM(F1832)&lt;&gt;"",COUNTIF(F$2:F1832,F1832)=1),MAX(Q$1:Q1831)+1,"")</f>
        <v/>
      </c>
    </row>
    <row r="1833" customFormat="false" ht="15" hidden="false" customHeight="false" outlineLevel="0" collapsed="false">
      <c r="A1833" s="9"/>
      <c r="B1833" s="10"/>
      <c r="C1833" s="11"/>
      <c r="D1833" s="11"/>
      <c r="E1833" s="11"/>
      <c r="F1833" s="11"/>
      <c r="G1833" s="12"/>
      <c r="H1833" s="12"/>
      <c r="I1833" s="10"/>
      <c r="J1833" s="12"/>
      <c r="K1833" s="13" t="str">
        <f aca="false">IF(ISNUMBER(B1833),YEAR(B1833),"")</f>
        <v/>
      </c>
      <c r="L1833" s="13" t="str">
        <f aca="false">IF(ISNUMBER(B1833),MONTH(B1833),"")</f>
        <v/>
      </c>
      <c r="M1833" s="13" t="str">
        <f aca="false">IF(AND(ISNUMBER(B1833),ISNUMBER(I1833)),B1833-I1833+1,"")</f>
        <v/>
      </c>
      <c r="N1833" s="14" t="str">
        <f aca="false">IF(B1833="","",IF(M1833="","시작일 미입력",IF(M1833&lt;1,"시작일 이전(확인)",IF(M1833=1,"1일째",IF(M1833=2,"2일째",IF(M1833=3,"3일째",IF(M1833&lt;=7,"일주일 이내",IF(M1833&lt;=14,"이주일 이내","15일 이후"))))))))</f>
        <v/>
      </c>
      <c r="O1833" s="0" t="str">
        <f aca="false">IF(AND(COUNTA($A1833:$J1833)&gt;0,OR(클레임조회!$C$4="",AND(ISNUMBER($B1833),$B1833&gt;=클레임조회!$C$4)),OR(클레임조회!$C$5="",AND(ISNUMBER($B1833),$B1833&lt;=클레임조회!$C$5)),OR(클레임조회!$C$6="",$C1833=클레임조회!$C$6),OR(클레임조회!$C$7="",$D1833=클레임조회!$C$7),OR(클레임조회!$C$8="",$E1833=클레임조회!$C$8),OR(클레임조회!$C$9="",$F1833=클레임조회!$C$9),OR(클레임조회!$C$10="",ISNUMBER(SEARCH(클레임조회!$C$10,$C1833&amp;" "&amp;$F1833&amp;" "&amp;$G1833&amp;" "&amp;$H1833)))),COUNT(O$1:O1832)+1,"")</f>
        <v/>
      </c>
      <c r="P1833" s="0" t="str">
        <f aca="false">IF(AND(TRIM(C1833)&lt;&gt;"",COUNTIF(C$2:C1833,C1833)=1),MAX(P$1:P1832)+1,"")</f>
        <v/>
      </c>
      <c r="Q1833" s="0" t="str">
        <f aca="false">IF(AND(TRIM(F1833)&lt;&gt;"",COUNTIF(F$2:F1833,F1833)=1),MAX(Q$1:Q1832)+1,"")</f>
        <v/>
      </c>
    </row>
    <row r="1834" customFormat="false" ht="15" hidden="false" customHeight="false" outlineLevel="0" collapsed="false">
      <c r="A1834" s="9"/>
      <c r="B1834" s="10"/>
      <c r="C1834" s="11"/>
      <c r="D1834" s="11"/>
      <c r="E1834" s="11"/>
      <c r="F1834" s="11"/>
      <c r="G1834" s="12"/>
      <c r="H1834" s="12"/>
      <c r="I1834" s="10"/>
      <c r="J1834" s="12"/>
      <c r="K1834" s="13" t="str">
        <f aca="false">IF(ISNUMBER(B1834),YEAR(B1834),"")</f>
        <v/>
      </c>
      <c r="L1834" s="13" t="str">
        <f aca="false">IF(ISNUMBER(B1834),MONTH(B1834),"")</f>
        <v/>
      </c>
      <c r="M1834" s="13" t="str">
        <f aca="false">IF(AND(ISNUMBER(B1834),ISNUMBER(I1834)),B1834-I1834+1,"")</f>
        <v/>
      </c>
      <c r="N1834" s="14" t="str">
        <f aca="false">IF(B1834="","",IF(M1834="","시작일 미입력",IF(M1834&lt;1,"시작일 이전(확인)",IF(M1834=1,"1일째",IF(M1834=2,"2일째",IF(M1834=3,"3일째",IF(M1834&lt;=7,"일주일 이내",IF(M1834&lt;=14,"이주일 이내","15일 이후"))))))))</f>
        <v/>
      </c>
      <c r="O1834" s="0" t="str">
        <f aca="false">IF(AND(COUNTA($A1834:$J1834)&gt;0,OR(클레임조회!$C$4="",AND(ISNUMBER($B1834),$B1834&gt;=클레임조회!$C$4)),OR(클레임조회!$C$5="",AND(ISNUMBER($B1834),$B1834&lt;=클레임조회!$C$5)),OR(클레임조회!$C$6="",$C1834=클레임조회!$C$6),OR(클레임조회!$C$7="",$D1834=클레임조회!$C$7),OR(클레임조회!$C$8="",$E1834=클레임조회!$C$8),OR(클레임조회!$C$9="",$F1834=클레임조회!$C$9),OR(클레임조회!$C$10="",ISNUMBER(SEARCH(클레임조회!$C$10,$C1834&amp;" "&amp;$F1834&amp;" "&amp;$G1834&amp;" "&amp;$H1834)))),COUNT(O$1:O1833)+1,"")</f>
        <v/>
      </c>
      <c r="P1834" s="0" t="str">
        <f aca="false">IF(AND(TRIM(C1834)&lt;&gt;"",COUNTIF(C$2:C1834,C1834)=1),MAX(P$1:P1833)+1,"")</f>
        <v/>
      </c>
      <c r="Q1834" s="0" t="str">
        <f aca="false">IF(AND(TRIM(F1834)&lt;&gt;"",COUNTIF(F$2:F1834,F1834)=1),MAX(Q$1:Q1833)+1,"")</f>
        <v/>
      </c>
    </row>
    <row r="1835" customFormat="false" ht="15" hidden="false" customHeight="false" outlineLevel="0" collapsed="false">
      <c r="A1835" s="9"/>
      <c r="B1835" s="10"/>
      <c r="C1835" s="11"/>
      <c r="D1835" s="11"/>
      <c r="E1835" s="11"/>
      <c r="F1835" s="11"/>
      <c r="G1835" s="12"/>
      <c r="H1835" s="12"/>
      <c r="I1835" s="10"/>
      <c r="J1835" s="12"/>
      <c r="K1835" s="13" t="str">
        <f aca="false">IF(ISNUMBER(B1835),YEAR(B1835),"")</f>
        <v/>
      </c>
      <c r="L1835" s="13" t="str">
        <f aca="false">IF(ISNUMBER(B1835),MONTH(B1835),"")</f>
        <v/>
      </c>
      <c r="M1835" s="13" t="str">
        <f aca="false">IF(AND(ISNUMBER(B1835),ISNUMBER(I1835)),B1835-I1835+1,"")</f>
        <v/>
      </c>
      <c r="N1835" s="14" t="str">
        <f aca="false">IF(B1835="","",IF(M1835="","시작일 미입력",IF(M1835&lt;1,"시작일 이전(확인)",IF(M1835=1,"1일째",IF(M1835=2,"2일째",IF(M1835=3,"3일째",IF(M1835&lt;=7,"일주일 이내",IF(M1835&lt;=14,"이주일 이내","15일 이후"))))))))</f>
        <v/>
      </c>
      <c r="O1835" s="0" t="str">
        <f aca="false">IF(AND(COUNTA($A1835:$J1835)&gt;0,OR(클레임조회!$C$4="",AND(ISNUMBER($B1835),$B1835&gt;=클레임조회!$C$4)),OR(클레임조회!$C$5="",AND(ISNUMBER($B1835),$B1835&lt;=클레임조회!$C$5)),OR(클레임조회!$C$6="",$C1835=클레임조회!$C$6),OR(클레임조회!$C$7="",$D1835=클레임조회!$C$7),OR(클레임조회!$C$8="",$E1835=클레임조회!$C$8),OR(클레임조회!$C$9="",$F1835=클레임조회!$C$9),OR(클레임조회!$C$10="",ISNUMBER(SEARCH(클레임조회!$C$10,$C1835&amp;" "&amp;$F1835&amp;" "&amp;$G1835&amp;" "&amp;$H1835)))),COUNT(O$1:O1834)+1,"")</f>
        <v/>
      </c>
      <c r="P1835" s="0" t="str">
        <f aca="false">IF(AND(TRIM(C1835)&lt;&gt;"",COUNTIF(C$2:C1835,C1835)=1),MAX(P$1:P1834)+1,"")</f>
        <v/>
      </c>
      <c r="Q1835" s="0" t="str">
        <f aca="false">IF(AND(TRIM(F1835)&lt;&gt;"",COUNTIF(F$2:F1835,F1835)=1),MAX(Q$1:Q1834)+1,"")</f>
        <v/>
      </c>
    </row>
    <row r="1836" customFormat="false" ht="15" hidden="false" customHeight="false" outlineLevel="0" collapsed="false">
      <c r="A1836" s="9"/>
      <c r="B1836" s="10"/>
      <c r="C1836" s="11"/>
      <c r="D1836" s="11"/>
      <c r="E1836" s="11"/>
      <c r="F1836" s="11"/>
      <c r="G1836" s="12"/>
      <c r="H1836" s="12"/>
      <c r="I1836" s="10"/>
      <c r="J1836" s="12"/>
      <c r="K1836" s="13" t="str">
        <f aca="false">IF(ISNUMBER(B1836),YEAR(B1836),"")</f>
        <v/>
      </c>
      <c r="L1836" s="13" t="str">
        <f aca="false">IF(ISNUMBER(B1836),MONTH(B1836),"")</f>
        <v/>
      </c>
      <c r="M1836" s="13" t="str">
        <f aca="false">IF(AND(ISNUMBER(B1836),ISNUMBER(I1836)),B1836-I1836+1,"")</f>
        <v/>
      </c>
      <c r="N1836" s="14" t="str">
        <f aca="false">IF(B1836="","",IF(M1836="","시작일 미입력",IF(M1836&lt;1,"시작일 이전(확인)",IF(M1836=1,"1일째",IF(M1836=2,"2일째",IF(M1836=3,"3일째",IF(M1836&lt;=7,"일주일 이내",IF(M1836&lt;=14,"이주일 이내","15일 이후"))))))))</f>
        <v/>
      </c>
      <c r="O1836" s="0" t="str">
        <f aca="false">IF(AND(COUNTA($A1836:$J1836)&gt;0,OR(클레임조회!$C$4="",AND(ISNUMBER($B1836),$B1836&gt;=클레임조회!$C$4)),OR(클레임조회!$C$5="",AND(ISNUMBER($B1836),$B1836&lt;=클레임조회!$C$5)),OR(클레임조회!$C$6="",$C1836=클레임조회!$C$6),OR(클레임조회!$C$7="",$D1836=클레임조회!$C$7),OR(클레임조회!$C$8="",$E1836=클레임조회!$C$8),OR(클레임조회!$C$9="",$F1836=클레임조회!$C$9),OR(클레임조회!$C$10="",ISNUMBER(SEARCH(클레임조회!$C$10,$C1836&amp;" "&amp;$F1836&amp;" "&amp;$G1836&amp;" "&amp;$H1836)))),COUNT(O$1:O1835)+1,"")</f>
        <v/>
      </c>
      <c r="P1836" s="0" t="str">
        <f aca="false">IF(AND(TRIM(C1836)&lt;&gt;"",COUNTIF(C$2:C1836,C1836)=1),MAX(P$1:P1835)+1,"")</f>
        <v/>
      </c>
      <c r="Q1836" s="0" t="str">
        <f aca="false">IF(AND(TRIM(F1836)&lt;&gt;"",COUNTIF(F$2:F1836,F1836)=1),MAX(Q$1:Q1835)+1,"")</f>
        <v/>
      </c>
    </row>
    <row r="1837" customFormat="false" ht="15" hidden="false" customHeight="false" outlineLevel="0" collapsed="false">
      <c r="A1837" s="9"/>
      <c r="B1837" s="10"/>
      <c r="C1837" s="11"/>
      <c r="D1837" s="11"/>
      <c r="E1837" s="11"/>
      <c r="F1837" s="11"/>
      <c r="G1837" s="12"/>
      <c r="H1837" s="12"/>
      <c r="I1837" s="10"/>
      <c r="J1837" s="12"/>
      <c r="K1837" s="13" t="str">
        <f aca="false">IF(ISNUMBER(B1837),YEAR(B1837),"")</f>
        <v/>
      </c>
      <c r="L1837" s="13" t="str">
        <f aca="false">IF(ISNUMBER(B1837),MONTH(B1837),"")</f>
        <v/>
      </c>
      <c r="M1837" s="13" t="str">
        <f aca="false">IF(AND(ISNUMBER(B1837),ISNUMBER(I1837)),B1837-I1837+1,"")</f>
        <v/>
      </c>
      <c r="N1837" s="14" t="str">
        <f aca="false">IF(B1837="","",IF(M1837="","시작일 미입력",IF(M1837&lt;1,"시작일 이전(확인)",IF(M1837=1,"1일째",IF(M1837=2,"2일째",IF(M1837=3,"3일째",IF(M1837&lt;=7,"일주일 이내",IF(M1837&lt;=14,"이주일 이내","15일 이후"))))))))</f>
        <v/>
      </c>
      <c r="O1837" s="0" t="str">
        <f aca="false">IF(AND(COUNTA($A1837:$J1837)&gt;0,OR(클레임조회!$C$4="",AND(ISNUMBER($B1837),$B1837&gt;=클레임조회!$C$4)),OR(클레임조회!$C$5="",AND(ISNUMBER($B1837),$B1837&lt;=클레임조회!$C$5)),OR(클레임조회!$C$6="",$C1837=클레임조회!$C$6),OR(클레임조회!$C$7="",$D1837=클레임조회!$C$7),OR(클레임조회!$C$8="",$E1837=클레임조회!$C$8),OR(클레임조회!$C$9="",$F1837=클레임조회!$C$9),OR(클레임조회!$C$10="",ISNUMBER(SEARCH(클레임조회!$C$10,$C1837&amp;" "&amp;$F1837&amp;" "&amp;$G1837&amp;" "&amp;$H1837)))),COUNT(O$1:O1836)+1,"")</f>
        <v/>
      </c>
      <c r="P1837" s="0" t="str">
        <f aca="false">IF(AND(TRIM(C1837)&lt;&gt;"",COUNTIF(C$2:C1837,C1837)=1),MAX(P$1:P1836)+1,"")</f>
        <v/>
      </c>
      <c r="Q1837" s="0" t="str">
        <f aca="false">IF(AND(TRIM(F1837)&lt;&gt;"",COUNTIF(F$2:F1837,F1837)=1),MAX(Q$1:Q1836)+1,"")</f>
        <v/>
      </c>
    </row>
    <row r="1838" customFormat="false" ht="15" hidden="false" customHeight="false" outlineLevel="0" collapsed="false">
      <c r="A1838" s="9"/>
      <c r="B1838" s="10"/>
      <c r="C1838" s="11"/>
      <c r="D1838" s="11"/>
      <c r="E1838" s="11"/>
      <c r="F1838" s="11"/>
      <c r="G1838" s="12"/>
      <c r="H1838" s="12"/>
      <c r="I1838" s="10"/>
      <c r="J1838" s="12"/>
      <c r="K1838" s="13" t="str">
        <f aca="false">IF(ISNUMBER(B1838),YEAR(B1838),"")</f>
        <v/>
      </c>
      <c r="L1838" s="13" t="str">
        <f aca="false">IF(ISNUMBER(B1838),MONTH(B1838),"")</f>
        <v/>
      </c>
      <c r="M1838" s="13" t="str">
        <f aca="false">IF(AND(ISNUMBER(B1838),ISNUMBER(I1838)),B1838-I1838+1,"")</f>
        <v/>
      </c>
      <c r="N1838" s="14" t="str">
        <f aca="false">IF(B1838="","",IF(M1838="","시작일 미입력",IF(M1838&lt;1,"시작일 이전(확인)",IF(M1838=1,"1일째",IF(M1838=2,"2일째",IF(M1838=3,"3일째",IF(M1838&lt;=7,"일주일 이내",IF(M1838&lt;=14,"이주일 이내","15일 이후"))))))))</f>
        <v/>
      </c>
      <c r="O1838" s="0" t="str">
        <f aca="false">IF(AND(COUNTA($A1838:$J1838)&gt;0,OR(클레임조회!$C$4="",AND(ISNUMBER($B1838),$B1838&gt;=클레임조회!$C$4)),OR(클레임조회!$C$5="",AND(ISNUMBER($B1838),$B1838&lt;=클레임조회!$C$5)),OR(클레임조회!$C$6="",$C1838=클레임조회!$C$6),OR(클레임조회!$C$7="",$D1838=클레임조회!$C$7),OR(클레임조회!$C$8="",$E1838=클레임조회!$C$8),OR(클레임조회!$C$9="",$F1838=클레임조회!$C$9),OR(클레임조회!$C$10="",ISNUMBER(SEARCH(클레임조회!$C$10,$C1838&amp;" "&amp;$F1838&amp;" "&amp;$G1838&amp;" "&amp;$H1838)))),COUNT(O$1:O1837)+1,"")</f>
        <v/>
      </c>
      <c r="P1838" s="0" t="str">
        <f aca="false">IF(AND(TRIM(C1838)&lt;&gt;"",COUNTIF(C$2:C1838,C1838)=1),MAX(P$1:P1837)+1,"")</f>
        <v/>
      </c>
      <c r="Q1838" s="0" t="str">
        <f aca="false">IF(AND(TRIM(F1838)&lt;&gt;"",COUNTIF(F$2:F1838,F1838)=1),MAX(Q$1:Q1837)+1,"")</f>
        <v/>
      </c>
    </row>
    <row r="1839" customFormat="false" ht="15" hidden="false" customHeight="false" outlineLevel="0" collapsed="false">
      <c r="A1839" s="9"/>
      <c r="B1839" s="10"/>
      <c r="C1839" s="11"/>
      <c r="D1839" s="11"/>
      <c r="E1839" s="11"/>
      <c r="F1839" s="11"/>
      <c r="G1839" s="12"/>
      <c r="H1839" s="12"/>
      <c r="I1839" s="10"/>
      <c r="J1839" s="12"/>
      <c r="K1839" s="13" t="str">
        <f aca="false">IF(ISNUMBER(B1839),YEAR(B1839),"")</f>
        <v/>
      </c>
      <c r="L1839" s="13" t="str">
        <f aca="false">IF(ISNUMBER(B1839),MONTH(B1839),"")</f>
        <v/>
      </c>
      <c r="M1839" s="13" t="str">
        <f aca="false">IF(AND(ISNUMBER(B1839),ISNUMBER(I1839)),B1839-I1839+1,"")</f>
        <v/>
      </c>
      <c r="N1839" s="14" t="str">
        <f aca="false">IF(B1839="","",IF(M1839="","시작일 미입력",IF(M1839&lt;1,"시작일 이전(확인)",IF(M1839=1,"1일째",IF(M1839=2,"2일째",IF(M1839=3,"3일째",IF(M1839&lt;=7,"일주일 이내",IF(M1839&lt;=14,"이주일 이내","15일 이후"))))))))</f>
        <v/>
      </c>
      <c r="O1839" s="0" t="str">
        <f aca="false">IF(AND(COUNTA($A1839:$J1839)&gt;0,OR(클레임조회!$C$4="",AND(ISNUMBER($B1839),$B1839&gt;=클레임조회!$C$4)),OR(클레임조회!$C$5="",AND(ISNUMBER($B1839),$B1839&lt;=클레임조회!$C$5)),OR(클레임조회!$C$6="",$C1839=클레임조회!$C$6),OR(클레임조회!$C$7="",$D1839=클레임조회!$C$7),OR(클레임조회!$C$8="",$E1839=클레임조회!$C$8),OR(클레임조회!$C$9="",$F1839=클레임조회!$C$9),OR(클레임조회!$C$10="",ISNUMBER(SEARCH(클레임조회!$C$10,$C1839&amp;" "&amp;$F1839&amp;" "&amp;$G1839&amp;" "&amp;$H1839)))),COUNT(O$1:O1838)+1,"")</f>
        <v/>
      </c>
      <c r="P1839" s="0" t="str">
        <f aca="false">IF(AND(TRIM(C1839)&lt;&gt;"",COUNTIF(C$2:C1839,C1839)=1),MAX(P$1:P1838)+1,"")</f>
        <v/>
      </c>
      <c r="Q1839" s="0" t="str">
        <f aca="false">IF(AND(TRIM(F1839)&lt;&gt;"",COUNTIF(F$2:F1839,F1839)=1),MAX(Q$1:Q1838)+1,"")</f>
        <v/>
      </c>
    </row>
    <row r="1840" customFormat="false" ht="15" hidden="false" customHeight="false" outlineLevel="0" collapsed="false">
      <c r="A1840" s="9"/>
      <c r="B1840" s="10"/>
      <c r="C1840" s="11"/>
      <c r="D1840" s="11"/>
      <c r="E1840" s="11"/>
      <c r="F1840" s="11"/>
      <c r="G1840" s="12"/>
      <c r="H1840" s="12"/>
      <c r="I1840" s="10"/>
      <c r="J1840" s="12"/>
      <c r="K1840" s="13" t="str">
        <f aca="false">IF(ISNUMBER(B1840),YEAR(B1840),"")</f>
        <v/>
      </c>
      <c r="L1840" s="13" t="str">
        <f aca="false">IF(ISNUMBER(B1840),MONTH(B1840),"")</f>
        <v/>
      </c>
      <c r="M1840" s="13" t="str">
        <f aca="false">IF(AND(ISNUMBER(B1840),ISNUMBER(I1840)),B1840-I1840+1,"")</f>
        <v/>
      </c>
      <c r="N1840" s="14" t="str">
        <f aca="false">IF(B1840="","",IF(M1840="","시작일 미입력",IF(M1840&lt;1,"시작일 이전(확인)",IF(M1840=1,"1일째",IF(M1840=2,"2일째",IF(M1840=3,"3일째",IF(M1840&lt;=7,"일주일 이내",IF(M1840&lt;=14,"이주일 이내","15일 이후"))))))))</f>
        <v/>
      </c>
      <c r="O1840" s="0" t="str">
        <f aca="false">IF(AND(COUNTA($A1840:$J1840)&gt;0,OR(클레임조회!$C$4="",AND(ISNUMBER($B1840),$B1840&gt;=클레임조회!$C$4)),OR(클레임조회!$C$5="",AND(ISNUMBER($B1840),$B1840&lt;=클레임조회!$C$5)),OR(클레임조회!$C$6="",$C1840=클레임조회!$C$6),OR(클레임조회!$C$7="",$D1840=클레임조회!$C$7),OR(클레임조회!$C$8="",$E1840=클레임조회!$C$8),OR(클레임조회!$C$9="",$F1840=클레임조회!$C$9),OR(클레임조회!$C$10="",ISNUMBER(SEARCH(클레임조회!$C$10,$C1840&amp;" "&amp;$F1840&amp;" "&amp;$G1840&amp;" "&amp;$H1840)))),COUNT(O$1:O1839)+1,"")</f>
        <v/>
      </c>
      <c r="P1840" s="0" t="str">
        <f aca="false">IF(AND(TRIM(C1840)&lt;&gt;"",COUNTIF(C$2:C1840,C1840)=1),MAX(P$1:P1839)+1,"")</f>
        <v/>
      </c>
      <c r="Q1840" s="0" t="str">
        <f aca="false">IF(AND(TRIM(F1840)&lt;&gt;"",COUNTIF(F$2:F1840,F1840)=1),MAX(Q$1:Q1839)+1,"")</f>
        <v/>
      </c>
    </row>
    <row r="1841" customFormat="false" ht="15" hidden="false" customHeight="false" outlineLevel="0" collapsed="false">
      <c r="A1841" s="9"/>
      <c r="B1841" s="10"/>
      <c r="C1841" s="11"/>
      <c r="D1841" s="11"/>
      <c r="E1841" s="11"/>
      <c r="F1841" s="11"/>
      <c r="G1841" s="12"/>
      <c r="H1841" s="12"/>
      <c r="I1841" s="10"/>
      <c r="J1841" s="12"/>
      <c r="K1841" s="13" t="str">
        <f aca="false">IF(ISNUMBER(B1841),YEAR(B1841),"")</f>
        <v/>
      </c>
      <c r="L1841" s="13" t="str">
        <f aca="false">IF(ISNUMBER(B1841),MONTH(B1841),"")</f>
        <v/>
      </c>
      <c r="M1841" s="13" t="str">
        <f aca="false">IF(AND(ISNUMBER(B1841),ISNUMBER(I1841)),B1841-I1841+1,"")</f>
        <v/>
      </c>
      <c r="N1841" s="14" t="str">
        <f aca="false">IF(B1841="","",IF(M1841="","시작일 미입력",IF(M1841&lt;1,"시작일 이전(확인)",IF(M1841=1,"1일째",IF(M1841=2,"2일째",IF(M1841=3,"3일째",IF(M1841&lt;=7,"일주일 이내",IF(M1841&lt;=14,"이주일 이내","15일 이후"))))))))</f>
        <v/>
      </c>
      <c r="O1841" s="0" t="str">
        <f aca="false">IF(AND(COUNTA($A1841:$J1841)&gt;0,OR(클레임조회!$C$4="",AND(ISNUMBER($B1841),$B1841&gt;=클레임조회!$C$4)),OR(클레임조회!$C$5="",AND(ISNUMBER($B1841),$B1841&lt;=클레임조회!$C$5)),OR(클레임조회!$C$6="",$C1841=클레임조회!$C$6),OR(클레임조회!$C$7="",$D1841=클레임조회!$C$7),OR(클레임조회!$C$8="",$E1841=클레임조회!$C$8),OR(클레임조회!$C$9="",$F1841=클레임조회!$C$9),OR(클레임조회!$C$10="",ISNUMBER(SEARCH(클레임조회!$C$10,$C1841&amp;" "&amp;$F1841&amp;" "&amp;$G1841&amp;" "&amp;$H1841)))),COUNT(O$1:O1840)+1,"")</f>
        <v/>
      </c>
      <c r="P1841" s="0" t="str">
        <f aca="false">IF(AND(TRIM(C1841)&lt;&gt;"",COUNTIF(C$2:C1841,C1841)=1),MAX(P$1:P1840)+1,"")</f>
        <v/>
      </c>
      <c r="Q1841" s="0" t="str">
        <f aca="false">IF(AND(TRIM(F1841)&lt;&gt;"",COUNTIF(F$2:F1841,F1841)=1),MAX(Q$1:Q1840)+1,"")</f>
        <v/>
      </c>
    </row>
    <row r="1842" customFormat="false" ht="15" hidden="false" customHeight="false" outlineLevel="0" collapsed="false">
      <c r="A1842" s="9"/>
      <c r="B1842" s="10"/>
      <c r="C1842" s="11"/>
      <c r="D1842" s="11"/>
      <c r="E1842" s="11"/>
      <c r="F1842" s="11"/>
      <c r="G1842" s="12"/>
      <c r="H1842" s="12"/>
      <c r="I1842" s="10"/>
      <c r="J1842" s="12"/>
      <c r="K1842" s="13" t="str">
        <f aca="false">IF(ISNUMBER(B1842),YEAR(B1842),"")</f>
        <v/>
      </c>
      <c r="L1842" s="13" t="str">
        <f aca="false">IF(ISNUMBER(B1842),MONTH(B1842),"")</f>
        <v/>
      </c>
      <c r="M1842" s="13" t="str">
        <f aca="false">IF(AND(ISNUMBER(B1842),ISNUMBER(I1842)),B1842-I1842+1,"")</f>
        <v/>
      </c>
      <c r="N1842" s="14" t="str">
        <f aca="false">IF(B1842="","",IF(M1842="","시작일 미입력",IF(M1842&lt;1,"시작일 이전(확인)",IF(M1842=1,"1일째",IF(M1842=2,"2일째",IF(M1842=3,"3일째",IF(M1842&lt;=7,"일주일 이내",IF(M1842&lt;=14,"이주일 이내","15일 이후"))))))))</f>
        <v/>
      </c>
      <c r="O1842" s="0" t="str">
        <f aca="false">IF(AND(COUNTA($A1842:$J1842)&gt;0,OR(클레임조회!$C$4="",AND(ISNUMBER($B1842),$B1842&gt;=클레임조회!$C$4)),OR(클레임조회!$C$5="",AND(ISNUMBER($B1842),$B1842&lt;=클레임조회!$C$5)),OR(클레임조회!$C$6="",$C1842=클레임조회!$C$6),OR(클레임조회!$C$7="",$D1842=클레임조회!$C$7),OR(클레임조회!$C$8="",$E1842=클레임조회!$C$8),OR(클레임조회!$C$9="",$F1842=클레임조회!$C$9),OR(클레임조회!$C$10="",ISNUMBER(SEARCH(클레임조회!$C$10,$C1842&amp;" "&amp;$F1842&amp;" "&amp;$G1842&amp;" "&amp;$H1842)))),COUNT(O$1:O1841)+1,"")</f>
        <v/>
      </c>
      <c r="P1842" s="0" t="str">
        <f aca="false">IF(AND(TRIM(C1842)&lt;&gt;"",COUNTIF(C$2:C1842,C1842)=1),MAX(P$1:P1841)+1,"")</f>
        <v/>
      </c>
      <c r="Q1842" s="0" t="str">
        <f aca="false">IF(AND(TRIM(F1842)&lt;&gt;"",COUNTIF(F$2:F1842,F1842)=1),MAX(Q$1:Q1841)+1,"")</f>
        <v/>
      </c>
    </row>
    <row r="1843" customFormat="false" ht="15" hidden="false" customHeight="false" outlineLevel="0" collapsed="false">
      <c r="A1843" s="9"/>
      <c r="B1843" s="10"/>
      <c r="C1843" s="11"/>
      <c r="D1843" s="11"/>
      <c r="E1843" s="11"/>
      <c r="F1843" s="11"/>
      <c r="G1843" s="12"/>
      <c r="H1843" s="12"/>
      <c r="I1843" s="10"/>
      <c r="J1843" s="12"/>
      <c r="K1843" s="13" t="str">
        <f aca="false">IF(ISNUMBER(B1843),YEAR(B1843),"")</f>
        <v/>
      </c>
      <c r="L1843" s="13" t="str">
        <f aca="false">IF(ISNUMBER(B1843),MONTH(B1843),"")</f>
        <v/>
      </c>
      <c r="M1843" s="13" t="str">
        <f aca="false">IF(AND(ISNUMBER(B1843),ISNUMBER(I1843)),B1843-I1843+1,"")</f>
        <v/>
      </c>
      <c r="N1843" s="14" t="str">
        <f aca="false">IF(B1843="","",IF(M1843="","시작일 미입력",IF(M1843&lt;1,"시작일 이전(확인)",IF(M1843=1,"1일째",IF(M1843=2,"2일째",IF(M1843=3,"3일째",IF(M1843&lt;=7,"일주일 이내",IF(M1843&lt;=14,"이주일 이내","15일 이후"))))))))</f>
        <v/>
      </c>
      <c r="O1843" s="0" t="str">
        <f aca="false">IF(AND(COUNTA($A1843:$J1843)&gt;0,OR(클레임조회!$C$4="",AND(ISNUMBER($B1843),$B1843&gt;=클레임조회!$C$4)),OR(클레임조회!$C$5="",AND(ISNUMBER($B1843),$B1843&lt;=클레임조회!$C$5)),OR(클레임조회!$C$6="",$C1843=클레임조회!$C$6),OR(클레임조회!$C$7="",$D1843=클레임조회!$C$7),OR(클레임조회!$C$8="",$E1843=클레임조회!$C$8),OR(클레임조회!$C$9="",$F1843=클레임조회!$C$9),OR(클레임조회!$C$10="",ISNUMBER(SEARCH(클레임조회!$C$10,$C1843&amp;" "&amp;$F1843&amp;" "&amp;$G1843&amp;" "&amp;$H1843)))),COUNT(O$1:O1842)+1,"")</f>
        <v/>
      </c>
      <c r="P1843" s="0" t="str">
        <f aca="false">IF(AND(TRIM(C1843)&lt;&gt;"",COUNTIF(C$2:C1843,C1843)=1),MAX(P$1:P1842)+1,"")</f>
        <v/>
      </c>
      <c r="Q1843" s="0" t="str">
        <f aca="false">IF(AND(TRIM(F1843)&lt;&gt;"",COUNTIF(F$2:F1843,F1843)=1),MAX(Q$1:Q1842)+1,"")</f>
        <v/>
      </c>
    </row>
    <row r="1844" customFormat="false" ht="15" hidden="false" customHeight="false" outlineLevel="0" collapsed="false">
      <c r="A1844" s="9"/>
      <c r="B1844" s="10"/>
      <c r="C1844" s="11"/>
      <c r="D1844" s="11"/>
      <c r="E1844" s="11"/>
      <c r="F1844" s="11"/>
      <c r="G1844" s="12"/>
      <c r="H1844" s="12"/>
      <c r="I1844" s="10"/>
      <c r="J1844" s="12"/>
      <c r="K1844" s="13" t="str">
        <f aca="false">IF(ISNUMBER(B1844),YEAR(B1844),"")</f>
        <v/>
      </c>
      <c r="L1844" s="13" t="str">
        <f aca="false">IF(ISNUMBER(B1844),MONTH(B1844),"")</f>
        <v/>
      </c>
      <c r="M1844" s="13" t="str">
        <f aca="false">IF(AND(ISNUMBER(B1844),ISNUMBER(I1844)),B1844-I1844+1,"")</f>
        <v/>
      </c>
      <c r="N1844" s="14" t="str">
        <f aca="false">IF(B1844="","",IF(M1844="","시작일 미입력",IF(M1844&lt;1,"시작일 이전(확인)",IF(M1844=1,"1일째",IF(M1844=2,"2일째",IF(M1844=3,"3일째",IF(M1844&lt;=7,"일주일 이내",IF(M1844&lt;=14,"이주일 이내","15일 이후"))))))))</f>
        <v/>
      </c>
      <c r="O1844" s="0" t="str">
        <f aca="false">IF(AND(COUNTA($A1844:$J1844)&gt;0,OR(클레임조회!$C$4="",AND(ISNUMBER($B1844),$B1844&gt;=클레임조회!$C$4)),OR(클레임조회!$C$5="",AND(ISNUMBER($B1844),$B1844&lt;=클레임조회!$C$5)),OR(클레임조회!$C$6="",$C1844=클레임조회!$C$6),OR(클레임조회!$C$7="",$D1844=클레임조회!$C$7),OR(클레임조회!$C$8="",$E1844=클레임조회!$C$8),OR(클레임조회!$C$9="",$F1844=클레임조회!$C$9),OR(클레임조회!$C$10="",ISNUMBER(SEARCH(클레임조회!$C$10,$C1844&amp;" "&amp;$F1844&amp;" "&amp;$G1844&amp;" "&amp;$H1844)))),COUNT(O$1:O1843)+1,"")</f>
        <v/>
      </c>
      <c r="P1844" s="0" t="str">
        <f aca="false">IF(AND(TRIM(C1844)&lt;&gt;"",COUNTIF(C$2:C1844,C1844)=1),MAX(P$1:P1843)+1,"")</f>
        <v/>
      </c>
      <c r="Q1844" s="0" t="str">
        <f aca="false">IF(AND(TRIM(F1844)&lt;&gt;"",COUNTIF(F$2:F1844,F1844)=1),MAX(Q$1:Q1843)+1,"")</f>
        <v/>
      </c>
    </row>
    <row r="1845" customFormat="false" ht="15" hidden="false" customHeight="false" outlineLevel="0" collapsed="false">
      <c r="A1845" s="9"/>
      <c r="B1845" s="10"/>
      <c r="C1845" s="11"/>
      <c r="D1845" s="11"/>
      <c r="E1845" s="11"/>
      <c r="F1845" s="11"/>
      <c r="G1845" s="12"/>
      <c r="H1845" s="12"/>
      <c r="I1845" s="10"/>
      <c r="J1845" s="12"/>
      <c r="K1845" s="13" t="str">
        <f aca="false">IF(ISNUMBER(B1845),YEAR(B1845),"")</f>
        <v/>
      </c>
      <c r="L1845" s="13" t="str">
        <f aca="false">IF(ISNUMBER(B1845),MONTH(B1845),"")</f>
        <v/>
      </c>
      <c r="M1845" s="13" t="str">
        <f aca="false">IF(AND(ISNUMBER(B1845),ISNUMBER(I1845)),B1845-I1845+1,"")</f>
        <v/>
      </c>
      <c r="N1845" s="14" t="str">
        <f aca="false">IF(B1845="","",IF(M1845="","시작일 미입력",IF(M1845&lt;1,"시작일 이전(확인)",IF(M1845=1,"1일째",IF(M1845=2,"2일째",IF(M1845=3,"3일째",IF(M1845&lt;=7,"일주일 이내",IF(M1845&lt;=14,"이주일 이내","15일 이후"))))))))</f>
        <v/>
      </c>
      <c r="O1845" s="0" t="str">
        <f aca="false">IF(AND(COUNTA($A1845:$J1845)&gt;0,OR(클레임조회!$C$4="",AND(ISNUMBER($B1845),$B1845&gt;=클레임조회!$C$4)),OR(클레임조회!$C$5="",AND(ISNUMBER($B1845),$B1845&lt;=클레임조회!$C$5)),OR(클레임조회!$C$6="",$C1845=클레임조회!$C$6),OR(클레임조회!$C$7="",$D1845=클레임조회!$C$7),OR(클레임조회!$C$8="",$E1845=클레임조회!$C$8),OR(클레임조회!$C$9="",$F1845=클레임조회!$C$9),OR(클레임조회!$C$10="",ISNUMBER(SEARCH(클레임조회!$C$10,$C1845&amp;" "&amp;$F1845&amp;" "&amp;$G1845&amp;" "&amp;$H1845)))),COUNT(O$1:O1844)+1,"")</f>
        <v/>
      </c>
      <c r="P1845" s="0" t="str">
        <f aca="false">IF(AND(TRIM(C1845)&lt;&gt;"",COUNTIF(C$2:C1845,C1845)=1),MAX(P$1:P1844)+1,"")</f>
        <v/>
      </c>
      <c r="Q1845" s="0" t="str">
        <f aca="false">IF(AND(TRIM(F1845)&lt;&gt;"",COUNTIF(F$2:F1845,F1845)=1),MAX(Q$1:Q1844)+1,"")</f>
        <v/>
      </c>
    </row>
    <row r="1846" customFormat="false" ht="15" hidden="false" customHeight="false" outlineLevel="0" collapsed="false">
      <c r="A1846" s="9"/>
      <c r="B1846" s="10"/>
      <c r="C1846" s="11"/>
      <c r="D1846" s="11"/>
      <c r="E1846" s="11"/>
      <c r="F1846" s="11"/>
      <c r="G1846" s="12"/>
      <c r="H1846" s="12"/>
      <c r="I1846" s="10"/>
      <c r="J1846" s="12"/>
      <c r="K1846" s="13" t="str">
        <f aca="false">IF(ISNUMBER(B1846),YEAR(B1846),"")</f>
        <v/>
      </c>
      <c r="L1846" s="13" t="str">
        <f aca="false">IF(ISNUMBER(B1846),MONTH(B1846),"")</f>
        <v/>
      </c>
      <c r="M1846" s="13" t="str">
        <f aca="false">IF(AND(ISNUMBER(B1846),ISNUMBER(I1846)),B1846-I1846+1,"")</f>
        <v/>
      </c>
      <c r="N1846" s="14" t="str">
        <f aca="false">IF(B1846="","",IF(M1846="","시작일 미입력",IF(M1846&lt;1,"시작일 이전(확인)",IF(M1846=1,"1일째",IF(M1846=2,"2일째",IF(M1846=3,"3일째",IF(M1846&lt;=7,"일주일 이내",IF(M1846&lt;=14,"이주일 이내","15일 이후"))))))))</f>
        <v/>
      </c>
      <c r="O1846" s="0" t="str">
        <f aca="false">IF(AND(COUNTA($A1846:$J1846)&gt;0,OR(클레임조회!$C$4="",AND(ISNUMBER($B1846),$B1846&gt;=클레임조회!$C$4)),OR(클레임조회!$C$5="",AND(ISNUMBER($B1846),$B1846&lt;=클레임조회!$C$5)),OR(클레임조회!$C$6="",$C1846=클레임조회!$C$6),OR(클레임조회!$C$7="",$D1846=클레임조회!$C$7),OR(클레임조회!$C$8="",$E1846=클레임조회!$C$8),OR(클레임조회!$C$9="",$F1846=클레임조회!$C$9),OR(클레임조회!$C$10="",ISNUMBER(SEARCH(클레임조회!$C$10,$C1846&amp;" "&amp;$F1846&amp;" "&amp;$G1846&amp;" "&amp;$H1846)))),COUNT(O$1:O1845)+1,"")</f>
        <v/>
      </c>
      <c r="P1846" s="0" t="str">
        <f aca="false">IF(AND(TRIM(C1846)&lt;&gt;"",COUNTIF(C$2:C1846,C1846)=1),MAX(P$1:P1845)+1,"")</f>
        <v/>
      </c>
      <c r="Q1846" s="0" t="str">
        <f aca="false">IF(AND(TRIM(F1846)&lt;&gt;"",COUNTIF(F$2:F1846,F1846)=1),MAX(Q$1:Q1845)+1,"")</f>
        <v/>
      </c>
    </row>
    <row r="1847" customFormat="false" ht="15" hidden="false" customHeight="false" outlineLevel="0" collapsed="false">
      <c r="A1847" s="9"/>
      <c r="B1847" s="10"/>
      <c r="C1847" s="11"/>
      <c r="D1847" s="11"/>
      <c r="E1847" s="11"/>
      <c r="F1847" s="11"/>
      <c r="G1847" s="12"/>
      <c r="H1847" s="12"/>
      <c r="I1847" s="10"/>
      <c r="J1847" s="12"/>
      <c r="K1847" s="13" t="str">
        <f aca="false">IF(ISNUMBER(B1847),YEAR(B1847),"")</f>
        <v/>
      </c>
      <c r="L1847" s="13" t="str">
        <f aca="false">IF(ISNUMBER(B1847),MONTH(B1847),"")</f>
        <v/>
      </c>
      <c r="M1847" s="13" t="str">
        <f aca="false">IF(AND(ISNUMBER(B1847),ISNUMBER(I1847)),B1847-I1847+1,"")</f>
        <v/>
      </c>
      <c r="N1847" s="14" t="str">
        <f aca="false">IF(B1847="","",IF(M1847="","시작일 미입력",IF(M1847&lt;1,"시작일 이전(확인)",IF(M1847=1,"1일째",IF(M1847=2,"2일째",IF(M1847=3,"3일째",IF(M1847&lt;=7,"일주일 이내",IF(M1847&lt;=14,"이주일 이내","15일 이후"))))))))</f>
        <v/>
      </c>
      <c r="O1847" s="0" t="str">
        <f aca="false">IF(AND(COUNTA($A1847:$J1847)&gt;0,OR(클레임조회!$C$4="",AND(ISNUMBER($B1847),$B1847&gt;=클레임조회!$C$4)),OR(클레임조회!$C$5="",AND(ISNUMBER($B1847),$B1847&lt;=클레임조회!$C$5)),OR(클레임조회!$C$6="",$C1847=클레임조회!$C$6),OR(클레임조회!$C$7="",$D1847=클레임조회!$C$7),OR(클레임조회!$C$8="",$E1847=클레임조회!$C$8),OR(클레임조회!$C$9="",$F1847=클레임조회!$C$9),OR(클레임조회!$C$10="",ISNUMBER(SEARCH(클레임조회!$C$10,$C1847&amp;" "&amp;$F1847&amp;" "&amp;$G1847&amp;" "&amp;$H1847)))),COUNT(O$1:O1846)+1,"")</f>
        <v/>
      </c>
      <c r="P1847" s="0" t="str">
        <f aca="false">IF(AND(TRIM(C1847)&lt;&gt;"",COUNTIF(C$2:C1847,C1847)=1),MAX(P$1:P1846)+1,"")</f>
        <v/>
      </c>
      <c r="Q1847" s="0" t="str">
        <f aca="false">IF(AND(TRIM(F1847)&lt;&gt;"",COUNTIF(F$2:F1847,F1847)=1),MAX(Q$1:Q1846)+1,"")</f>
        <v/>
      </c>
    </row>
    <row r="1848" customFormat="false" ht="15" hidden="false" customHeight="false" outlineLevel="0" collapsed="false">
      <c r="A1848" s="9"/>
      <c r="B1848" s="10"/>
      <c r="C1848" s="11"/>
      <c r="D1848" s="11"/>
      <c r="E1848" s="11"/>
      <c r="F1848" s="11"/>
      <c r="G1848" s="12"/>
      <c r="H1848" s="12"/>
      <c r="I1848" s="10"/>
      <c r="J1848" s="12"/>
      <c r="K1848" s="13" t="str">
        <f aca="false">IF(ISNUMBER(B1848),YEAR(B1848),"")</f>
        <v/>
      </c>
      <c r="L1848" s="13" t="str">
        <f aca="false">IF(ISNUMBER(B1848),MONTH(B1848),"")</f>
        <v/>
      </c>
      <c r="M1848" s="13" t="str">
        <f aca="false">IF(AND(ISNUMBER(B1848),ISNUMBER(I1848)),B1848-I1848+1,"")</f>
        <v/>
      </c>
      <c r="N1848" s="14" t="str">
        <f aca="false">IF(B1848="","",IF(M1848="","시작일 미입력",IF(M1848&lt;1,"시작일 이전(확인)",IF(M1848=1,"1일째",IF(M1848=2,"2일째",IF(M1848=3,"3일째",IF(M1848&lt;=7,"일주일 이내",IF(M1848&lt;=14,"이주일 이내","15일 이후"))))))))</f>
        <v/>
      </c>
      <c r="O1848" s="0" t="str">
        <f aca="false">IF(AND(COUNTA($A1848:$J1848)&gt;0,OR(클레임조회!$C$4="",AND(ISNUMBER($B1848),$B1848&gt;=클레임조회!$C$4)),OR(클레임조회!$C$5="",AND(ISNUMBER($B1848),$B1848&lt;=클레임조회!$C$5)),OR(클레임조회!$C$6="",$C1848=클레임조회!$C$6),OR(클레임조회!$C$7="",$D1848=클레임조회!$C$7),OR(클레임조회!$C$8="",$E1848=클레임조회!$C$8),OR(클레임조회!$C$9="",$F1848=클레임조회!$C$9),OR(클레임조회!$C$10="",ISNUMBER(SEARCH(클레임조회!$C$10,$C1848&amp;" "&amp;$F1848&amp;" "&amp;$G1848&amp;" "&amp;$H1848)))),COUNT(O$1:O1847)+1,"")</f>
        <v/>
      </c>
      <c r="P1848" s="0" t="str">
        <f aca="false">IF(AND(TRIM(C1848)&lt;&gt;"",COUNTIF(C$2:C1848,C1848)=1),MAX(P$1:P1847)+1,"")</f>
        <v/>
      </c>
      <c r="Q1848" s="0" t="str">
        <f aca="false">IF(AND(TRIM(F1848)&lt;&gt;"",COUNTIF(F$2:F1848,F1848)=1),MAX(Q$1:Q1847)+1,"")</f>
        <v/>
      </c>
    </row>
    <row r="1849" customFormat="false" ht="15" hidden="false" customHeight="false" outlineLevel="0" collapsed="false">
      <c r="A1849" s="9"/>
      <c r="B1849" s="10"/>
      <c r="C1849" s="11"/>
      <c r="D1849" s="11"/>
      <c r="E1849" s="11"/>
      <c r="F1849" s="11"/>
      <c r="G1849" s="12"/>
      <c r="H1849" s="12"/>
      <c r="I1849" s="10"/>
      <c r="J1849" s="12"/>
      <c r="K1849" s="13" t="str">
        <f aca="false">IF(ISNUMBER(B1849),YEAR(B1849),"")</f>
        <v/>
      </c>
      <c r="L1849" s="13" t="str">
        <f aca="false">IF(ISNUMBER(B1849),MONTH(B1849),"")</f>
        <v/>
      </c>
      <c r="M1849" s="13" t="str">
        <f aca="false">IF(AND(ISNUMBER(B1849),ISNUMBER(I1849)),B1849-I1849+1,"")</f>
        <v/>
      </c>
      <c r="N1849" s="14" t="str">
        <f aca="false">IF(B1849="","",IF(M1849="","시작일 미입력",IF(M1849&lt;1,"시작일 이전(확인)",IF(M1849=1,"1일째",IF(M1849=2,"2일째",IF(M1849=3,"3일째",IF(M1849&lt;=7,"일주일 이내",IF(M1849&lt;=14,"이주일 이내","15일 이후"))))))))</f>
        <v/>
      </c>
      <c r="O1849" s="0" t="str">
        <f aca="false">IF(AND(COUNTA($A1849:$J1849)&gt;0,OR(클레임조회!$C$4="",AND(ISNUMBER($B1849),$B1849&gt;=클레임조회!$C$4)),OR(클레임조회!$C$5="",AND(ISNUMBER($B1849),$B1849&lt;=클레임조회!$C$5)),OR(클레임조회!$C$6="",$C1849=클레임조회!$C$6),OR(클레임조회!$C$7="",$D1849=클레임조회!$C$7),OR(클레임조회!$C$8="",$E1849=클레임조회!$C$8),OR(클레임조회!$C$9="",$F1849=클레임조회!$C$9),OR(클레임조회!$C$10="",ISNUMBER(SEARCH(클레임조회!$C$10,$C1849&amp;" "&amp;$F1849&amp;" "&amp;$G1849&amp;" "&amp;$H1849)))),COUNT(O$1:O1848)+1,"")</f>
        <v/>
      </c>
      <c r="P1849" s="0" t="str">
        <f aca="false">IF(AND(TRIM(C1849)&lt;&gt;"",COUNTIF(C$2:C1849,C1849)=1),MAX(P$1:P1848)+1,"")</f>
        <v/>
      </c>
      <c r="Q1849" s="0" t="str">
        <f aca="false">IF(AND(TRIM(F1849)&lt;&gt;"",COUNTIF(F$2:F1849,F1849)=1),MAX(Q$1:Q1848)+1,"")</f>
        <v/>
      </c>
    </row>
    <row r="1850" customFormat="false" ht="15" hidden="false" customHeight="false" outlineLevel="0" collapsed="false">
      <c r="A1850" s="9"/>
      <c r="B1850" s="10"/>
      <c r="C1850" s="11"/>
      <c r="D1850" s="11"/>
      <c r="E1850" s="11"/>
      <c r="F1850" s="11"/>
      <c r="G1850" s="12"/>
      <c r="H1850" s="12"/>
      <c r="I1850" s="10"/>
      <c r="J1850" s="12"/>
      <c r="K1850" s="13" t="str">
        <f aca="false">IF(ISNUMBER(B1850),YEAR(B1850),"")</f>
        <v/>
      </c>
      <c r="L1850" s="13" t="str">
        <f aca="false">IF(ISNUMBER(B1850),MONTH(B1850),"")</f>
        <v/>
      </c>
      <c r="M1850" s="13" t="str">
        <f aca="false">IF(AND(ISNUMBER(B1850),ISNUMBER(I1850)),B1850-I1850+1,"")</f>
        <v/>
      </c>
      <c r="N1850" s="14" t="str">
        <f aca="false">IF(B1850="","",IF(M1850="","시작일 미입력",IF(M1850&lt;1,"시작일 이전(확인)",IF(M1850=1,"1일째",IF(M1850=2,"2일째",IF(M1850=3,"3일째",IF(M1850&lt;=7,"일주일 이내",IF(M1850&lt;=14,"이주일 이내","15일 이후"))))))))</f>
        <v/>
      </c>
      <c r="O1850" s="0" t="str">
        <f aca="false">IF(AND(COUNTA($A1850:$J1850)&gt;0,OR(클레임조회!$C$4="",AND(ISNUMBER($B1850),$B1850&gt;=클레임조회!$C$4)),OR(클레임조회!$C$5="",AND(ISNUMBER($B1850),$B1850&lt;=클레임조회!$C$5)),OR(클레임조회!$C$6="",$C1850=클레임조회!$C$6),OR(클레임조회!$C$7="",$D1850=클레임조회!$C$7),OR(클레임조회!$C$8="",$E1850=클레임조회!$C$8),OR(클레임조회!$C$9="",$F1850=클레임조회!$C$9),OR(클레임조회!$C$10="",ISNUMBER(SEARCH(클레임조회!$C$10,$C1850&amp;" "&amp;$F1850&amp;" "&amp;$G1850&amp;" "&amp;$H1850)))),COUNT(O$1:O1849)+1,"")</f>
        <v/>
      </c>
      <c r="P1850" s="0" t="str">
        <f aca="false">IF(AND(TRIM(C1850)&lt;&gt;"",COUNTIF(C$2:C1850,C1850)=1),MAX(P$1:P1849)+1,"")</f>
        <v/>
      </c>
      <c r="Q1850" s="0" t="str">
        <f aca="false">IF(AND(TRIM(F1850)&lt;&gt;"",COUNTIF(F$2:F1850,F1850)=1),MAX(Q$1:Q1849)+1,"")</f>
        <v/>
      </c>
    </row>
    <row r="1851" customFormat="false" ht="15" hidden="false" customHeight="false" outlineLevel="0" collapsed="false">
      <c r="A1851" s="9"/>
      <c r="B1851" s="10"/>
      <c r="C1851" s="11"/>
      <c r="D1851" s="11"/>
      <c r="E1851" s="11"/>
      <c r="F1851" s="11"/>
      <c r="G1851" s="12"/>
      <c r="H1851" s="12"/>
      <c r="I1851" s="10"/>
      <c r="J1851" s="12"/>
      <c r="K1851" s="13" t="str">
        <f aca="false">IF(ISNUMBER(B1851),YEAR(B1851),"")</f>
        <v/>
      </c>
      <c r="L1851" s="13" t="str">
        <f aca="false">IF(ISNUMBER(B1851),MONTH(B1851),"")</f>
        <v/>
      </c>
      <c r="M1851" s="13" t="str">
        <f aca="false">IF(AND(ISNUMBER(B1851),ISNUMBER(I1851)),B1851-I1851+1,"")</f>
        <v/>
      </c>
      <c r="N1851" s="14" t="str">
        <f aca="false">IF(B1851="","",IF(M1851="","시작일 미입력",IF(M1851&lt;1,"시작일 이전(확인)",IF(M1851=1,"1일째",IF(M1851=2,"2일째",IF(M1851=3,"3일째",IF(M1851&lt;=7,"일주일 이내",IF(M1851&lt;=14,"이주일 이내","15일 이후"))))))))</f>
        <v/>
      </c>
      <c r="O1851" s="0" t="str">
        <f aca="false">IF(AND(COUNTA($A1851:$J1851)&gt;0,OR(클레임조회!$C$4="",AND(ISNUMBER($B1851),$B1851&gt;=클레임조회!$C$4)),OR(클레임조회!$C$5="",AND(ISNUMBER($B1851),$B1851&lt;=클레임조회!$C$5)),OR(클레임조회!$C$6="",$C1851=클레임조회!$C$6),OR(클레임조회!$C$7="",$D1851=클레임조회!$C$7),OR(클레임조회!$C$8="",$E1851=클레임조회!$C$8),OR(클레임조회!$C$9="",$F1851=클레임조회!$C$9),OR(클레임조회!$C$10="",ISNUMBER(SEARCH(클레임조회!$C$10,$C1851&amp;" "&amp;$F1851&amp;" "&amp;$G1851&amp;" "&amp;$H1851)))),COUNT(O$1:O1850)+1,"")</f>
        <v/>
      </c>
      <c r="P1851" s="0" t="str">
        <f aca="false">IF(AND(TRIM(C1851)&lt;&gt;"",COUNTIF(C$2:C1851,C1851)=1),MAX(P$1:P1850)+1,"")</f>
        <v/>
      </c>
      <c r="Q1851" s="0" t="str">
        <f aca="false">IF(AND(TRIM(F1851)&lt;&gt;"",COUNTIF(F$2:F1851,F1851)=1),MAX(Q$1:Q1850)+1,"")</f>
        <v/>
      </c>
    </row>
    <row r="1852" customFormat="false" ht="15" hidden="false" customHeight="false" outlineLevel="0" collapsed="false">
      <c r="A1852" s="9"/>
      <c r="B1852" s="10"/>
      <c r="C1852" s="11"/>
      <c r="D1852" s="11"/>
      <c r="E1852" s="11"/>
      <c r="F1852" s="11"/>
      <c r="G1852" s="12"/>
      <c r="H1852" s="12"/>
      <c r="I1852" s="10"/>
      <c r="J1852" s="12"/>
      <c r="K1852" s="13" t="str">
        <f aca="false">IF(ISNUMBER(B1852),YEAR(B1852),"")</f>
        <v/>
      </c>
      <c r="L1852" s="13" t="str">
        <f aca="false">IF(ISNUMBER(B1852),MONTH(B1852),"")</f>
        <v/>
      </c>
      <c r="M1852" s="13" t="str">
        <f aca="false">IF(AND(ISNUMBER(B1852),ISNUMBER(I1852)),B1852-I1852+1,"")</f>
        <v/>
      </c>
      <c r="N1852" s="14" t="str">
        <f aca="false">IF(B1852="","",IF(M1852="","시작일 미입력",IF(M1852&lt;1,"시작일 이전(확인)",IF(M1852=1,"1일째",IF(M1852=2,"2일째",IF(M1852=3,"3일째",IF(M1852&lt;=7,"일주일 이내",IF(M1852&lt;=14,"이주일 이내","15일 이후"))))))))</f>
        <v/>
      </c>
      <c r="O1852" s="0" t="str">
        <f aca="false">IF(AND(COUNTA($A1852:$J1852)&gt;0,OR(클레임조회!$C$4="",AND(ISNUMBER($B1852),$B1852&gt;=클레임조회!$C$4)),OR(클레임조회!$C$5="",AND(ISNUMBER($B1852),$B1852&lt;=클레임조회!$C$5)),OR(클레임조회!$C$6="",$C1852=클레임조회!$C$6),OR(클레임조회!$C$7="",$D1852=클레임조회!$C$7),OR(클레임조회!$C$8="",$E1852=클레임조회!$C$8),OR(클레임조회!$C$9="",$F1852=클레임조회!$C$9),OR(클레임조회!$C$10="",ISNUMBER(SEARCH(클레임조회!$C$10,$C1852&amp;" "&amp;$F1852&amp;" "&amp;$G1852&amp;" "&amp;$H1852)))),COUNT(O$1:O1851)+1,"")</f>
        <v/>
      </c>
      <c r="P1852" s="0" t="str">
        <f aca="false">IF(AND(TRIM(C1852)&lt;&gt;"",COUNTIF(C$2:C1852,C1852)=1),MAX(P$1:P1851)+1,"")</f>
        <v/>
      </c>
      <c r="Q1852" s="0" t="str">
        <f aca="false">IF(AND(TRIM(F1852)&lt;&gt;"",COUNTIF(F$2:F1852,F1852)=1),MAX(Q$1:Q1851)+1,"")</f>
        <v/>
      </c>
    </row>
    <row r="1853" customFormat="false" ht="15" hidden="false" customHeight="false" outlineLevel="0" collapsed="false">
      <c r="A1853" s="9"/>
      <c r="B1853" s="10"/>
      <c r="C1853" s="11"/>
      <c r="D1853" s="11"/>
      <c r="E1853" s="11"/>
      <c r="F1853" s="11"/>
      <c r="G1853" s="12"/>
      <c r="H1853" s="12"/>
      <c r="I1853" s="10"/>
      <c r="J1853" s="12"/>
      <c r="K1853" s="13" t="str">
        <f aca="false">IF(ISNUMBER(B1853),YEAR(B1853),"")</f>
        <v/>
      </c>
      <c r="L1853" s="13" t="str">
        <f aca="false">IF(ISNUMBER(B1853),MONTH(B1853),"")</f>
        <v/>
      </c>
      <c r="M1853" s="13" t="str">
        <f aca="false">IF(AND(ISNUMBER(B1853),ISNUMBER(I1853)),B1853-I1853+1,"")</f>
        <v/>
      </c>
      <c r="N1853" s="14" t="str">
        <f aca="false">IF(B1853="","",IF(M1853="","시작일 미입력",IF(M1853&lt;1,"시작일 이전(확인)",IF(M1853=1,"1일째",IF(M1853=2,"2일째",IF(M1853=3,"3일째",IF(M1853&lt;=7,"일주일 이내",IF(M1853&lt;=14,"이주일 이내","15일 이후"))))))))</f>
        <v/>
      </c>
      <c r="O1853" s="0" t="str">
        <f aca="false">IF(AND(COUNTA($A1853:$J1853)&gt;0,OR(클레임조회!$C$4="",AND(ISNUMBER($B1853),$B1853&gt;=클레임조회!$C$4)),OR(클레임조회!$C$5="",AND(ISNUMBER($B1853),$B1853&lt;=클레임조회!$C$5)),OR(클레임조회!$C$6="",$C1853=클레임조회!$C$6),OR(클레임조회!$C$7="",$D1853=클레임조회!$C$7),OR(클레임조회!$C$8="",$E1853=클레임조회!$C$8),OR(클레임조회!$C$9="",$F1853=클레임조회!$C$9),OR(클레임조회!$C$10="",ISNUMBER(SEARCH(클레임조회!$C$10,$C1853&amp;" "&amp;$F1853&amp;" "&amp;$G1853&amp;" "&amp;$H1853)))),COUNT(O$1:O1852)+1,"")</f>
        <v/>
      </c>
      <c r="P1853" s="0" t="str">
        <f aca="false">IF(AND(TRIM(C1853)&lt;&gt;"",COUNTIF(C$2:C1853,C1853)=1),MAX(P$1:P1852)+1,"")</f>
        <v/>
      </c>
      <c r="Q1853" s="0" t="str">
        <f aca="false">IF(AND(TRIM(F1853)&lt;&gt;"",COUNTIF(F$2:F1853,F1853)=1),MAX(Q$1:Q1852)+1,"")</f>
        <v/>
      </c>
    </row>
    <row r="1854" customFormat="false" ht="15" hidden="false" customHeight="false" outlineLevel="0" collapsed="false">
      <c r="A1854" s="9"/>
      <c r="B1854" s="10"/>
      <c r="C1854" s="11"/>
      <c r="D1854" s="11"/>
      <c r="E1854" s="11"/>
      <c r="F1854" s="11"/>
      <c r="G1854" s="12"/>
      <c r="H1854" s="12"/>
      <c r="I1854" s="10"/>
      <c r="J1854" s="12"/>
      <c r="K1854" s="13" t="str">
        <f aca="false">IF(ISNUMBER(B1854),YEAR(B1854),"")</f>
        <v/>
      </c>
      <c r="L1854" s="13" t="str">
        <f aca="false">IF(ISNUMBER(B1854),MONTH(B1854),"")</f>
        <v/>
      </c>
      <c r="M1854" s="13" t="str">
        <f aca="false">IF(AND(ISNUMBER(B1854),ISNUMBER(I1854)),B1854-I1854+1,"")</f>
        <v/>
      </c>
      <c r="N1854" s="14" t="str">
        <f aca="false">IF(B1854="","",IF(M1854="","시작일 미입력",IF(M1854&lt;1,"시작일 이전(확인)",IF(M1854=1,"1일째",IF(M1854=2,"2일째",IF(M1854=3,"3일째",IF(M1854&lt;=7,"일주일 이내",IF(M1854&lt;=14,"이주일 이내","15일 이후"))))))))</f>
        <v/>
      </c>
      <c r="O1854" s="0" t="str">
        <f aca="false">IF(AND(COUNTA($A1854:$J1854)&gt;0,OR(클레임조회!$C$4="",AND(ISNUMBER($B1854),$B1854&gt;=클레임조회!$C$4)),OR(클레임조회!$C$5="",AND(ISNUMBER($B1854),$B1854&lt;=클레임조회!$C$5)),OR(클레임조회!$C$6="",$C1854=클레임조회!$C$6),OR(클레임조회!$C$7="",$D1854=클레임조회!$C$7),OR(클레임조회!$C$8="",$E1854=클레임조회!$C$8),OR(클레임조회!$C$9="",$F1854=클레임조회!$C$9),OR(클레임조회!$C$10="",ISNUMBER(SEARCH(클레임조회!$C$10,$C1854&amp;" "&amp;$F1854&amp;" "&amp;$G1854&amp;" "&amp;$H1854)))),COUNT(O$1:O1853)+1,"")</f>
        <v/>
      </c>
      <c r="P1854" s="0" t="str">
        <f aca="false">IF(AND(TRIM(C1854)&lt;&gt;"",COUNTIF(C$2:C1854,C1854)=1),MAX(P$1:P1853)+1,"")</f>
        <v/>
      </c>
      <c r="Q1854" s="0" t="str">
        <f aca="false">IF(AND(TRIM(F1854)&lt;&gt;"",COUNTIF(F$2:F1854,F1854)=1),MAX(Q$1:Q1853)+1,"")</f>
        <v/>
      </c>
    </row>
    <row r="1855" customFormat="false" ht="15" hidden="false" customHeight="false" outlineLevel="0" collapsed="false">
      <c r="A1855" s="9"/>
      <c r="B1855" s="10"/>
      <c r="C1855" s="11"/>
      <c r="D1855" s="11"/>
      <c r="E1855" s="11"/>
      <c r="F1855" s="11"/>
      <c r="G1855" s="12"/>
      <c r="H1855" s="12"/>
      <c r="I1855" s="10"/>
      <c r="J1855" s="12"/>
      <c r="K1855" s="13" t="str">
        <f aca="false">IF(ISNUMBER(B1855),YEAR(B1855),"")</f>
        <v/>
      </c>
      <c r="L1855" s="13" t="str">
        <f aca="false">IF(ISNUMBER(B1855),MONTH(B1855),"")</f>
        <v/>
      </c>
      <c r="M1855" s="13" t="str">
        <f aca="false">IF(AND(ISNUMBER(B1855),ISNUMBER(I1855)),B1855-I1855+1,"")</f>
        <v/>
      </c>
      <c r="N1855" s="14" t="str">
        <f aca="false">IF(B1855="","",IF(M1855="","시작일 미입력",IF(M1855&lt;1,"시작일 이전(확인)",IF(M1855=1,"1일째",IF(M1855=2,"2일째",IF(M1855=3,"3일째",IF(M1855&lt;=7,"일주일 이내",IF(M1855&lt;=14,"이주일 이내","15일 이후"))))))))</f>
        <v/>
      </c>
      <c r="O1855" s="0" t="str">
        <f aca="false">IF(AND(COUNTA($A1855:$J1855)&gt;0,OR(클레임조회!$C$4="",AND(ISNUMBER($B1855),$B1855&gt;=클레임조회!$C$4)),OR(클레임조회!$C$5="",AND(ISNUMBER($B1855),$B1855&lt;=클레임조회!$C$5)),OR(클레임조회!$C$6="",$C1855=클레임조회!$C$6),OR(클레임조회!$C$7="",$D1855=클레임조회!$C$7),OR(클레임조회!$C$8="",$E1855=클레임조회!$C$8),OR(클레임조회!$C$9="",$F1855=클레임조회!$C$9),OR(클레임조회!$C$10="",ISNUMBER(SEARCH(클레임조회!$C$10,$C1855&amp;" "&amp;$F1855&amp;" "&amp;$G1855&amp;" "&amp;$H1855)))),COUNT(O$1:O1854)+1,"")</f>
        <v/>
      </c>
      <c r="P1855" s="0" t="str">
        <f aca="false">IF(AND(TRIM(C1855)&lt;&gt;"",COUNTIF(C$2:C1855,C1855)=1),MAX(P$1:P1854)+1,"")</f>
        <v/>
      </c>
      <c r="Q1855" s="0" t="str">
        <f aca="false">IF(AND(TRIM(F1855)&lt;&gt;"",COUNTIF(F$2:F1855,F1855)=1),MAX(Q$1:Q1854)+1,"")</f>
        <v/>
      </c>
    </row>
    <row r="1856" customFormat="false" ht="15" hidden="false" customHeight="false" outlineLevel="0" collapsed="false">
      <c r="A1856" s="9"/>
      <c r="B1856" s="10"/>
      <c r="C1856" s="11"/>
      <c r="D1856" s="11"/>
      <c r="E1856" s="11"/>
      <c r="F1856" s="11"/>
      <c r="G1856" s="12"/>
      <c r="H1856" s="12"/>
      <c r="I1856" s="10"/>
      <c r="J1856" s="12"/>
      <c r="K1856" s="13" t="str">
        <f aca="false">IF(ISNUMBER(B1856),YEAR(B1856),"")</f>
        <v/>
      </c>
      <c r="L1856" s="13" t="str">
        <f aca="false">IF(ISNUMBER(B1856),MONTH(B1856),"")</f>
        <v/>
      </c>
      <c r="M1856" s="13" t="str">
        <f aca="false">IF(AND(ISNUMBER(B1856),ISNUMBER(I1856)),B1856-I1856+1,"")</f>
        <v/>
      </c>
      <c r="N1856" s="14" t="str">
        <f aca="false">IF(B1856="","",IF(M1856="","시작일 미입력",IF(M1856&lt;1,"시작일 이전(확인)",IF(M1856=1,"1일째",IF(M1856=2,"2일째",IF(M1856=3,"3일째",IF(M1856&lt;=7,"일주일 이내",IF(M1856&lt;=14,"이주일 이내","15일 이후"))))))))</f>
        <v/>
      </c>
      <c r="O1856" s="0" t="str">
        <f aca="false">IF(AND(COUNTA($A1856:$J1856)&gt;0,OR(클레임조회!$C$4="",AND(ISNUMBER($B1856),$B1856&gt;=클레임조회!$C$4)),OR(클레임조회!$C$5="",AND(ISNUMBER($B1856),$B1856&lt;=클레임조회!$C$5)),OR(클레임조회!$C$6="",$C1856=클레임조회!$C$6),OR(클레임조회!$C$7="",$D1856=클레임조회!$C$7),OR(클레임조회!$C$8="",$E1856=클레임조회!$C$8),OR(클레임조회!$C$9="",$F1856=클레임조회!$C$9),OR(클레임조회!$C$10="",ISNUMBER(SEARCH(클레임조회!$C$10,$C1856&amp;" "&amp;$F1856&amp;" "&amp;$G1856&amp;" "&amp;$H1856)))),COUNT(O$1:O1855)+1,"")</f>
        <v/>
      </c>
      <c r="P1856" s="0" t="str">
        <f aca="false">IF(AND(TRIM(C1856)&lt;&gt;"",COUNTIF(C$2:C1856,C1856)=1),MAX(P$1:P1855)+1,"")</f>
        <v/>
      </c>
      <c r="Q1856" s="0" t="str">
        <f aca="false">IF(AND(TRIM(F1856)&lt;&gt;"",COUNTIF(F$2:F1856,F1856)=1),MAX(Q$1:Q1855)+1,"")</f>
        <v/>
      </c>
    </row>
    <row r="1857" customFormat="false" ht="15" hidden="false" customHeight="false" outlineLevel="0" collapsed="false">
      <c r="A1857" s="9"/>
      <c r="B1857" s="10"/>
      <c r="C1857" s="11"/>
      <c r="D1857" s="11"/>
      <c r="E1857" s="11"/>
      <c r="F1857" s="11"/>
      <c r="G1857" s="12"/>
      <c r="H1857" s="12"/>
      <c r="I1857" s="10"/>
      <c r="J1857" s="12"/>
      <c r="K1857" s="13" t="str">
        <f aca="false">IF(ISNUMBER(B1857),YEAR(B1857),"")</f>
        <v/>
      </c>
      <c r="L1857" s="13" t="str">
        <f aca="false">IF(ISNUMBER(B1857),MONTH(B1857),"")</f>
        <v/>
      </c>
      <c r="M1857" s="13" t="str">
        <f aca="false">IF(AND(ISNUMBER(B1857),ISNUMBER(I1857)),B1857-I1857+1,"")</f>
        <v/>
      </c>
      <c r="N1857" s="14" t="str">
        <f aca="false">IF(B1857="","",IF(M1857="","시작일 미입력",IF(M1857&lt;1,"시작일 이전(확인)",IF(M1857=1,"1일째",IF(M1857=2,"2일째",IF(M1857=3,"3일째",IF(M1857&lt;=7,"일주일 이내",IF(M1857&lt;=14,"이주일 이내","15일 이후"))))))))</f>
        <v/>
      </c>
      <c r="O1857" s="0" t="str">
        <f aca="false">IF(AND(COUNTA($A1857:$J1857)&gt;0,OR(클레임조회!$C$4="",AND(ISNUMBER($B1857),$B1857&gt;=클레임조회!$C$4)),OR(클레임조회!$C$5="",AND(ISNUMBER($B1857),$B1857&lt;=클레임조회!$C$5)),OR(클레임조회!$C$6="",$C1857=클레임조회!$C$6),OR(클레임조회!$C$7="",$D1857=클레임조회!$C$7),OR(클레임조회!$C$8="",$E1857=클레임조회!$C$8),OR(클레임조회!$C$9="",$F1857=클레임조회!$C$9),OR(클레임조회!$C$10="",ISNUMBER(SEARCH(클레임조회!$C$10,$C1857&amp;" "&amp;$F1857&amp;" "&amp;$G1857&amp;" "&amp;$H1857)))),COUNT(O$1:O1856)+1,"")</f>
        <v/>
      </c>
      <c r="P1857" s="0" t="str">
        <f aca="false">IF(AND(TRIM(C1857)&lt;&gt;"",COUNTIF(C$2:C1857,C1857)=1),MAX(P$1:P1856)+1,"")</f>
        <v/>
      </c>
      <c r="Q1857" s="0" t="str">
        <f aca="false">IF(AND(TRIM(F1857)&lt;&gt;"",COUNTIF(F$2:F1857,F1857)=1),MAX(Q$1:Q1856)+1,"")</f>
        <v/>
      </c>
    </row>
    <row r="1858" customFormat="false" ht="15" hidden="false" customHeight="false" outlineLevel="0" collapsed="false">
      <c r="A1858" s="9"/>
      <c r="B1858" s="10"/>
      <c r="C1858" s="11"/>
      <c r="D1858" s="11"/>
      <c r="E1858" s="11"/>
      <c r="F1858" s="11"/>
      <c r="G1858" s="12"/>
      <c r="H1858" s="12"/>
      <c r="I1858" s="10"/>
      <c r="J1858" s="12"/>
      <c r="K1858" s="13" t="str">
        <f aca="false">IF(ISNUMBER(B1858),YEAR(B1858),"")</f>
        <v/>
      </c>
      <c r="L1858" s="13" t="str">
        <f aca="false">IF(ISNUMBER(B1858),MONTH(B1858),"")</f>
        <v/>
      </c>
      <c r="M1858" s="13" t="str">
        <f aca="false">IF(AND(ISNUMBER(B1858),ISNUMBER(I1858)),B1858-I1858+1,"")</f>
        <v/>
      </c>
      <c r="N1858" s="14" t="str">
        <f aca="false">IF(B1858="","",IF(M1858="","시작일 미입력",IF(M1858&lt;1,"시작일 이전(확인)",IF(M1858=1,"1일째",IF(M1858=2,"2일째",IF(M1858=3,"3일째",IF(M1858&lt;=7,"일주일 이내",IF(M1858&lt;=14,"이주일 이내","15일 이후"))))))))</f>
        <v/>
      </c>
      <c r="O1858" s="0" t="str">
        <f aca="false">IF(AND(COUNTA($A1858:$J1858)&gt;0,OR(클레임조회!$C$4="",AND(ISNUMBER($B1858),$B1858&gt;=클레임조회!$C$4)),OR(클레임조회!$C$5="",AND(ISNUMBER($B1858),$B1858&lt;=클레임조회!$C$5)),OR(클레임조회!$C$6="",$C1858=클레임조회!$C$6),OR(클레임조회!$C$7="",$D1858=클레임조회!$C$7),OR(클레임조회!$C$8="",$E1858=클레임조회!$C$8),OR(클레임조회!$C$9="",$F1858=클레임조회!$C$9),OR(클레임조회!$C$10="",ISNUMBER(SEARCH(클레임조회!$C$10,$C1858&amp;" "&amp;$F1858&amp;" "&amp;$G1858&amp;" "&amp;$H1858)))),COUNT(O$1:O1857)+1,"")</f>
        <v/>
      </c>
      <c r="P1858" s="0" t="str">
        <f aca="false">IF(AND(TRIM(C1858)&lt;&gt;"",COUNTIF(C$2:C1858,C1858)=1),MAX(P$1:P1857)+1,"")</f>
        <v/>
      </c>
      <c r="Q1858" s="0" t="str">
        <f aca="false">IF(AND(TRIM(F1858)&lt;&gt;"",COUNTIF(F$2:F1858,F1858)=1),MAX(Q$1:Q1857)+1,"")</f>
        <v/>
      </c>
    </row>
    <row r="1859" customFormat="false" ht="15" hidden="false" customHeight="false" outlineLevel="0" collapsed="false">
      <c r="A1859" s="9"/>
      <c r="B1859" s="10"/>
      <c r="C1859" s="11"/>
      <c r="D1859" s="11"/>
      <c r="E1859" s="11"/>
      <c r="F1859" s="11"/>
      <c r="G1859" s="12"/>
      <c r="H1859" s="12"/>
      <c r="I1859" s="10"/>
      <c r="J1859" s="12"/>
      <c r="K1859" s="13" t="str">
        <f aca="false">IF(ISNUMBER(B1859),YEAR(B1859),"")</f>
        <v/>
      </c>
      <c r="L1859" s="13" t="str">
        <f aca="false">IF(ISNUMBER(B1859),MONTH(B1859),"")</f>
        <v/>
      </c>
      <c r="M1859" s="13" t="str">
        <f aca="false">IF(AND(ISNUMBER(B1859),ISNUMBER(I1859)),B1859-I1859+1,"")</f>
        <v/>
      </c>
      <c r="N1859" s="14" t="str">
        <f aca="false">IF(B1859="","",IF(M1859="","시작일 미입력",IF(M1859&lt;1,"시작일 이전(확인)",IF(M1859=1,"1일째",IF(M1859=2,"2일째",IF(M1859=3,"3일째",IF(M1859&lt;=7,"일주일 이내",IF(M1859&lt;=14,"이주일 이내","15일 이후"))))))))</f>
        <v/>
      </c>
      <c r="O1859" s="0" t="str">
        <f aca="false">IF(AND(COUNTA($A1859:$J1859)&gt;0,OR(클레임조회!$C$4="",AND(ISNUMBER($B1859),$B1859&gt;=클레임조회!$C$4)),OR(클레임조회!$C$5="",AND(ISNUMBER($B1859),$B1859&lt;=클레임조회!$C$5)),OR(클레임조회!$C$6="",$C1859=클레임조회!$C$6),OR(클레임조회!$C$7="",$D1859=클레임조회!$C$7),OR(클레임조회!$C$8="",$E1859=클레임조회!$C$8),OR(클레임조회!$C$9="",$F1859=클레임조회!$C$9),OR(클레임조회!$C$10="",ISNUMBER(SEARCH(클레임조회!$C$10,$C1859&amp;" "&amp;$F1859&amp;" "&amp;$G1859&amp;" "&amp;$H1859)))),COUNT(O$1:O1858)+1,"")</f>
        <v/>
      </c>
      <c r="P1859" s="0" t="str">
        <f aca="false">IF(AND(TRIM(C1859)&lt;&gt;"",COUNTIF(C$2:C1859,C1859)=1),MAX(P$1:P1858)+1,"")</f>
        <v/>
      </c>
      <c r="Q1859" s="0" t="str">
        <f aca="false">IF(AND(TRIM(F1859)&lt;&gt;"",COUNTIF(F$2:F1859,F1859)=1),MAX(Q$1:Q1858)+1,"")</f>
        <v/>
      </c>
    </row>
    <row r="1860" customFormat="false" ht="15" hidden="false" customHeight="false" outlineLevel="0" collapsed="false">
      <c r="A1860" s="9"/>
      <c r="B1860" s="10"/>
      <c r="C1860" s="11"/>
      <c r="D1860" s="11"/>
      <c r="E1860" s="11"/>
      <c r="F1860" s="11"/>
      <c r="G1860" s="12"/>
      <c r="H1860" s="12"/>
      <c r="I1860" s="10"/>
      <c r="J1860" s="12"/>
      <c r="K1860" s="13" t="str">
        <f aca="false">IF(ISNUMBER(B1860),YEAR(B1860),"")</f>
        <v/>
      </c>
      <c r="L1860" s="13" t="str">
        <f aca="false">IF(ISNUMBER(B1860),MONTH(B1860),"")</f>
        <v/>
      </c>
      <c r="M1860" s="13" t="str">
        <f aca="false">IF(AND(ISNUMBER(B1860),ISNUMBER(I1860)),B1860-I1860+1,"")</f>
        <v/>
      </c>
      <c r="N1860" s="14" t="str">
        <f aca="false">IF(B1860="","",IF(M1860="","시작일 미입력",IF(M1860&lt;1,"시작일 이전(확인)",IF(M1860=1,"1일째",IF(M1860=2,"2일째",IF(M1860=3,"3일째",IF(M1860&lt;=7,"일주일 이내",IF(M1860&lt;=14,"이주일 이내","15일 이후"))))))))</f>
        <v/>
      </c>
      <c r="O1860" s="0" t="str">
        <f aca="false">IF(AND(COUNTA($A1860:$J1860)&gt;0,OR(클레임조회!$C$4="",AND(ISNUMBER($B1860),$B1860&gt;=클레임조회!$C$4)),OR(클레임조회!$C$5="",AND(ISNUMBER($B1860),$B1860&lt;=클레임조회!$C$5)),OR(클레임조회!$C$6="",$C1860=클레임조회!$C$6),OR(클레임조회!$C$7="",$D1860=클레임조회!$C$7),OR(클레임조회!$C$8="",$E1860=클레임조회!$C$8),OR(클레임조회!$C$9="",$F1860=클레임조회!$C$9),OR(클레임조회!$C$10="",ISNUMBER(SEARCH(클레임조회!$C$10,$C1860&amp;" "&amp;$F1860&amp;" "&amp;$G1860&amp;" "&amp;$H1860)))),COUNT(O$1:O1859)+1,"")</f>
        <v/>
      </c>
      <c r="P1860" s="0" t="str">
        <f aca="false">IF(AND(TRIM(C1860)&lt;&gt;"",COUNTIF(C$2:C1860,C1860)=1),MAX(P$1:P1859)+1,"")</f>
        <v/>
      </c>
      <c r="Q1860" s="0" t="str">
        <f aca="false">IF(AND(TRIM(F1860)&lt;&gt;"",COUNTIF(F$2:F1860,F1860)=1),MAX(Q$1:Q1859)+1,"")</f>
        <v/>
      </c>
    </row>
    <row r="1861" customFormat="false" ht="15" hidden="false" customHeight="false" outlineLevel="0" collapsed="false">
      <c r="A1861" s="9"/>
      <c r="B1861" s="10"/>
      <c r="C1861" s="11"/>
      <c r="D1861" s="11"/>
      <c r="E1861" s="11"/>
      <c r="F1861" s="11"/>
      <c r="G1861" s="12"/>
      <c r="H1861" s="12"/>
      <c r="I1861" s="10"/>
      <c r="J1861" s="12"/>
      <c r="K1861" s="13" t="str">
        <f aca="false">IF(ISNUMBER(B1861),YEAR(B1861),"")</f>
        <v/>
      </c>
      <c r="L1861" s="13" t="str">
        <f aca="false">IF(ISNUMBER(B1861),MONTH(B1861),"")</f>
        <v/>
      </c>
      <c r="M1861" s="13" t="str">
        <f aca="false">IF(AND(ISNUMBER(B1861),ISNUMBER(I1861)),B1861-I1861+1,"")</f>
        <v/>
      </c>
      <c r="N1861" s="14" t="str">
        <f aca="false">IF(B1861="","",IF(M1861="","시작일 미입력",IF(M1861&lt;1,"시작일 이전(확인)",IF(M1861=1,"1일째",IF(M1861=2,"2일째",IF(M1861=3,"3일째",IF(M1861&lt;=7,"일주일 이내",IF(M1861&lt;=14,"이주일 이내","15일 이후"))))))))</f>
        <v/>
      </c>
      <c r="O1861" s="0" t="str">
        <f aca="false">IF(AND(COUNTA($A1861:$J1861)&gt;0,OR(클레임조회!$C$4="",AND(ISNUMBER($B1861),$B1861&gt;=클레임조회!$C$4)),OR(클레임조회!$C$5="",AND(ISNUMBER($B1861),$B1861&lt;=클레임조회!$C$5)),OR(클레임조회!$C$6="",$C1861=클레임조회!$C$6),OR(클레임조회!$C$7="",$D1861=클레임조회!$C$7),OR(클레임조회!$C$8="",$E1861=클레임조회!$C$8),OR(클레임조회!$C$9="",$F1861=클레임조회!$C$9),OR(클레임조회!$C$10="",ISNUMBER(SEARCH(클레임조회!$C$10,$C1861&amp;" "&amp;$F1861&amp;" "&amp;$G1861&amp;" "&amp;$H1861)))),COUNT(O$1:O1860)+1,"")</f>
        <v/>
      </c>
      <c r="P1861" s="0" t="str">
        <f aca="false">IF(AND(TRIM(C1861)&lt;&gt;"",COUNTIF(C$2:C1861,C1861)=1),MAX(P$1:P1860)+1,"")</f>
        <v/>
      </c>
      <c r="Q1861" s="0" t="str">
        <f aca="false">IF(AND(TRIM(F1861)&lt;&gt;"",COUNTIF(F$2:F1861,F1861)=1),MAX(Q$1:Q1860)+1,"")</f>
        <v/>
      </c>
    </row>
    <row r="1862" customFormat="false" ht="15" hidden="false" customHeight="false" outlineLevel="0" collapsed="false">
      <c r="A1862" s="9"/>
      <c r="B1862" s="10"/>
      <c r="C1862" s="11"/>
      <c r="D1862" s="11"/>
      <c r="E1862" s="11"/>
      <c r="F1862" s="11"/>
      <c r="G1862" s="12"/>
      <c r="H1862" s="12"/>
      <c r="I1862" s="10"/>
      <c r="J1862" s="12"/>
      <c r="K1862" s="13" t="str">
        <f aca="false">IF(ISNUMBER(B1862),YEAR(B1862),"")</f>
        <v/>
      </c>
      <c r="L1862" s="13" t="str">
        <f aca="false">IF(ISNUMBER(B1862),MONTH(B1862),"")</f>
        <v/>
      </c>
      <c r="M1862" s="13" t="str">
        <f aca="false">IF(AND(ISNUMBER(B1862),ISNUMBER(I1862)),B1862-I1862+1,"")</f>
        <v/>
      </c>
      <c r="N1862" s="14" t="str">
        <f aca="false">IF(B1862="","",IF(M1862="","시작일 미입력",IF(M1862&lt;1,"시작일 이전(확인)",IF(M1862=1,"1일째",IF(M1862=2,"2일째",IF(M1862=3,"3일째",IF(M1862&lt;=7,"일주일 이내",IF(M1862&lt;=14,"이주일 이내","15일 이후"))))))))</f>
        <v/>
      </c>
      <c r="O1862" s="0" t="str">
        <f aca="false">IF(AND(COUNTA($A1862:$J1862)&gt;0,OR(클레임조회!$C$4="",AND(ISNUMBER($B1862),$B1862&gt;=클레임조회!$C$4)),OR(클레임조회!$C$5="",AND(ISNUMBER($B1862),$B1862&lt;=클레임조회!$C$5)),OR(클레임조회!$C$6="",$C1862=클레임조회!$C$6),OR(클레임조회!$C$7="",$D1862=클레임조회!$C$7),OR(클레임조회!$C$8="",$E1862=클레임조회!$C$8),OR(클레임조회!$C$9="",$F1862=클레임조회!$C$9),OR(클레임조회!$C$10="",ISNUMBER(SEARCH(클레임조회!$C$10,$C1862&amp;" "&amp;$F1862&amp;" "&amp;$G1862&amp;" "&amp;$H1862)))),COUNT(O$1:O1861)+1,"")</f>
        <v/>
      </c>
      <c r="P1862" s="0" t="str">
        <f aca="false">IF(AND(TRIM(C1862)&lt;&gt;"",COUNTIF(C$2:C1862,C1862)=1),MAX(P$1:P1861)+1,"")</f>
        <v/>
      </c>
      <c r="Q1862" s="0" t="str">
        <f aca="false">IF(AND(TRIM(F1862)&lt;&gt;"",COUNTIF(F$2:F1862,F1862)=1),MAX(Q$1:Q1861)+1,"")</f>
        <v/>
      </c>
    </row>
    <row r="1863" customFormat="false" ht="15" hidden="false" customHeight="false" outlineLevel="0" collapsed="false">
      <c r="A1863" s="9"/>
      <c r="B1863" s="10"/>
      <c r="C1863" s="11"/>
      <c r="D1863" s="11"/>
      <c r="E1863" s="11"/>
      <c r="F1863" s="11"/>
      <c r="G1863" s="12"/>
      <c r="H1863" s="12"/>
      <c r="I1863" s="10"/>
      <c r="J1863" s="12"/>
      <c r="K1863" s="13" t="str">
        <f aca="false">IF(ISNUMBER(B1863),YEAR(B1863),"")</f>
        <v/>
      </c>
      <c r="L1863" s="13" t="str">
        <f aca="false">IF(ISNUMBER(B1863),MONTH(B1863),"")</f>
        <v/>
      </c>
      <c r="M1863" s="13" t="str">
        <f aca="false">IF(AND(ISNUMBER(B1863),ISNUMBER(I1863)),B1863-I1863+1,"")</f>
        <v/>
      </c>
      <c r="N1863" s="14" t="str">
        <f aca="false">IF(B1863="","",IF(M1863="","시작일 미입력",IF(M1863&lt;1,"시작일 이전(확인)",IF(M1863=1,"1일째",IF(M1863=2,"2일째",IF(M1863=3,"3일째",IF(M1863&lt;=7,"일주일 이내",IF(M1863&lt;=14,"이주일 이내","15일 이후"))))))))</f>
        <v/>
      </c>
      <c r="O1863" s="0" t="str">
        <f aca="false">IF(AND(COUNTA($A1863:$J1863)&gt;0,OR(클레임조회!$C$4="",AND(ISNUMBER($B1863),$B1863&gt;=클레임조회!$C$4)),OR(클레임조회!$C$5="",AND(ISNUMBER($B1863),$B1863&lt;=클레임조회!$C$5)),OR(클레임조회!$C$6="",$C1863=클레임조회!$C$6),OR(클레임조회!$C$7="",$D1863=클레임조회!$C$7),OR(클레임조회!$C$8="",$E1863=클레임조회!$C$8),OR(클레임조회!$C$9="",$F1863=클레임조회!$C$9),OR(클레임조회!$C$10="",ISNUMBER(SEARCH(클레임조회!$C$10,$C1863&amp;" "&amp;$F1863&amp;" "&amp;$G1863&amp;" "&amp;$H1863)))),COUNT(O$1:O1862)+1,"")</f>
        <v/>
      </c>
      <c r="P1863" s="0" t="str">
        <f aca="false">IF(AND(TRIM(C1863)&lt;&gt;"",COUNTIF(C$2:C1863,C1863)=1),MAX(P$1:P1862)+1,"")</f>
        <v/>
      </c>
      <c r="Q1863" s="0" t="str">
        <f aca="false">IF(AND(TRIM(F1863)&lt;&gt;"",COUNTIF(F$2:F1863,F1863)=1),MAX(Q$1:Q1862)+1,"")</f>
        <v/>
      </c>
    </row>
    <row r="1864" customFormat="false" ht="15" hidden="false" customHeight="false" outlineLevel="0" collapsed="false">
      <c r="A1864" s="9"/>
      <c r="B1864" s="10"/>
      <c r="C1864" s="11"/>
      <c r="D1864" s="11"/>
      <c r="E1864" s="11"/>
      <c r="F1864" s="11"/>
      <c r="G1864" s="12"/>
      <c r="H1864" s="12"/>
      <c r="I1864" s="10"/>
      <c r="J1864" s="12"/>
      <c r="K1864" s="13" t="str">
        <f aca="false">IF(ISNUMBER(B1864),YEAR(B1864),"")</f>
        <v/>
      </c>
      <c r="L1864" s="13" t="str">
        <f aca="false">IF(ISNUMBER(B1864),MONTH(B1864),"")</f>
        <v/>
      </c>
      <c r="M1864" s="13" t="str">
        <f aca="false">IF(AND(ISNUMBER(B1864),ISNUMBER(I1864)),B1864-I1864+1,"")</f>
        <v/>
      </c>
      <c r="N1864" s="14" t="str">
        <f aca="false">IF(B1864="","",IF(M1864="","시작일 미입력",IF(M1864&lt;1,"시작일 이전(확인)",IF(M1864=1,"1일째",IF(M1864=2,"2일째",IF(M1864=3,"3일째",IF(M1864&lt;=7,"일주일 이내",IF(M1864&lt;=14,"이주일 이내","15일 이후"))))))))</f>
        <v/>
      </c>
      <c r="O1864" s="0" t="str">
        <f aca="false">IF(AND(COUNTA($A1864:$J1864)&gt;0,OR(클레임조회!$C$4="",AND(ISNUMBER($B1864),$B1864&gt;=클레임조회!$C$4)),OR(클레임조회!$C$5="",AND(ISNUMBER($B1864),$B1864&lt;=클레임조회!$C$5)),OR(클레임조회!$C$6="",$C1864=클레임조회!$C$6),OR(클레임조회!$C$7="",$D1864=클레임조회!$C$7),OR(클레임조회!$C$8="",$E1864=클레임조회!$C$8),OR(클레임조회!$C$9="",$F1864=클레임조회!$C$9),OR(클레임조회!$C$10="",ISNUMBER(SEARCH(클레임조회!$C$10,$C1864&amp;" "&amp;$F1864&amp;" "&amp;$G1864&amp;" "&amp;$H1864)))),COUNT(O$1:O1863)+1,"")</f>
        <v/>
      </c>
      <c r="P1864" s="0" t="str">
        <f aca="false">IF(AND(TRIM(C1864)&lt;&gt;"",COUNTIF(C$2:C1864,C1864)=1),MAX(P$1:P1863)+1,"")</f>
        <v/>
      </c>
      <c r="Q1864" s="0" t="str">
        <f aca="false">IF(AND(TRIM(F1864)&lt;&gt;"",COUNTIF(F$2:F1864,F1864)=1),MAX(Q$1:Q1863)+1,"")</f>
        <v/>
      </c>
    </row>
    <row r="1865" customFormat="false" ht="15" hidden="false" customHeight="false" outlineLevel="0" collapsed="false">
      <c r="A1865" s="9"/>
      <c r="B1865" s="10"/>
      <c r="C1865" s="11"/>
      <c r="D1865" s="11"/>
      <c r="E1865" s="11"/>
      <c r="F1865" s="11"/>
      <c r="G1865" s="12"/>
      <c r="H1865" s="12"/>
      <c r="I1865" s="10"/>
      <c r="J1865" s="12"/>
      <c r="K1865" s="13" t="str">
        <f aca="false">IF(ISNUMBER(B1865),YEAR(B1865),"")</f>
        <v/>
      </c>
      <c r="L1865" s="13" t="str">
        <f aca="false">IF(ISNUMBER(B1865),MONTH(B1865),"")</f>
        <v/>
      </c>
      <c r="M1865" s="13" t="str">
        <f aca="false">IF(AND(ISNUMBER(B1865),ISNUMBER(I1865)),B1865-I1865+1,"")</f>
        <v/>
      </c>
      <c r="N1865" s="14" t="str">
        <f aca="false">IF(B1865="","",IF(M1865="","시작일 미입력",IF(M1865&lt;1,"시작일 이전(확인)",IF(M1865=1,"1일째",IF(M1865=2,"2일째",IF(M1865=3,"3일째",IF(M1865&lt;=7,"일주일 이내",IF(M1865&lt;=14,"이주일 이내","15일 이후"))))))))</f>
        <v/>
      </c>
      <c r="O1865" s="0" t="str">
        <f aca="false">IF(AND(COUNTA($A1865:$J1865)&gt;0,OR(클레임조회!$C$4="",AND(ISNUMBER($B1865),$B1865&gt;=클레임조회!$C$4)),OR(클레임조회!$C$5="",AND(ISNUMBER($B1865),$B1865&lt;=클레임조회!$C$5)),OR(클레임조회!$C$6="",$C1865=클레임조회!$C$6),OR(클레임조회!$C$7="",$D1865=클레임조회!$C$7),OR(클레임조회!$C$8="",$E1865=클레임조회!$C$8),OR(클레임조회!$C$9="",$F1865=클레임조회!$C$9),OR(클레임조회!$C$10="",ISNUMBER(SEARCH(클레임조회!$C$10,$C1865&amp;" "&amp;$F1865&amp;" "&amp;$G1865&amp;" "&amp;$H1865)))),COUNT(O$1:O1864)+1,"")</f>
        <v/>
      </c>
      <c r="P1865" s="0" t="str">
        <f aca="false">IF(AND(TRIM(C1865)&lt;&gt;"",COUNTIF(C$2:C1865,C1865)=1),MAX(P$1:P1864)+1,"")</f>
        <v/>
      </c>
      <c r="Q1865" s="0" t="str">
        <f aca="false">IF(AND(TRIM(F1865)&lt;&gt;"",COUNTIF(F$2:F1865,F1865)=1),MAX(Q$1:Q1864)+1,"")</f>
        <v/>
      </c>
    </row>
    <row r="1866" customFormat="false" ht="15" hidden="false" customHeight="false" outlineLevel="0" collapsed="false">
      <c r="A1866" s="9"/>
      <c r="B1866" s="10"/>
      <c r="C1866" s="11"/>
      <c r="D1866" s="11"/>
      <c r="E1866" s="11"/>
      <c r="F1866" s="11"/>
      <c r="G1866" s="12"/>
      <c r="H1866" s="12"/>
      <c r="I1866" s="10"/>
      <c r="J1866" s="12"/>
      <c r="K1866" s="13" t="str">
        <f aca="false">IF(ISNUMBER(B1866),YEAR(B1866),"")</f>
        <v/>
      </c>
      <c r="L1866" s="13" t="str">
        <f aca="false">IF(ISNUMBER(B1866),MONTH(B1866),"")</f>
        <v/>
      </c>
      <c r="M1866" s="13" t="str">
        <f aca="false">IF(AND(ISNUMBER(B1866),ISNUMBER(I1866)),B1866-I1866+1,"")</f>
        <v/>
      </c>
      <c r="N1866" s="14" t="str">
        <f aca="false">IF(B1866="","",IF(M1866="","시작일 미입력",IF(M1866&lt;1,"시작일 이전(확인)",IF(M1866=1,"1일째",IF(M1866=2,"2일째",IF(M1866=3,"3일째",IF(M1866&lt;=7,"일주일 이내",IF(M1866&lt;=14,"이주일 이내","15일 이후"))))))))</f>
        <v/>
      </c>
      <c r="O1866" s="0" t="str">
        <f aca="false">IF(AND(COUNTA($A1866:$J1866)&gt;0,OR(클레임조회!$C$4="",AND(ISNUMBER($B1866),$B1866&gt;=클레임조회!$C$4)),OR(클레임조회!$C$5="",AND(ISNUMBER($B1866),$B1866&lt;=클레임조회!$C$5)),OR(클레임조회!$C$6="",$C1866=클레임조회!$C$6),OR(클레임조회!$C$7="",$D1866=클레임조회!$C$7),OR(클레임조회!$C$8="",$E1866=클레임조회!$C$8),OR(클레임조회!$C$9="",$F1866=클레임조회!$C$9),OR(클레임조회!$C$10="",ISNUMBER(SEARCH(클레임조회!$C$10,$C1866&amp;" "&amp;$F1866&amp;" "&amp;$G1866&amp;" "&amp;$H1866)))),COUNT(O$1:O1865)+1,"")</f>
        <v/>
      </c>
      <c r="P1866" s="0" t="str">
        <f aca="false">IF(AND(TRIM(C1866)&lt;&gt;"",COUNTIF(C$2:C1866,C1866)=1),MAX(P$1:P1865)+1,"")</f>
        <v/>
      </c>
      <c r="Q1866" s="0" t="str">
        <f aca="false">IF(AND(TRIM(F1866)&lt;&gt;"",COUNTIF(F$2:F1866,F1866)=1),MAX(Q$1:Q1865)+1,"")</f>
        <v/>
      </c>
    </row>
    <row r="1867" customFormat="false" ht="15" hidden="false" customHeight="false" outlineLevel="0" collapsed="false">
      <c r="A1867" s="9"/>
      <c r="B1867" s="10"/>
      <c r="C1867" s="11"/>
      <c r="D1867" s="11"/>
      <c r="E1867" s="11"/>
      <c r="F1867" s="11"/>
      <c r="G1867" s="12"/>
      <c r="H1867" s="12"/>
      <c r="I1867" s="10"/>
      <c r="J1867" s="12"/>
      <c r="K1867" s="13" t="str">
        <f aca="false">IF(ISNUMBER(B1867),YEAR(B1867),"")</f>
        <v/>
      </c>
      <c r="L1867" s="13" t="str">
        <f aca="false">IF(ISNUMBER(B1867),MONTH(B1867),"")</f>
        <v/>
      </c>
      <c r="M1867" s="13" t="str">
        <f aca="false">IF(AND(ISNUMBER(B1867),ISNUMBER(I1867)),B1867-I1867+1,"")</f>
        <v/>
      </c>
      <c r="N1867" s="14" t="str">
        <f aca="false">IF(B1867="","",IF(M1867="","시작일 미입력",IF(M1867&lt;1,"시작일 이전(확인)",IF(M1867=1,"1일째",IF(M1867=2,"2일째",IF(M1867=3,"3일째",IF(M1867&lt;=7,"일주일 이내",IF(M1867&lt;=14,"이주일 이내","15일 이후"))))))))</f>
        <v/>
      </c>
      <c r="O1867" s="0" t="str">
        <f aca="false">IF(AND(COUNTA($A1867:$J1867)&gt;0,OR(클레임조회!$C$4="",AND(ISNUMBER($B1867),$B1867&gt;=클레임조회!$C$4)),OR(클레임조회!$C$5="",AND(ISNUMBER($B1867),$B1867&lt;=클레임조회!$C$5)),OR(클레임조회!$C$6="",$C1867=클레임조회!$C$6),OR(클레임조회!$C$7="",$D1867=클레임조회!$C$7),OR(클레임조회!$C$8="",$E1867=클레임조회!$C$8),OR(클레임조회!$C$9="",$F1867=클레임조회!$C$9),OR(클레임조회!$C$10="",ISNUMBER(SEARCH(클레임조회!$C$10,$C1867&amp;" "&amp;$F1867&amp;" "&amp;$G1867&amp;" "&amp;$H1867)))),COUNT(O$1:O1866)+1,"")</f>
        <v/>
      </c>
      <c r="P1867" s="0" t="str">
        <f aca="false">IF(AND(TRIM(C1867)&lt;&gt;"",COUNTIF(C$2:C1867,C1867)=1),MAX(P$1:P1866)+1,"")</f>
        <v/>
      </c>
      <c r="Q1867" s="0" t="str">
        <f aca="false">IF(AND(TRIM(F1867)&lt;&gt;"",COUNTIF(F$2:F1867,F1867)=1),MAX(Q$1:Q1866)+1,"")</f>
        <v/>
      </c>
    </row>
    <row r="1868" customFormat="false" ht="15" hidden="false" customHeight="false" outlineLevel="0" collapsed="false">
      <c r="A1868" s="9"/>
      <c r="B1868" s="10"/>
      <c r="C1868" s="11"/>
      <c r="D1868" s="11"/>
      <c r="E1868" s="11"/>
      <c r="F1868" s="11"/>
      <c r="G1868" s="12"/>
      <c r="H1868" s="12"/>
      <c r="I1868" s="10"/>
      <c r="J1868" s="12"/>
      <c r="K1868" s="13" t="str">
        <f aca="false">IF(ISNUMBER(B1868),YEAR(B1868),"")</f>
        <v/>
      </c>
      <c r="L1868" s="13" t="str">
        <f aca="false">IF(ISNUMBER(B1868),MONTH(B1868),"")</f>
        <v/>
      </c>
      <c r="M1868" s="13" t="str">
        <f aca="false">IF(AND(ISNUMBER(B1868),ISNUMBER(I1868)),B1868-I1868+1,"")</f>
        <v/>
      </c>
      <c r="N1868" s="14" t="str">
        <f aca="false">IF(B1868="","",IF(M1868="","시작일 미입력",IF(M1868&lt;1,"시작일 이전(확인)",IF(M1868=1,"1일째",IF(M1868=2,"2일째",IF(M1868=3,"3일째",IF(M1868&lt;=7,"일주일 이내",IF(M1868&lt;=14,"이주일 이내","15일 이후"))))))))</f>
        <v/>
      </c>
      <c r="O1868" s="0" t="str">
        <f aca="false">IF(AND(COUNTA($A1868:$J1868)&gt;0,OR(클레임조회!$C$4="",AND(ISNUMBER($B1868),$B1868&gt;=클레임조회!$C$4)),OR(클레임조회!$C$5="",AND(ISNUMBER($B1868),$B1868&lt;=클레임조회!$C$5)),OR(클레임조회!$C$6="",$C1868=클레임조회!$C$6),OR(클레임조회!$C$7="",$D1868=클레임조회!$C$7),OR(클레임조회!$C$8="",$E1868=클레임조회!$C$8),OR(클레임조회!$C$9="",$F1868=클레임조회!$C$9),OR(클레임조회!$C$10="",ISNUMBER(SEARCH(클레임조회!$C$10,$C1868&amp;" "&amp;$F1868&amp;" "&amp;$G1868&amp;" "&amp;$H1868)))),COUNT(O$1:O1867)+1,"")</f>
        <v/>
      </c>
      <c r="P1868" s="0" t="str">
        <f aca="false">IF(AND(TRIM(C1868)&lt;&gt;"",COUNTIF(C$2:C1868,C1868)=1),MAX(P$1:P1867)+1,"")</f>
        <v/>
      </c>
      <c r="Q1868" s="0" t="str">
        <f aca="false">IF(AND(TRIM(F1868)&lt;&gt;"",COUNTIF(F$2:F1868,F1868)=1),MAX(Q$1:Q1867)+1,"")</f>
        <v/>
      </c>
    </row>
    <row r="1869" customFormat="false" ht="15" hidden="false" customHeight="false" outlineLevel="0" collapsed="false">
      <c r="A1869" s="9"/>
      <c r="B1869" s="10"/>
      <c r="C1869" s="11"/>
      <c r="D1869" s="11"/>
      <c r="E1869" s="11"/>
      <c r="F1869" s="11"/>
      <c r="G1869" s="12"/>
      <c r="H1869" s="12"/>
      <c r="I1869" s="10"/>
      <c r="J1869" s="12"/>
      <c r="K1869" s="13" t="str">
        <f aca="false">IF(ISNUMBER(B1869),YEAR(B1869),"")</f>
        <v/>
      </c>
      <c r="L1869" s="13" t="str">
        <f aca="false">IF(ISNUMBER(B1869),MONTH(B1869),"")</f>
        <v/>
      </c>
      <c r="M1869" s="13" t="str">
        <f aca="false">IF(AND(ISNUMBER(B1869),ISNUMBER(I1869)),B1869-I1869+1,"")</f>
        <v/>
      </c>
      <c r="N1869" s="14" t="str">
        <f aca="false">IF(B1869="","",IF(M1869="","시작일 미입력",IF(M1869&lt;1,"시작일 이전(확인)",IF(M1869=1,"1일째",IF(M1869=2,"2일째",IF(M1869=3,"3일째",IF(M1869&lt;=7,"일주일 이내",IF(M1869&lt;=14,"이주일 이내","15일 이후"))))))))</f>
        <v/>
      </c>
      <c r="O1869" s="0" t="str">
        <f aca="false">IF(AND(COUNTA($A1869:$J1869)&gt;0,OR(클레임조회!$C$4="",AND(ISNUMBER($B1869),$B1869&gt;=클레임조회!$C$4)),OR(클레임조회!$C$5="",AND(ISNUMBER($B1869),$B1869&lt;=클레임조회!$C$5)),OR(클레임조회!$C$6="",$C1869=클레임조회!$C$6),OR(클레임조회!$C$7="",$D1869=클레임조회!$C$7),OR(클레임조회!$C$8="",$E1869=클레임조회!$C$8),OR(클레임조회!$C$9="",$F1869=클레임조회!$C$9),OR(클레임조회!$C$10="",ISNUMBER(SEARCH(클레임조회!$C$10,$C1869&amp;" "&amp;$F1869&amp;" "&amp;$G1869&amp;" "&amp;$H1869)))),COUNT(O$1:O1868)+1,"")</f>
        <v/>
      </c>
      <c r="P1869" s="0" t="str">
        <f aca="false">IF(AND(TRIM(C1869)&lt;&gt;"",COUNTIF(C$2:C1869,C1869)=1),MAX(P$1:P1868)+1,"")</f>
        <v/>
      </c>
      <c r="Q1869" s="0" t="str">
        <f aca="false">IF(AND(TRIM(F1869)&lt;&gt;"",COUNTIF(F$2:F1869,F1869)=1),MAX(Q$1:Q1868)+1,"")</f>
        <v/>
      </c>
    </row>
    <row r="1870" customFormat="false" ht="15" hidden="false" customHeight="false" outlineLevel="0" collapsed="false">
      <c r="A1870" s="9"/>
      <c r="B1870" s="10"/>
      <c r="C1870" s="11"/>
      <c r="D1870" s="11"/>
      <c r="E1870" s="11"/>
      <c r="F1870" s="11"/>
      <c r="G1870" s="12"/>
      <c r="H1870" s="12"/>
      <c r="I1870" s="10"/>
      <c r="J1870" s="12"/>
      <c r="K1870" s="13" t="str">
        <f aca="false">IF(ISNUMBER(B1870),YEAR(B1870),"")</f>
        <v/>
      </c>
      <c r="L1870" s="13" t="str">
        <f aca="false">IF(ISNUMBER(B1870),MONTH(B1870),"")</f>
        <v/>
      </c>
      <c r="M1870" s="13" t="str">
        <f aca="false">IF(AND(ISNUMBER(B1870),ISNUMBER(I1870)),B1870-I1870+1,"")</f>
        <v/>
      </c>
      <c r="N1870" s="14" t="str">
        <f aca="false">IF(B1870="","",IF(M1870="","시작일 미입력",IF(M1870&lt;1,"시작일 이전(확인)",IF(M1870=1,"1일째",IF(M1870=2,"2일째",IF(M1870=3,"3일째",IF(M1870&lt;=7,"일주일 이내",IF(M1870&lt;=14,"이주일 이내","15일 이후"))))))))</f>
        <v/>
      </c>
      <c r="O1870" s="0" t="str">
        <f aca="false">IF(AND(COUNTA($A1870:$J1870)&gt;0,OR(클레임조회!$C$4="",AND(ISNUMBER($B1870),$B1870&gt;=클레임조회!$C$4)),OR(클레임조회!$C$5="",AND(ISNUMBER($B1870),$B1870&lt;=클레임조회!$C$5)),OR(클레임조회!$C$6="",$C1870=클레임조회!$C$6),OR(클레임조회!$C$7="",$D1870=클레임조회!$C$7),OR(클레임조회!$C$8="",$E1870=클레임조회!$C$8),OR(클레임조회!$C$9="",$F1870=클레임조회!$C$9),OR(클레임조회!$C$10="",ISNUMBER(SEARCH(클레임조회!$C$10,$C1870&amp;" "&amp;$F1870&amp;" "&amp;$G1870&amp;" "&amp;$H1870)))),COUNT(O$1:O1869)+1,"")</f>
        <v/>
      </c>
      <c r="P1870" s="0" t="str">
        <f aca="false">IF(AND(TRIM(C1870)&lt;&gt;"",COUNTIF(C$2:C1870,C1870)=1),MAX(P$1:P1869)+1,"")</f>
        <v/>
      </c>
      <c r="Q1870" s="0" t="str">
        <f aca="false">IF(AND(TRIM(F1870)&lt;&gt;"",COUNTIF(F$2:F1870,F1870)=1),MAX(Q$1:Q1869)+1,"")</f>
        <v/>
      </c>
    </row>
    <row r="1871" customFormat="false" ht="15" hidden="false" customHeight="false" outlineLevel="0" collapsed="false">
      <c r="A1871" s="9"/>
      <c r="B1871" s="10"/>
      <c r="C1871" s="11"/>
      <c r="D1871" s="11"/>
      <c r="E1871" s="11"/>
      <c r="F1871" s="11"/>
      <c r="G1871" s="12"/>
      <c r="H1871" s="12"/>
      <c r="I1871" s="10"/>
      <c r="J1871" s="12"/>
      <c r="K1871" s="13" t="str">
        <f aca="false">IF(ISNUMBER(B1871),YEAR(B1871),"")</f>
        <v/>
      </c>
      <c r="L1871" s="13" t="str">
        <f aca="false">IF(ISNUMBER(B1871),MONTH(B1871),"")</f>
        <v/>
      </c>
      <c r="M1871" s="13" t="str">
        <f aca="false">IF(AND(ISNUMBER(B1871),ISNUMBER(I1871)),B1871-I1871+1,"")</f>
        <v/>
      </c>
      <c r="N1871" s="14" t="str">
        <f aca="false">IF(B1871="","",IF(M1871="","시작일 미입력",IF(M1871&lt;1,"시작일 이전(확인)",IF(M1871=1,"1일째",IF(M1871=2,"2일째",IF(M1871=3,"3일째",IF(M1871&lt;=7,"일주일 이내",IF(M1871&lt;=14,"이주일 이내","15일 이후"))))))))</f>
        <v/>
      </c>
      <c r="O1871" s="0" t="str">
        <f aca="false">IF(AND(COUNTA($A1871:$J1871)&gt;0,OR(클레임조회!$C$4="",AND(ISNUMBER($B1871),$B1871&gt;=클레임조회!$C$4)),OR(클레임조회!$C$5="",AND(ISNUMBER($B1871),$B1871&lt;=클레임조회!$C$5)),OR(클레임조회!$C$6="",$C1871=클레임조회!$C$6),OR(클레임조회!$C$7="",$D1871=클레임조회!$C$7),OR(클레임조회!$C$8="",$E1871=클레임조회!$C$8),OR(클레임조회!$C$9="",$F1871=클레임조회!$C$9),OR(클레임조회!$C$10="",ISNUMBER(SEARCH(클레임조회!$C$10,$C1871&amp;" "&amp;$F1871&amp;" "&amp;$G1871&amp;" "&amp;$H1871)))),COUNT(O$1:O1870)+1,"")</f>
        <v/>
      </c>
      <c r="P1871" s="0" t="str">
        <f aca="false">IF(AND(TRIM(C1871)&lt;&gt;"",COUNTIF(C$2:C1871,C1871)=1),MAX(P$1:P1870)+1,"")</f>
        <v/>
      </c>
      <c r="Q1871" s="0" t="str">
        <f aca="false">IF(AND(TRIM(F1871)&lt;&gt;"",COUNTIF(F$2:F1871,F1871)=1),MAX(Q$1:Q1870)+1,"")</f>
        <v/>
      </c>
    </row>
    <row r="1872" customFormat="false" ht="15" hidden="false" customHeight="false" outlineLevel="0" collapsed="false">
      <c r="A1872" s="9"/>
      <c r="B1872" s="10"/>
      <c r="C1872" s="11"/>
      <c r="D1872" s="11"/>
      <c r="E1872" s="11"/>
      <c r="F1872" s="11"/>
      <c r="G1872" s="12"/>
      <c r="H1872" s="12"/>
      <c r="I1872" s="10"/>
      <c r="J1872" s="12"/>
      <c r="K1872" s="13" t="str">
        <f aca="false">IF(ISNUMBER(B1872),YEAR(B1872),"")</f>
        <v/>
      </c>
      <c r="L1872" s="13" t="str">
        <f aca="false">IF(ISNUMBER(B1872),MONTH(B1872),"")</f>
        <v/>
      </c>
      <c r="M1872" s="13" t="str">
        <f aca="false">IF(AND(ISNUMBER(B1872),ISNUMBER(I1872)),B1872-I1872+1,"")</f>
        <v/>
      </c>
      <c r="N1872" s="14" t="str">
        <f aca="false">IF(B1872="","",IF(M1872="","시작일 미입력",IF(M1872&lt;1,"시작일 이전(확인)",IF(M1872=1,"1일째",IF(M1872=2,"2일째",IF(M1872=3,"3일째",IF(M1872&lt;=7,"일주일 이내",IF(M1872&lt;=14,"이주일 이내","15일 이후"))))))))</f>
        <v/>
      </c>
      <c r="O1872" s="0" t="str">
        <f aca="false">IF(AND(COUNTA($A1872:$J1872)&gt;0,OR(클레임조회!$C$4="",AND(ISNUMBER($B1872),$B1872&gt;=클레임조회!$C$4)),OR(클레임조회!$C$5="",AND(ISNUMBER($B1872),$B1872&lt;=클레임조회!$C$5)),OR(클레임조회!$C$6="",$C1872=클레임조회!$C$6),OR(클레임조회!$C$7="",$D1872=클레임조회!$C$7),OR(클레임조회!$C$8="",$E1872=클레임조회!$C$8),OR(클레임조회!$C$9="",$F1872=클레임조회!$C$9),OR(클레임조회!$C$10="",ISNUMBER(SEARCH(클레임조회!$C$10,$C1872&amp;" "&amp;$F1872&amp;" "&amp;$G1872&amp;" "&amp;$H1872)))),COUNT(O$1:O1871)+1,"")</f>
        <v/>
      </c>
      <c r="P1872" s="0" t="str">
        <f aca="false">IF(AND(TRIM(C1872)&lt;&gt;"",COUNTIF(C$2:C1872,C1872)=1),MAX(P$1:P1871)+1,"")</f>
        <v/>
      </c>
      <c r="Q1872" s="0" t="str">
        <f aca="false">IF(AND(TRIM(F1872)&lt;&gt;"",COUNTIF(F$2:F1872,F1872)=1),MAX(Q$1:Q1871)+1,"")</f>
        <v/>
      </c>
    </row>
    <row r="1873" customFormat="false" ht="15" hidden="false" customHeight="false" outlineLevel="0" collapsed="false">
      <c r="A1873" s="9"/>
      <c r="B1873" s="10"/>
      <c r="C1873" s="11"/>
      <c r="D1873" s="11"/>
      <c r="E1873" s="11"/>
      <c r="F1873" s="11"/>
      <c r="G1873" s="12"/>
      <c r="H1873" s="12"/>
      <c r="I1873" s="10"/>
      <c r="J1873" s="12"/>
      <c r="K1873" s="13" t="str">
        <f aca="false">IF(ISNUMBER(B1873),YEAR(B1873),"")</f>
        <v/>
      </c>
      <c r="L1873" s="13" t="str">
        <f aca="false">IF(ISNUMBER(B1873),MONTH(B1873),"")</f>
        <v/>
      </c>
      <c r="M1873" s="13" t="str">
        <f aca="false">IF(AND(ISNUMBER(B1873),ISNUMBER(I1873)),B1873-I1873+1,"")</f>
        <v/>
      </c>
      <c r="N1873" s="14" t="str">
        <f aca="false">IF(B1873="","",IF(M1873="","시작일 미입력",IF(M1873&lt;1,"시작일 이전(확인)",IF(M1873=1,"1일째",IF(M1873=2,"2일째",IF(M1873=3,"3일째",IF(M1873&lt;=7,"일주일 이내",IF(M1873&lt;=14,"이주일 이내","15일 이후"))))))))</f>
        <v/>
      </c>
      <c r="O1873" s="0" t="str">
        <f aca="false">IF(AND(COUNTA($A1873:$J1873)&gt;0,OR(클레임조회!$C$4="",AND(ISNUMBER($B1873),$B1873&gt;=클레임조회!$C$4)),OR(클레임조회!$C$5="",AND(ISNUMBER($B1873),$B1873&lt;=클레임조회!$C$5)),OR(클레임조회!$C$6="",$C1873=클레임조회!$C$6),OR(클레임조회!$C$7="",$D1873=클레임조회!$C$7),OR(클레임조회!$C$8="",$E1873=클레임조회!$C$8),OR(클레임조회!$C$9="",$F1873=클레임조회!$C$9),OR(클레임조회!$C$10="",ISNUMBER(SEARCH(클레임조회!$C$10,$C1873&amp;" "&amp;$F1873&amp;" "&amp;$G1873&amp;" "&amp;$H1873)))),COUNT(O$1:O1872)+1,"")</f>
        <v/>
      </c>
      <c r="P1873" s="0" t="str">
        <f aca="false">IF(AND(TRIM(C1873)&lt;&gt;"",COUNTIF(C$2:C1873,C1873)=1),MAX(P$1:P1872)+1,"")</f>
        <v/>
      </c>
      <c r="Q1873" s="0" t="str">
        <f aca="false">IF(AND(TRIM(F1873)&lt;&gt;"",COUNTIF(F$2:F1873,F1873)=1),MAX(Q$1:Q1872)+1,"")</f>
        <v/>
      </c>
    </row>
    <row r="1874" customFormat="false" ht="15" hidden="false" customHeight="false" outlineLevel="0" collapsed="false">
      <c r="A1874" s="9"/>
      <c r="B1874" s="10"/>
      <c r="C1874" s="11"/>
      <c r="D1874" s="11"/>
      <c r="E1874" s="11"/>
      <c r="F1874" s="11"/>
      <c r="G1874" s="12"/>
      <c r="H1874" s="12"/>
      <c r="I1874" s="10"/>
      <c r="J1874" s="12"/>
      <c r="K1874" s="13" t="str">
        <f aca="false">IF(ISNUMBER(B1874),YEAR(B1874),"")</f>
        <v/>
      </c>
      <c r="L1874" s="13" t="str">
        <f aca="false">IF(ISNUMBER(B1874),MONTH(B1874),"")</f>
        <v/>
      </c>
      <c r="M1874" s="13" t="str">
        <f aca="false">IF(AND(ISNUMBER(B1874),ISNUMBER(I1874)),B1874-I1874+1,"")</f>
        <v/>
      </c>
      <c r="N1874" s="14" t="str">
        <f aca="false">IF(B1874="","",IF(M1874="","시작일 미입력",IF(M1874&lt;1,"시작일 이전(확인)",IF(M1874=1,"1일째",IF(M1874=2,"2일째",IF(M1874=3,"3일째",IF(M1874&lt;=7,"일주일 이내",IF(M1874&lt;=14,"이주일 이내","15일 이후"))))))))</f>
        <v/>
      </c>
      <c r="O1874" s="0" t="str">
        <f aca="false">IF(AND(COUNTA($A1874:$J1874)&gt;0,OR(클레임조회!$C$4="",AND(ISNUMBER($B1874),$B1874&gt;=클레임조회!$C$4)),OR(클레임조회!$C$5="",AND(ISNUMBER($B1874),$B1874&lt;=클레임조회!$C$5)),OR(클레임조회!$C$6="",$C1874=클레임조회!$C$6),OR(클레임조회!$C$7="",$D1874=클레임조회!$C$7),OR(클레임조회!$C$8="",$E1874=클레임조회!$C$8),OR(클레임조회!$C$9="",$F1874=클레임조회!$C$9),OR(클레임조회!$C$10="",ISNUMBER(SEARCH(클레임조회!$C$10,$C1874&amp;" "&amp;$F1874&amp;" "&amp;$G1874&amp;" "&amp;$H1874)))),COUNT(O$1:O1873)+1,"")</f>
        <v/>
      </c>
      <c r="P1874" s="0" t="str">
        <f aca="false">IF(AND(TRIM(C1874)&lt;&gt;"",COUNTIF(C$2:C1874,C1874)=1),MAX(P$1:P1873)+1,"")</f>
        <v/>
      </c>
      <c r="Q1874" s="0" t="str">
        <f aca="false">IF(AND(TRIM(F1874)&lt;&gt;"",COUNTIF(F$2:F1874,F1874)=1),MAX(Q$1:Q1873)+1,"")</f>
        <v/>
      </c>
    </row>
    <row r="1875" customFormat="false" ht="15" hidden="false" customHeight="false" outlineLevel="0" collapsed="false">
      <c r="A1875" s="9"/>
      <c r="B1875" s="10"/>
      <c r="C1875" s="11"/>
      <c r="D1875" s="11"/>
      <c r="E1875" s="11"/>
      <c r="F1875" s="11"/>
      <c r="G1875" s="12"/>
      <c r="H1875" s="12"/>
      <c r="I1875" s="10"/>
      <c r="J1875" s="12"/>
      <c r="K1875" s="13" t="str">
        <f aca="false">IF(ISNUMBER(B1875),YEAR(B1875),"")</f>
        <v/>
      </c>
      <c r="L1875" s="13" t="str">
        <f aca="false">IF(ISNUMBER(B1875),MONTH(B1875),"")</f>
        <v/>
      </c>
      <c r="M1875" s="13" t="str">
        <f aca="false">IF(AND(ISNUMBER(B1875),ISNUMBER(I1875)),B1875-I1875+1,"")</f>
        <v/>
      </c>
      <c r="N1875" s="14" t="str">
        <f aca="false">IF(B1875="","",IF(M1875="","시작일 미입력",IF(M1875&lt;1,"시작일 이전(확인)",IF(M1875=1,"1일째",IF(M1875=2,"2일째",IF(M1875=3,"3일째",IF(M1875&lt;=7,"일주일 이내",IF(M1875&lt;=14,"이주일 이내","15일 이후"))))))))</f>
        <v/>
      </c>
      <c r="O1875" s="0" t="str">
        <f aca="false">IF(AND(COUNTA($A1875:$J1875)&gt;0,OR(클레임조회!$C$4="",AND(ISNUMBER($B1875),$B1875&gt;=클레임조회!$C$4)),OR(클레임조회!$C$5="",AND(ISNUMBER($B1875),$B1875&lt;=클레임조회!$C$5)),OR(클레임조회!$C$6="",$C1875=클레임조회!$C$6),OR(클레임조회!$C$7="",$D1875=클레임조회!$C$7),OR(클레임조회!$C$8="",$E1875=클레임조회!$C$8),OR(클레임조회!$C$9="",$F1875=클레임조회!$C$9),OR(클레임조회!$C$10="",ISNUMBER(SEARCH(클레임조회!$C$10,$C1875&amp;" "&amp;$F1875&amp;" "&amp;$G1875&amp;" "&amp;$H1875)))),COUNT(O$1:O1874)+1,"")</f>
        <v/>
      </c>
      <c r="P1875" s="0" t="str">
        <f aca="false">IF(AND(TRIM(C1875)&lt;&gt;"",COUNTIF(C$2:C1875,C1875)=1),MAX(P$1:P1874)+1,"")</f>
        <v/>
      </c>
      <c r="Q1875" s="0" t="str">
        <f aca="false">IF(AND(TRIM(F1875)&lt;&gt;"",COUNTIF(F$2:F1875,F1875)=1),MAX(Q$1:Q1874)+1,"")</f>
        <v/>
      </c>
    </row>
    <row r="1876" customFormat="false" ht="15" hidden="false" customHeight="false" outlineLevel="0" collapsed="false">
      <c r="A1876" s="9"/>
      <c r="B1876" s="10"/>
      <c r="C1876" s="11"/>
      <c r="D1876" s="11"/>
      <c r="E1876" s="11"/>
      <c r="F1876" s="11"/>
      <c r="G1876" s="12"/>
      <c r="H1876" s="12"/>
      <c r="I1876" s="10"/>
      <c r="J1876" s="12"/>
      <c r="K1876" s="13" t="str">
        <f aca="false">IF(ISNUMBER(B1876),YEAR(B1876),"")</f>
        <v/>
      </c>
      <c r="L1876" s="13" t="str">
        <f aca="false">IF(ISNUMBER(B1876),MONTH(B1876),"")</f>
        <v/>
      </c>
      <c r="M1876" s="13" t="str">
        <f aca="false">IF(AND(ISNUMBER(B1876),ISNUMBER(I1876)),B1876-I1876+1,"")</f>
        <v/>
      </c>
      <c r="N1876" s="14" t="str">
        <f aca="false">IF(B1876="","",IF(M1876="","시작일 미입력",IF(M1876&lt;1,"시작일 이전(확인)",IF(M1876=1,"1일째",IF(M1876=2,"2일째",IF(M1876=3,"3일째",IF(M1876&lt;=7,"일주일 이내",IF(M1876&lt;=14,"이주일 이내","15일 이후"))))))))</f>
        <v/>
      </c>
      <c r="O1876" s="0" t="str">
        <f aca="false">IF(AND(COUNTA($A1876:$J1876)&gt;0,OR(클레임조회!$C$4="",AND(ISNUMBER($B1876),$B1876&gt;=클레임조회!$C$4)),OR(클레임조회!$C$5="",AND(ISNUMBER($B1876),$B1876&lt;=클레임조회!$C$5)),OR(클레임조회!$C$6="",$C1876=클레임조회!$C$6),OR(클레임조회!$C$7="",$D1876=클레임조회!$C$7),OR(클레임조회!$C$8="",$E1876=클레임조회!$C$8),OR(클레임조회!$C$9="",$F1876=클레임조회!$C$9),OR(클레임조회!$C$10="",ISNUMBER(SEARCH(클레임조회!$C$10,$C1876&amp;" "&amp;$F1876&amp;" "&amp;$G1876&amp;" "&amp;$H1876)))),COUNT(O$1:O1875)+1,"")</f>
        <v/>
      </c>
      <c r="P1876" s="0" t="str">
        <f aca="false">IF(AND(TRIM(C1876)&lt;&gt;"",COUNTIF(C$2:C1876,C1876)=1),MAX(P$1:P1875)+1,"")</f>
        <v/>
      </c>
      <c r="Q1876" s="0" t="str">
        <f aca="false">IF(AND(TRIM(F1876)&lt;&gt;"",COUNTIF(F$2:F1876,F1876)=1),MAX(Q$1:Q1875)+1,"")</f>
        <v/>
      </c>
    </row>
    <row r="1877" customFormat="false" ht="15" hidden="false" customHeight="false" outlineLevel="0" collapsed="false">
      <c r="A1877" s="9"/>
      <c r="B1877" s="10"/>
      <c r="C1877" s="11"/>
      <c r="D1877" s="11"/>
      <c r="E1877" s="11"/>
      <c r="F1877" s="11"/>
      <c r="G1877" s="12"/>
      <c r="H1877" s="12"/>
      <c r="I1877" s="10"/>
      <c r="J1877" s="12"/>
      <c r="K1877" s="13" t="str">
        <f aca="false">IF(ISNUMBER(B1877),YEAR(B1877),"")</f>
        <v/>
      </c>
      <c r="L1877" s="13" t="str">
        <f aca="false">IF(ISNUMBER(B1877),MONTH(B1877),"")</f>
        <v/>
      </c>
      <c r="M1877" s="13" t="str">
        <f aca="false">IF(AND(ISNUMBER(B1877),ISNUMBER(I1877)),B1877-I1877+1,"")</f>
        <v/>
      </c>
      <c r="N1877" s="14" t="str">
        <f aca="false">IF(B1877="","",IF(M1877="","시작일 미입력",IF(M1877&lt;1,"시작일 이전(확인)",IF(M1877=1,"1일째",IF(M1877=2,"2일째",IF(M1877=3,"3일째",IF(M1877&lt;=7,"일주일 이내",IF(M1877&lt;=14,"이주일 이내","15일 이후"))))))))</f>
        <v/>
      </c>
      <c r="O1877" s="0" t="str">
        <f aca="false">IF(AND(COUNTA($A1877:$J1877)&gt;0,OR(클레임조회!$C$4="",AND(ISNUMBER($B1877),$B1877&gt;=클레임조회!$C$4)),OR(클레임조회!$C$5="",AND(ISNUMBER($B1877),$B1877&lt;=클레임조회!$C$5)),OR(클레임조회!$C$6="",$C1877=클레임조회!$C$6),OR(클레임조회!$C$7="",$D1877=클레임조회!$C$7),OR(클레임조회!$C$8="",$E1877=클레임조회!$C$8),OR(클레임조회!$C$9="",$F1877=클레임조회!$C$9),OR(클레임조회!$C$10="",ISNUMBER(SEARCH(클레임조회!$C$10,$C1877&amp;" "&amp;$F1877&amp;" "&amp;$G1877&amp;" "&amp;$H1877)))),COUNT(O$1:O1876)+1,"")</f>
        <v/>
      </c>
      <c r="P1877" s="0" t="str">
        <f aca="false">IF(AND(TRIM(C1877)&lt;&gt;"",COUNTIF(C$2:C1877,C1877)=1),MAX(P$1:P1876)+1,"")</f>
        <v/>
      </c>
      <c r="Q1877" s="0" t="str">
        <f aca="false">IF(AND(TRIM(F1877)&lt;&gt;"",COUNTIF(F$2:F1877,F1877)=1),MAX(Q$1:Q1876)+1,"")</f>
        <v/>
      </c>
    </row>
    <row r="1878" customFormat="false" ht="15" hidden="false" customHeight="false" outlineLevel="0" collapsed="false">
      <c r="A1878" s="9"/>
      <c r="B1878" s="10"/>
      <c r="C1878" s="11"/>
      <c r="D1878" s="11"/>
      <c r="E1878" s="11"/>
      <c r="F1878" s="11"/>
      <c r="G1878" s="12"/>
      <c r="H1878" s="12"/>
      <c r="I1878" s="10"/>
      <c r="J1878" s="12"/>
      <c r="K1878" s="13" t="str">
        <f aca="false">IF(ISNUMBER(B1878),YEAR(B1878),"")</f>
        <v/>
      </c>
      <c r="L1878" s="13" t="str">
        <f aca="false">IF(ISNUMBER(B1878),MONTH(B1878),"")</f>
        <v/>
      </c>
      <c r="M1878" s="13" t="str">
        <f aca="false">IF(AND(ISNUMBER(B1878),ISNUMBER(I1878)),B1878-I1878+1,"")</f>
        <v/>
      </c>
      <c r="N1878" s="14" t="str">
        <f aca="false">IF(B1878="","",IF(M1878="","시작일 미입력",IF(M1878&lt;1,"시작일 이전(확인)",IF(M1878=1,"1일째",IF(M1878=2,"2일째",IF(M1878=3,"3일째",IF(M1878&lt;=7,"일주일 이내",IF(M1878&lt;=14,"이주일 이내","15일 이후"))))))))</f>
        <v/>
      </c>
      <c r="O1878" s="0" t="str">
        <f aca="false">IF(AND(COUNTA($A1878:$J1878)&gt;0,OR(클레임조회!$C$4="",AND(ISNUMBER($B1878),$B1878&gt;=클레임조회!$C$4)),OR(클레임조회!$C$5="",AND(ISNUMBER($B1878),$B1878&lt;=클레임조회!$C$5)),OR(클레임조회!$C$6="",$C1878=클레임조회!$C$6),OR(클레임조회!$C$7="",$D1878=클레임조회!$C$7),OR(클레임조회!$C$8="",$E1878=클레임조회!$C$8),OR(클레임조회!$C$9="",$F1878=클레임조회!$C$9),OR(클레임조회!$C$10="",ISNUMBER(SEARCH(클레임조회!$C$10,$C1878&amp;" "&amp;$F1878&amp;" "&amp;$G1878&amp;" "&amp;$H1878)))),COUNT(O$1:O1877)+1,"")</f>
        <v/>
      </c>
      <c r="P1878" s="0" t="str">
        <f aca="false">IF(AND(TRIM(C1878)&lt;&gt;"",COUNTIF(C$2:C1878,C1878)=1),MAX(P$1:P1877)+1,"")</f>
        <v/>
      </c>
      <c r="Q1878" s="0" t="str">
        <f aca="false">IF(AND(TRIM(F1878)&lt;&gt;"",COUNTIF(F$2:F1878,F1878)=1),MAX(Q$1:Q1877)+1,"")</f>
        <v/>
      </c>
    </row>
    <row r="1879" customFormat="false" ht="15" hidden="false" customHeight="false" outlineLevel="0" collapsed="false">
      <c r="A1879" s="9"/>
      <c r="B1879" s="10"/>
      <c r="C1879" s="11"/>
      <c r="D1879" s="11"/>
      <c r="E1879" s="11"/>
      <c r="F1879" s="11"/>
      <c r="G1879" s="12"/>
      <c r="H1879" s="12"/>
      <c r="I1879" s="10"/>
      <c r="J1879" s="12"/>
      <c r="K1879" s="13" t="str">
        <f aca="false">IF(ISNUMBER(B1879),YEAR(B1879),"")</f>
        <v/>
      </c>
      <c r="L1879" s="13" t="str">
        <f aca="false">IF(ISNUMBER(B1879),MONTH(B1879),"")</f>
        <v/>
      </c>
      <c r="M1879" s="13" t="str">
        <f aca="false">IF(AND(ISNUMBER(B1879),ISNUMBER(I1879)),B1879-I1879+1,"")</f>
        <v/>
      </c>
      <c r="N1879" s="14" t="str">
        <f aca="false">IF(B1879="","",IF(M1879="","시작일 미입력",IF(M1879&lt;1,"시작일 이전(확인)",IF(M1879=1,"1일째",IF(M1879=2,"2일째",IF(M1879=3,"3일째",IF(M1879&lt;=7,"일주일 이내",IF(M1879&lt;=14,"이주일 이내","15일 이후"))))))))</f>
        <v/>
      </c>
      <c r="O1879" s="0" t="str">
        <f aca="false">IF(AND(COUNTA($A1879:$J1879)&gt;0,OR(클레임조회!$C$4="",AND(ISNUMBER($B1879),$B1879&gt;=클레임조회!$C$4)),OR(클레임조회!$C$5="",AND(ISNUMBER($B1879),$B1879&lt;=클레임조회!$C$5)),OR(클레임조회!$C$6="",$C1879=클레임조회!$C$6),OR(클레임조회!$C$7="",$D1879=클레임조회!$C$7),OR(클레임조회!$C$8="",$E1879=클레임조회!$C$8),OR(클레임조회!$C$9="",$F1879=클레임조회!$C$9),OR(클레임조회!$C$10="",ISNUMBER(SEARCH(클레임조회!$C$10,$C1879&amp;" "&amp;$F1879&amp;" "&amp;$G1879&amp;" "&amp;$H1879)))),COUNT(O$1:O1878)+1,"")</f>
        <v/>
      </c>
      <c r="P1879" s="0" t="str">
        <f aca="false">IF(AND(TRIM(C1879)&lt;&gt;"",COUNTIF(C$2:C1879,C1879)=1),MAX(P$1:P1878)+1,"")</f>
        <v/>
      </c>
      <c r="Q1879" s="0" t="str">
        <f aca="false">IF(AND(TRIM(F1879)&lt;&gt;"",COUNTIF(F$2:F1879,F1879)=1),MAX(Q$1:Q1878)+1,"")</f>
        <v/>
      </c>
    </row>
    <row r="1880" customFormat="false" ht="15" hidden="false" customHeight="false" outlineLevel="0" collapsed="false">
      <c r="A1880" s="9"/>
      <c r="B1880" s="10"/>
      <c r="C1880" s="11"/>
      <c r="D1880" s="11"/>
      <c r="E1880" s="11"/>
      <c r="F1880" s="11"/>
      <c r="G1880" s="12"/>
      <c r="H1880" s="12"/>
      <c r="I1880" s="10"/>
      <c r="J1880" s="12"/>
      <c r="K1880" s="13" t="str">
        <f aca="false">IF(ISNUMBER(B1880),YEAR(B1880),"")</f>
        <v/>
      </c>
      <c r="L1880" s="13" t="str">
        <f aca="false">IF(ISNUMBER(B1880),MONTH(B1880),"")</f>
        <v/>
      </c>
      <c r="M1880" s="13" t="str">
        <f aca="false">IF(AND(ISNUMBER(B1880),ISNUMBER(I1880)),B1880-I1880+1,"")</f>
        <v/>
      </c>
      <c r="N1880" s="14" t="str">
        <f aca="false">IF(B1880="","",IF(M1880="","시작일 미입력",IF(M1880&lt;1,"시작일 이전(확인)",IF(M1880=1,"1일째",IF(M1880=2,"2일째",IF(M1880=3,"3일째",IF(M1880&lt;=7,"일주일 이내",IF(M1880&lt;=14,"이주일 이내","15일 이후"))))))))</f>
        <v/>
      </c>
      <c r="O1880" s="0" t="str">
        <f aca="false">IF(AND(COUNTA($A1880:$J1880)&gt;0,OR(클레임조회!$C$4="",AND(ISNUMBER($B1880),$B1880&gt;=클레임조회!$C$4)),OR(클레임조회!$C$5="",AND(ISNUMBER($B1880),$B1880&lt;=클레임조회!$C$5)),OR(클레임조회!$C$6="",$C1880=클레임조회!$C$6),OR(클레임조회!$C$7="",$D1880=클레임조회!$C$7),OR(클레임조회!$C$8="",$E1880=클레임조회!$C$8),OR(클레임조회!$C$9="",$F1880=클레임조회!$C$9),OR(클레임조회!$C$10="",ISNUMBER(SEARCH(클레임조회!$C$10,$C1880&amp;" "&amp;$F1880&amp;" "&amp;$G1880&amp;" "&amp;$H1880)))),COUNT(O$1:O1879)+1,"")</f>
        <v/>
      </c>
      <c r="P1880" s="0" t="str">
        <f aca="false">IF(AND(TRIM(C1880)&lt;&gt;"",COUNTIF(C$2:C1880,C1880)=1),MAX(P$1:P1879)+1,"")</f>
        <v/>
      </c>
      <c r="Q1880" s="0" t="str">
        <f aca="false">IF(AND(TRIM(F1880)&lt;&gt;"",COUNTIF(F$2:F1880,F1880)=1),MAX(Q$1:Q1879)+1,"")</f>
        <v/>
      </c>
    </row>
    <row r="1881" customFormat="false" ht="15" hidden="false" customHeight="false" outlineLevel="0" collapsed="false">
      <c r="A1881" s="9"/>
      <c r="B1881" s="10"/>
      <c r="C1881" s="11"/>
      <c r="D1881" s="11"/>
      <c r="E1881" s="11"/>
      <c r="F1881" s="11"/>
      <c r="G1881" s="12"/>
      <c r="H1881" s="12"/>
      <c r="I1881" s="10"/>
      <c r="J1881" s="12"/>
      <c r="K1881" s="13" t="str">
        <f aca="false">IF(ISNUMBER(B1881),YEAR(B1881),"")</f>
        <v/>
      </c>
      <c r="L1881" s="13" t="str">
        <f aca="false">IF(ISNUMBER(B1881),MONTH(B1881),"")</f>
        <v/>
      </c>
      <c r="M1881" s="13" t="str">
        <f aca="false">IF(AND(ISNUMBER(B1881),ISNUMBER(I1881)),B1881-I1881+1,"")</f>
        <v/>
      </c>
      <c r="N1881" s="14" t="str">
        <f aca="false">IF(B1881="","",IF(M1881="","시작일 미입력",IF(M1881&lt;1,"시작일 이전(확인)",IF(M1881=1,"1일째",IF(M1881=2,"2일째",IF(M1881=3,"3일째",IF(M1881&lt;=7,"일주일 이내",IF(M1881&lt;=14,"이주일 이내","15일 이후"))))))))</f>
        <v/>
      </c>
      <c r="O1881" s="0" t="str">
        <f aca="false">IF(AND(COUNTA($A1881:$J1881)&gt;0,OR(클레임조회!$C$4="",AND(ISNUMBER($B1881),$B1881&gt;=클레임조회!$C$4)),OR(클레임조회!$C$5="",AND(ISNUMBER($B1881),$B1881&lt;=클레임조회!$C$5)),OR(클레임조회!$C$6="",$C1881=클레임조회!$C$6),OR(클레임조회!$C$7="",$D1881=클레임조회!$C$7),OR(클레임조회!$C$8="",$E1881=클레임조회!$C$8),OR(클레임조회!$C$9="",$F1881=클레임조회!$C$9),OR(클레임조회!$C$10="",ISNUMBER(SEARCH(클레임조회!$C$10,$C1881&amp;" "&amp;$F1881&amp;" "&amp;$G1881&amp;" "&amp;$H1881)))),COUNT(O$1:O1880)+1,"")</f>
        <v/>
      </c>
      <c r="P1881" s="0" t="str">
        <f aca="false">IF(AND(TRIM(C1881)&lt;&gt;"",COUNTIF(C$2:C1881,C1881)=1),MAX(P$1:P1880)+1,"")</f>
        <v/>
      </c>
      <c r="Q1881" s="0" t="str">
        <f aca="false">IF(AND(TRIM(F1881)&lt;&gt;"",COUNTIF(F$2:F1881,F1881)=1),MAX(Q$1:Q1880)+1,"")</f>
        <v/>
      </c>
    </row>
    <row r="1882" customFormat="false" ht="15" hidden="false" customHeight="false" outlineLevel="0" collapsed="false">
      <c r="A1882" s="9"/>
      <c r="B1882" s="10"/>
      <c r="C1882" s="11"/>
      <c r="D1882" s="11"/>
      <c r="E1882" s="11"/>
      <c r="F1882" s="11"/>
      <c r="G1882" s="12"/>
      <c r="H1882" s="12"/>
      <c r="I1882" s="10"/>
      <c r="J1882" s="12"/>
      <c r="K1882" s="13" t="str">
        <f aca="false">IF(ISNUMBER(B1882),YEAR(B1882),"")</f>
        <v/>
      </c>
      <c r="L1882" s="13" t="str">
        <f aca="false">IF(ISNUMBER(B1882),MONTH(B1882),"")</f>
        <v/>
      </c>
      <c r="M1882" s="13" t="str">
        <f aca="false">IF(AND(ISNUMBER(B1882),ISNUMBER(I1882)),B1882-I1882+1,"")</f>
        <v/>
      </c>
      <c r="N1882" s="14" t="str">
        <f aca="false">IF(B1882="","",IF(M1882="","시작일 미입력",IF(M1882&lt;1,"시작일 이전(확인)",IF(M1882=1,"1일째",IF(M1882=2,"2일째",IF(M1882=3,"3일째",IF(M1882&lt;=7,"일주일 이내",IF(M1882&lt;=14,"이주일 이내","15일 이후"))))))))</f>
        <v/>
      </c>
      <c r="O1882" s="0" t="str">
        <f aca="false">IF(AND(COUNTA($A1882:$J1882)&gt;0,OR(클레임조회!$C$4="",AND(ISNUMBER($B1882),$B1882&gt;=클레임조회!$C$4)),OR(클레임조회!$C$5="",AND(ISNUMBER($B1882),$B1882&lt;=클레임조회!$C$5)),OR(클레임조회!$C$6="",$C1882=클레임조회!$C$6),OR(클레임조회!$C$7="",$D1882=클레임조회!$C$7),OR(클레임조회!$C$8="",$E1882=클레임조회!$C$8),OR(클레임조회!$C$9="",$F1882=클레임조회!$C$9),OR(클레임조회!$C$10="",ISNUMBER(SEARCH(클레임조회!$C$10,$C1882&amp;" "&amp;$F1882&amp;" "&amp;$G1882&amp;" "&amp;$H1882)))),COUNT(O$1:O1881)+1,"")</f>
        <v/>
      </c>
      <c r="P1882" s="0" t="str">
        <f aca="false">IF(AND(TRIM(C1882)&lt;&gt;"",COUNTIF(C$2:C1882,C1882)=1),MAX(P$1:P1881)+1,"")</f>
        <v/>
      </c>
      <c r="Q1882" s="0" t="str">
        <f aca="false">IF(AND(TRIM(F1882)&lt;&gt;"",COUNTIF(F$2:F1882,F1882)=1),MAX(Q$1:Q1881)+1,"")</f>
        <v/>
      </c>
    </row>
    <row r="1883" customFormat="false" ht="15" hidden="false" customHeight="false" outlineLevel="0" collapsed="false">
      <c r="A1883" s="9"/>
      <c r="B1883" s="10"/>
      <c r="C1883" s="11"/>
      <c r="D1883" s="11"/>
      <c r="E1883" s="11"/>
      <c r="F1883" s="11"/>
      <c r="G1883" s="12"/>
      <c r="H1883" s="12"/>
      <c r="I1883" s="10"/>
      <c r="J1883" s="12"/>
      <c r="K1883" s="13" t="str">
        <f aca="false">IF(ISNUMBER(B1883),YEAR(B1883),"")</f>
        <v/>
      </c>
      <c r="L1883" s="13" t="str">
        <f aca="false">IF(ISNUMBER(B1883),MONTH(B1883),"")</f>
        <v/>
      </c>
      <c r="M1883" s="13" t="str">
        <f aca="false">IF(AND(ISNUMBER(B1883),ISNUMBER(I1883)),B1883-I1883+1,"")</f>
        <v/>
      </c>
      <c r="N1883" s="14" t="str">
        <f aca="false">IF(B1883="","",IF(M1883="","시작일 미입력",IF(M1883&lt;1,"시작일 이전(확인)",IF(M1883=1,"1일째",IF(M1883=2,"2일째",IF(M1883=3,"3일째",IF(M1883&lt;=7,"일주일 이내",IF(M1883&lt;=14,"이주일 이내","15일 이후"))))))))</f>
        <v/>
      </c>
      <c r="O1883" s="0" t="str">
        <f aca="false">IF(AND(COUNTA($A1883:$J1883)&gt;0,OR(클레임조회!$C$4="",AND(ISNUMBER($B1883),$B1883&gt;=클레임조회!$C$4)),OR(클레임조회!$C$5="",AND(ISNUMBER($B1883),$B1883&lt;=클레임조회!$C$5)),OR(클레임조회!$C$6="",$C1883=클레임조회!$C$6),OR(클레임조회!$C$7="",$D1883=클레임조회!$C$7),OR(클레임조회!$C$8="",$E1883=클레임조회!$C$8),OR(클레임조회!$C$9="",$F1883=클레임조회!$C$9),OR(클레임조회!$C$10="",ISNUMBER(SEARCH(클레임조회!$C$10,$C1883&amp;" "&amp;$F1883&amp;" "&amp;$G1883&amp;" "&amp;$H1883)))),COUNT(O$1:O1882)+1,"")</f>
        <v/>
      </c>
      <c r="P1883" s="0" t="str">
        <f aca="false">IF(AND(TRIM(C1883)&lt;&gt;"",COUNTIF(C$2:C1883,C1883)=1),MAX(P$1:P1882)+1,"")</f>
        <v/>
      </c>
      <c r="Q1883" s="0" t="str">
        <f aca="false">IF(AND(TRIM(F1883)&lt;&gt;"",COUNTIF(F$2:F1883,F1883)=1),MAX(Q$1:Q1882)+1,"")</f>
        <v/>
      </c>
    </row>
    <row r="1884" customFormat="false" ht="15" hidden="false" customHeight="false" outlineLevel="0" collapsed="false">
      <c r="A1884" s="9"/>
      <c r="B1884" s="10"/>
      <c r="C1884" s="11"/>
      <c r="D1884" s="11"/>
      <c r="E1884" s="11"/>
      <c r="F1884" s="11"/>
      <c r="G1884" s="12"/>
      <c r="H1884" s="12"/>
      <c r="I1884" s="10"/>
      <c r="J1884" s="12"/>
      <c r="K1884" s="13" t="str">
        <f aca="false">IF(ISNUMBER(B1884),YEAR(B1884),"")</f>
        <v/>
      </c>
      <c r="L1884" s="13" t="str">
        <f aca="false">IF(ISNUMBER(B1884),MONTH(B1884),"")</f>
        <v/>
      </c>
      <c r="M1884" s="13" t="str">
        <f aca="false">IF(AND(ISNUMBER(B1884),ISNUMBER(I1884)),B1884-I1884+1,"")</f>
        <v/>
      </c>
      <c r="N1884" s="14" t="str">
        <f aca="false">IF(B1884="","",IF(M1884="","시작일 미입력",IF(M1884&lt;1,"시작일 이전(확인)",IF(M1884=1,"1일째",IF(M1884=2,"2일째",IF(M1884=3,"3일째",IF(M1884&lt;=7,"일주일 이내",IF(M1884&lt;=14,"이주일 이내","15일 이후"))))))))</f>
        <v/>
      </c>
      <c r="O1884" s="0" t="str">
        <f aca="false">IF(AND(COUNTA($A1884:$J1884)&gt;0,OR(클레임조회!$C$4="",AND(ISNUMBER($B1884),$B1884&gt;=클레임조회!$C$4)),OR(클레임조회!$C$5="",AND(ISNUMBER($B1884),$B1884&lt;=클레임조회!$C$5)),OR(클레임조회!$C$6="",$C1884=클레임조회!$C$6),OR(클레임조회!$C$7="",$D1884=클레임조회!$C$7),OR(클레임조회!$C$8="",$E1884=클레임조회!$C$8),OR(클레임조회!$C$9="",$F1884=클레임조회!$C$9),OR(클레임조회!$C$10="",ISNUMBER(SEARCH(클레임조회!$C$10,$C1884&amp;" "&amp;$F1884&amp;" "&amp;$G1884&amp;" "&amp;$H1884)))),COUNT(O$1:O1883)+1,"")</f>
        <v/>
      </c>
      <c r="P1884" s="0" t="str">
        <f aca="false">IF(AND(TRIM(C1884)&lt;&gt;"",COUNTIF(C$2:C1884,C1884)=1),MAX(P$1:P1883)+1,"")</f>
        <v/>
      </c>
      <c r="Q1884" s="0" t="str">
        <f aca="false">IF(AND(TRIM(F1884)&lt;&gt;"",COUNTIF(F$2:F1884,F1884)=1),MAX(Q$1:Q1883)+1,"")</f>
        <v/>
      </c>
    </row>
    <row r="1885" customFormat="false" ht="15" hidden="false" customHeight="false" outlineLevel="0" collapsed="false">
      <c r="A1885" s="9"/>
      <c r="B1885" s="10"/>
      <c r="C1885" s="11"/>
      <c r="D1885" s="11"/>
      <c r="E1885" s="11"/>
      <c r="F1885" s="11"/>
      <c r="G1885" s="12"/>
      <c r="H1885" s="12"/>
      <c r="I1885" s="10"/>
      <c r="J1885" s="12"/>
      <c r="K1885" s="13" t="str">
        <f aca="false">IF(ISNUMBER(B1885),YEAR(B1885),"")</f>
        <v/>
      </c>
      <c r="L1885" s="13" t="str">
        <f aca="false">IF(ISNUMBER(B1885),MONTH(B1885),"")</f>
        <v/>
      </c>
      <c r="M1885" s="13" t="str">
        <f aca="false">IF(AND(ISNUMBER(B1885),ISNUMBER(I1885)),B1885-I1885+1,"")</f>
        <v/>
      </c>
      <c r="N1885" s="14" t="str">
        <f aca="false">IF(B1885="","",IF(M1885="","시작일 미입력",IF(M1885&lt;1,"시작일 이전(확인)",IF(M1885=1,"1일째",IF(M1885=2,"2일째",IF(M1885=3,"3일째",IF(M1885&lt;=7,"일주일 이내",IF(M1885&lt;=14,"이주일 이내","15일 이후"))))))))</f>
        <v/>
      </c>
      <c r="O1885" s="0" t="str">
        <f aca="false">IF(AND(COUNTA($A1885:$J1885)&gt;0,OR(클레임조회!$C$4="",AND(ISNUMBER($B1885),$B1885&gt;=클레임조회!$C$4)),OR(클레임조회!$C$5="",AND(ISNUMBER($B1885),$B1885&lt;=클레임조회!$C$5)),OR(클레임조회!$C$6="",$C1885=클레임조회!$C$6),OR(클레임조회!$C$7="",$D1885=클레임조회!$C$7),OR(클레임조회!$C$8="",$E1885=클레임조회!$C$8),OR(클레임조회!$C$9="",$F1885=클레임조회!$C$9),OR(클레임조회!$C$10="",ISNUMBER(SEARCH(클레임조회!$C$10,$C1885&amp;" "&amp;$F1885&amp;" "&amp;$G1885&amp;" "&amp;$H1885)))),COUNT(O$1:O1884)+1,"")</f>
        <v/>
      </c>
      <c r="P1885" s="0" t="str">
        <f aca="false">IF(AND(TRIM(C1885)&lt;&gt;"",COUNTIF(C$2:C1885,C1885)=1),MAX(P$1:P1884)+1,"")</f>
        <v/>
      </c>
      <c r="Q1885" s="0" t="str">
        <f aca="false">IF(AND(TRIM(F1885)&lt;&gt;"",COUNTIF(F$2:F1885,F1885)=1),MAX(Q$1:Q1884)+1,"")</f>
        <v/>
      </c>
    </row>
    <row r="1886" customFormat="false" ht="15" hidden="false" customHeight="false" outlineLevel="0" collapsed="false">
      <c r="A1886" s="9"/>
      <c r="B1886" s="10"/>
      <c r="C1886" s="11"/>
      <c r="D1886" s="11"/>
      <c r="E1886" s="11"/>
      <c r="F1886" s="11"/>
      <c r="G1886" s="12"/>
      <c r="H1886" s="12"/>
      <c r="I1886" s="10"/>
      <c r="J1886" s="12"/>
      <c r="K1886" s="13" t="str">
        <f aca="false">IF(ISNUMBER(B1886),YEAR(B1886),"")</f>
        <v/>
      </c>
      <c r="L1886" s="13" t="str">
        <f aca="false">IF(ISNUMBER(B1886),MONTH(B1886),"")</f>
        <v/>
      </c>
      <c r="M1886" s="13" t="str">
        <f aca="false">IF(AND(ISNUMBER(B1886),ISNUMBER(I1886)),B1886-I1886+1,"")</f>
        <v/>
      </c>
      <c r="N1886" s="14" t="str">
        <f aca="false">IF(B1886="","",IF(M1886="","시작일 미입력",IF(M1886&lt;1,"시작일 이전(확인)",IF(M1886=1,"1일째",IF(M1886=2,"2일째",IF(M1886=3,"3일째",IF(M1886&lt;=7,"일주일 이내",IF(M1886&lt;=14,"이주일 이내","15일 이후"))))))))</f>
        <v/>
      </c>
      <c r="O1886" s="0" t="str">
        <f aca="false">IF(AND(COUNTA($A1886:$J1886)&gt;0,OR(클레임조회!$C$4="",AND(ISNUMBER($B1886),$B1886&gt;=클레임조회!$C$4)),OR(클레임조회!$C$5="",AND(ISNUMBER($B1886),$B1886&lt;=클레임조회!$C$5)),OR(클레임조회!$C$6="",$C1886=클레임조회!$C$6),OR(클레임조회!$C$7="",$D1886=클레임조회!$C$7),OR(클레임조회!$C$8="",$E1886=클레임조회!$C$8),OR(클레임조회!$C$9="",$F1886=클레임조회!$C$9),OR(클레임조회!$C$10="",ISNUMBER(SEARCH(클레임조회!$C$10,$C1886&amp;" "&amp;$F1886&amp;" "&amp;$G1886&amp;" "&amp;$H1886)))),COUNT(O$1:O1885)+1,"")</f>
        <v/>
      </c>
      <c r="P1886" s="0" t="str">
        <f aca="false">IF(AND(TRIM(C1886)&lt;&gt;"",COUNTIF(C$2:C1886,C1886)=1),MAX(P$1:P1885)+1,"")</f>
        <v/>
      </c>
      <c r="Q1886" s="0" t="str">
        <f aca="false">IF(AND(TRIM(F1886)&lt;&gt;"",COUNTIF(F$2:F1886,F1886)=1),MAX(Q$1:Q1885)+1,"")</f>
        <v/>
      </c>
    </row>
    <row r="1887" customFormat="false" ht="15" hidden="false" customHeight="false" outlineLevel="0" collapsed="false">
      <c r="A1887" s="9"/>
      <c r="B1887" s="10"/>
      <c r="C1887" s="11"/>
      <c r="D1887" s="11"/>
      <c r="E1887" s="11"/>
      <c r="F1887" s="11"/>
      <c r="G1887" s="12"/>
      <c r="H1887" s="12"/>
      <c r="I1887" s="10"/>
      <c r="J1887" s="12"/>
      <c r="K1887" s="13" t="str">
        <f aca="false">IF(ISNUMBER(B1887),YEAR(B1887),"")</f>
        <v/>
      </c>
      <c r="L1887" s="13" t="str">
        <f aca="false">IF(ISNUMBER(B1887),MONTH(B1887),"")</f>
        <v/>
      </c>
      <c r="M1887" s="13" t="str">
        <f aca="false">IF(AND(ISNUMBER(B1887),ISNUMBER(I1887)),B1887-I1887+1,"")</f>
        <v/>
      </c>
      <c r="N1887" s="14" t="str">
        <f aca="false">IF(B1887="","",IF(M1887="","시작일 미입력",IF(M1887&lt;1,"시작일 이전(확인)",IF(M1887=1,"1일째",IF(M1887=2,"2일째",IF(M1887=3,"3일째",IF(M1887&lt;=7,"일주일 이내",IF(M1887&lt;=14,"이주일 이내","15일 이후"))))))))</f>
        <v/>
      </c>
      <c r="O1887" s="0" t="str">
        <f aca="false">IF(AND(COUNTA($A1887:$J1887)&gt;0,OR(클레임조회!$C$4="",AND(ISNUMBER($B1887),$B1887&gt;=클레임조회!$C$4)),OR(클레임조회!$C$5="",AND(ISNUMBER($B1887),$B1887&lt;=클레임조회!$C$5)),OR(클레임조회!$C$6="",$C1887=클레임조회!$C$6),OR(클레임조회!$C$7="",$D1887=클레임조회!$C$7),OR(클레임조회!$C$8="",$E1887=클레임조회!$C$8),OR(클레임조회!$C$9="",$F1887=클레임조회!$C$9),OR(클레임조회!$C$10="",ISNUMBER(SEARCH(클레임조회!$C$10,$C1887&amp;" "&amp;$F1887&amp;" "&amp;$G1887&amp;" "&amp;$H1887)))),COUNT(O$1:O1886)+1,"")</f>
        <v/>
      </c>
      <c r="P1887" s="0" t="str">
        <f aca="false">IF(AND(TRIM(C1887)&lt;&gt;"",COUNTIF(C$2:C1887,C1887)=1),MAX(P$1:P1886)+1,"")</f>
        <v/>
      </c>
      <c r="Q1887" s="0" t="str">
        <f aca="false">IF(AND(TRIM(F1887)&lt;&gt;"",COUNTIF(F$2:F1887,F1887)=1),MAX(Q$1:Q1886)+1,"")</f>
        <v/>
      </c>
    </row>
    <row r="1888" customFormat="false" ht="15" hidden="false" customHeight="false" outlineLevel="0" collapsed="false">
      <c r="A1888" s="9"/>
      <c r="B1888" s="10"/>
      <c r="C1888" s="11"/>
      <c r="D1888" s="11"/>
      <c r="E1888" s="11"/>
      <c r="F1888" s="11"/>
      <c r="G1888" s="12"/>
      <c r="H1888" s="12"/>
      <c r="I1888" s="10"/>
      <c r="J1888" s="12"/>
      <c r="K1888" s="13" t="str">
        <f aca="false">IF(ISNUMBER(B1888),YEAR(B1888),"")</f>
        <v/>
      </c>
      <c r="L1888" s="13" t="str">
        <f aca="false">IF(ISNUMBER(B1888),MONTH(B1888),"")</f>
        <v/>
      </c>
      <c r="M1888" s="13" t="str">
        <f aca="false">IF(AND(ISNUMBER(B1888),ISNUMBER(I1888)),B1888-I1888+1,"")</f>
        <v/>
      </c>
      <c r="N1888" s="14" t="str">
        <f aca="false">IF(B1888="","",IF(M1888="","시작일 미입력",IF(M1888&lt;1,"시작일 이전(확인)",IF(M1888=1,"1일째",IF(M1888=2,"2일째",IF(M1888=3,"3일째",IF(M1888&lt;=7,"일주일 이내",IF(M1888&lt;=14,"이주일 이내","15일 이후"))))))))</f>
        <v/>
      </c>
      <c r="O1888" s="0" t="str">
        <f aca="false">IF(AND(COUNTA($A1888:$J1888)&gt;0,OR(클레임조회!$C$4="",AND(ISNUMBER($B1888),$B1888&gt;=클레임조회!$C$4)),OR(클레임조회!$C$5="",AND(ISNUMBER($B1888),$B1888&lt;=클레임조회!$C$5)),OR(클레임조회!$C$6="",$C1888=클레임조회!$C$6),OR(클레임조회!$C$7="",$D1888=클레임조회!$C$7),OR(클레임조회!$C$8="",$E1888=클레임조회!$C$8),OR(클레임조회!$C$9="",$F1888=클레임조회!$C$9),OR(클레임조회!$C$10="",ISNUMBER(SEARCH(클레임조회!$C$10,$C1888&amp;" "&amp;$F1888&amp;" "&amp;$G1888&amp;" "&amp;$H1888)))),COUNT(O$1:O1887)+1,"")</f>
        <v/>
      </c>
      <c r="P1888" s="0" t="str">
        <f aca="false">IF(AND(TRIM(C1888)&lt;&gt;"",COUNTIF(C$2:C1888,C1888)=1),MAX(P$1:P1887)+1,"")</f>
        <v/>
      </c>
      <c r="Q1888" s="0" t="str">
        <f aca="false">IF(AND(TRIM(F1888)&lt;&gt;"",COUNTIF(F$2:F1888,F1888)=1),MAX(Q$1:Q1887)+1,"")</f>
        <v/>
      </c>
    </row>
    <row r="1889" customFormat="false" ht="15" hidden="false" customHeight="false" outlineLevel="0" collapsed="false">
      <c r="A1889" s="9"/>
      <c r="B1889" s="10"/>
      <c r="C1889" s="11"/>
      <c r="D1889" s="11"/>
      <c r="E1889" s="11"/>
      <c r="F1889" s="11"/>
      <c r="G1889" s="12"/>
      <c r="H1889" s="12"/>
      <c r="I1889" s="10"/>
      <c r="J1889" s="12"/>
      <c r="K1889" s="13" t="str">
        <f aca="false">IF(ISNUMBER(B1889),YEAR(B1889),"")</f>
        <v/>
      </c>
      <c r="L1889" s="13" t="str">
        <f aca="false">IF(ISNUMBER(B1889),MONTH(B1889),"")</f>
        <v/>
      </c>
      <c r="M1889" s="13" t="str">
        <f aca="false">IF(AND(ISNUMBER(B1889),ISNUMBER(I1889)),B1889-I1889+1,"")</f>
        <v/>
      </c>
      <c r="N1889" s="14" t="str">
        <f aca="false">IF(B1889="","",IF(M1889="","시작일 미입력",IF(M1889&lt;1,"시작일 이전(확인)",IF(M1889=1,"1일째",IF(M1889=2,"2일째",IF(M1889=3,"3일째",IF(M1889&lt;=7,"일주일 이내",IF(M1889&lt;=14,"이주일 이내","15일 이후"))))))))</f>
        <v/>
      </c>
      <c r="O1889" s="0" t="str">
        <f aca="false">IF(AND(COUNTA($A1889:$J1889)&gt;0,OR(클레임조회!$C$4="",AND(ISNUMBER($B1889),$B1889&gt;=클레임조회!$C$4)),OR(클레임조회!$C$5="",AND(ISNUMBER($B1889),$B1889&lt;=클레임조회!$C$5)),OR(클레임조회!$C$6="",$C1889=클레임조회!$C$6),OR(클레임조회!$C$7="",$D1889=클레임조회!$C$7),OR(클레임조회!$C$8="",$E1889=클레임조회!$C$8),OR(클레임조회!$C$9="",$F1889=클레임조회!$C$9),OR(클레임조회!$C$10="",ISNUMBER(SEARCH(클레임조회!$C$10,$C1889&amp;" "&amp;$F1889&amp;" "&amp;$G1889&amp;" "&amp;$H1889)))),COUNT(O$1:O1888)+1,"")</f>
        <v/>
      </c>
      <c r="P1889" s="0" t="str">
        <f aca="false">IF(AND(TRIM(C1889)&lt;&gt;"",COUNTIF(C$2:C1889,C1889)=1),MAX(P$1:P1888)+1,"")</f>
        <v/>
      </c>
      <c r="Q1889" s="0" t="str">
        <f aca="false">IF(AND(TRIM(F1889)&lt;&gt;"",COUNTIF(F$2:F1889,F1889)=1),MAX(Q$1:Q1888)+1,"")</f>
        <v/>
      </c>
    </row>
    <row r="1890" customFormat="false" ht="15" hidden="false" customHeight="false" outlineLevel="0" collapsed="false">
      <c r="A1890" s="9"/>
      <c r="B1890" s="10"/>
      <c r="C1890" s="11"/>
      <c r="D1890" s="11"/>
      <c r="E1890" s="11"/>
      <c r="F1890" s="11"/>
      <c r="G1890" s="12"/>
      <c r="H1890" s="12"/>
      <c r="I1890" s="10"/>
      <c r="J1890" s="12"/>
      <c r="K1890" s="13" t="str">
        <f aca="false">IF(ISNUMBER(B1890),YEAR(B1890),"")</f>
        <v/>
      </c>
      <c r="L1890" s="13" t="str">
        <f aca="false">IF(ISNUMBER(B1890),MONTH(B1890),"")</f>
        <v/>
      </c>
      <c r="M1890" s="13" t="str">
        <f aca="false">IF(AND(ISNUMBER(B1890),ISNUMBER(I1890)),B1890-I1890+1,"")</f>
        <v/>
      </c>
      <c r="N1890" s="14" t="str">
        <f aca="false">IF(B1890="","",IF(M1890="","시작일 미입력",IF(M1890&lt;1,"시작일 이전(확인)",IF(M1890=1,"1일째",IF(M1890=2,"2일째",IF(M1890=3,"3일째",IF(M1890&lt;=7,"일주일 이내",IF(M1890&lt;=14,"이주일 이내","15일 이후"))))))))</f>
        <v/>
      </c>
      <c r="O1890" s="0" t="str">
        <f aca="false">IF(AND(COUNTA($A1890:$J1890)&gt;0,OR(클레임조회!$C$4="",AND(ISNUMBER($B1890),$B1890&gt;=클레임조회!$C$4)),OR(클레임조회!$C$5="",AND(ISNUMBER($B1890),$B1890&lt;=클레임조회!$C$5)),OR(클레임조회!$C$6="",$C1890=클레임조회!$C$6),OR(클레임조회!$C$7="",$D1890=클레임조회!$C$7),OR(클레임조회!$C$8="",$E1890=클레임조회!$C$8),OR(클레임조회!$C$9="",$F1890=클레임조회!$C$9),OR(클레임조회!$C$10="",ISNUMBER(SEARCH(클레임조회!$C$10,$C1890&amp;" "&amp;$F1890&amp;" "&amp;$G1890&amp;" "&amp;$H1890)))),COUNT(O$1:O1889)+1,"")</f>
        <v/>
      </c>
      <c r="P1890" s="0" t="str">
        <f aca="false">IF(AND(TRIM(C1890)&lt;&gt;"",COUNTIF(C$2:C1890,C1890)=1),MAX(P$1:P1889)+1,"")</f>
        <v/>
      </c>
      <c r="Q1890" s="0" t="str">
        <f aca="false">IF(AND(TRIM(F1890)&lt;&gt;"",COUNTIF(F$2:F1890,F1890)=1),MAX(Q$1:Q1889)+1,"")</f>
        <v/>
      </c>
    </row>
    <row r="1891" customFormat="false" ht="15" hidden="false" customHeight="false" outlineLevel="0" collapsed="false">
      <c r="A1891" s="9"/>
      <c r="B1891" s="10"/>
      <c r="C1891" s="11"/>
      <c r="D1891" s="11"/>
      <c r="E1891" s="11"/>
      <c r="F1891" s="11"/>
      <c r="G1891" s="12"/>
      <c r="H1891" s="12"/>
      <c r="I1891" s="10"/>
      <c r="J1891" s="12"/>
      <c r="K1891" s="13" t="str">
        <f aca="false">IF(ISNUMBER(B1891),YEAR(B1891),"")</f>
        <v/>
      </c>
      <c r="L1891" s="13" t="str">
        <f aca="false">IF(ISNUMBER(B1891),MONTH(B1891),"")</f>
        <v/>
      </c>
      <c r="M1891" s="13" t="str">
        <f aca="false">IF(AND(ISNUMBER(B1891),ISNUMBER(I1891)),B1891-I1891+1,"")</f>
        <v/>
      </c>
      <c r="N1891" s="14" t="str">
        <f aca="false">IF(B1891="","",IF(M1891="","시작일 미입력",IF(M1891&lt;1,"시작일 이전(확인)",IF(M1891=1,"1일째",IF(M1891=2,"2일째",IF(M1891=3,"3일째",IF(M1891&lt;=7,"일주일 이내",IF(M1891&lt;=14,"이주일 이내","15일 이후"))))))))</f>
        <v/>
      </c>
      <c r="O1891" s="0" t="str">
        <f aca="false">IF(AND(COUNTA($A1891:$J1891)&gt;0,OR(클레임조회!$C$4="",AND(ISNUMBER($B1891),$B1891&gt;=클레임조회!$C$4)),OR(클레임조회!$C$5="",AND(ISNUMBER($B1891),$B1891&lt;=클레임조회!$C$5)),OR(클레임조회!$C$6="",$C1891=클레임조회!$C$6),OR(클레임조회!$C$7="",$D1891=클레임조회!$C$7),OR(클레임조회!$C$8="",$E1891=클레임조회!$C$8),OR(클레임조회!$C$9="",$F1891=클레임조회!$C$9),OR(클레임조회!$C$10="",ISNUMBER(SEARCH(클레임조회!$C$10,$C1891&amp;" "&amp;$F1891&amp;" "&amp;$G1891&amp;" "&amp;$H1891)))),COUNT(O$1:O1890)+1,"")</f>
        <v/>
      </c>
      <c r="P1891" s="0" t="str">
        <f aca="false">IF(AND(TRIM(C1891)&lt;&gt;"",COUNTIF(C$2:C1891,C1891)=1),MAX(P$1:P1890)+1,"")</f>
        <v/>
      </c>
      <c r="Q1891" s="0" t="str">
        <f aca="false">IF(AND(TRIM(F1891)&lt;&gt;"",COUNTIF(F$2:F1891,F1891)=1),MAX(Q$1:Q1890)+1,"")</f>
        <v/>
      </c>
    </row>
    <row r="1892" customFormat="false" ht="15" hidden="false" customHeight="false" outlineLevel="0" collapsed="false">
      <c r="A1892" s="9"/>
      <c r="B1892" s="10"/>
      <c r="C1892" s="11"/>
      <c r="D1892" s="11"/>
      <c r="E1892" s="11"/>
      <c r="F1892" s="11"/>
      <c r="G1892" s="12"/>
      <c r="H1892" s="12"/>
      <c r="I1892" s="10"/>
      <c r="J1892" s="12"/>
      <c r="K1892" s="13" t="str">
        <f aca="false">IF(ISNUMBER(B1892),YEAR(B1892),"")</f>
        <v/>
      </c>
      <c r="L1892" s="13" t="str">
        <f aca="false">IF(ISNUMBER(B1892),MONTH(B1892),"")</f>
        <v/>
      </c>
      <c r="M1892" s="13" t="str">
        <f aca="false">IF(AND(ISNUMBER(B1892),ISNUMBER(I1892)),B1892-I1892+1,"")</f>
        <v/>
      </c>
      <c r="N1892" s="14" t="str">
        <f aca="false">IF(B1892="","",IF(M1892="","시작일 미입력",IF(M1892&lt;1,"시작일 이전(확인)",IF(M1892=1,"1일째",IF(M1892=2,"2일째",IF(M1892=3,"3일째",IF(M1892&lt;=7,"일주일 이내",IF(M1892&lt;=14,"이주일 이내","15일 이후"))))))))</f>
        <v/>
      </c>
      <c r="O1892" s="0" t="str">
        <f aca="false">IF(AND(COUNTA($A1892:$J1892)&gt;0,OR(클레임조회!$C$4="",AND(ISNUMBER($B1892),$B1892&gt;=클레임조회!$C$4)),OR(클레임조회!$C$5="",AND(ISNUMBER($B1892),$B1892&lt;=클레임조회!$C$5)),OR(클레임조회!$C$6="",$C1892=클레임조회!$C$6),OR(클레임조회!$C$7="",$D1892=클레임조회!$C$7),OR(클레임조회!$C$8="",$E1892=클레임조회!$C$8),OR(클레임조회!$C$9="",$F1892=클레임조회!$C$9),OR(클레임조회!$C$10="",ISNUMBER(SEARCH(클레임조회!$C$10,$C1892&amp;" "&amp;$F1892&amp;" "&amp;$G1892&amp;" "&amp;$H1892)))),COUNT(O$1:O1891)+1,"")</f>
        <v/>
      </c>
      <c r="P1892" s="0" t="str">
        <f aca="false">IF(AND(TRIM(C1892)&lt;&gt;"",COUNTIF(C$2:C1892,C1892)=1),MAX(P$1:P1891)+1,"")</f>
        <v/>
      </c>
      <c r="Q1892" s="0" t="str">
        <f aca="false">IF(AND(TRIM(F1892)&lt;&gt;"",COUNTIF(F$2:F1892,F1892)=1),MAX(Q$1:Q1891)+1,"")</f>
        <v/>
      </c>
    </row>
    <row r="1893" customFormat="false" ht="15" hidden="false" customHeight="false" outlineLevel="0" collapsed="false">
      <c r="A1893" s="9"/>
      <c r="B1893" s="10"/>
      <c r="C1893" s="11"/>
      <c r="D1893" s="11"/>
      <c r="E1893" s="11"/>
      <c r="F1893" s="11"/>
      <c r="G1893" s="12"/>
      <c r="H1893" s="12"/>
      <c r="I1893" s="10"/>
      <c r="J1893" s="12"/>
      <c r="K1893" s="13" t="str">
        <f aca="false">IF(ISNUMBER(B1893),YEAR(B1893),"")</f>
        <v/>
      </c>
      <c r="L1893" s="13" t="str">
        <f aca="false">IF(ISNUMBER(B1893),MONTH(B1893),"")</f>
        <v/>
      </c>
      <c r="M1893" s="13" t="str">
        <f aca="false">IF(AND(ISNUMBER(B1893),ISNUMBER(I1893)),B1893-I1893+1,"")</f>
        <v/>
      </c>
      <c r="N1893" s="14" t="str">
        <f aca="false">IF(B1893="","",IF(M1893="","시작일 미입력",IF(M1893&lt;1,"시작일 이전(확인)",IF(M1893=1,"1일째",IF(M1893=2,"2일째",IF(M1893=3,"3일째",IF(M1893&lt;=7,"일주일 이내",IF(M1893&lt;=14,"이주일 이내","15일 이후"))))))))</f>
        <v/>
      </c>
      <c r="O1893" s="0" t="str">
        <f aca="false">IF(AND(COUNTA($A1893:$J1893)&gt;0,OR(클레임조회!$C$4="",AND(ISNUMBER($B1893),$B1893&gt;=클레임조회!$C$4)),OR(클레임조회!$C$5="",AND(ISNUMBER($B1893),$B1893&lt;=클레임조회!$C$5)),OR(클레임조회!$C$6="",$C1893=클레임조회!$C$6),OR(클레임조회!$C$7="",$D1893=클레임조회!$C$7),OR(클레임조회!$C$8="",$E1893=클레임조회!$C$8),OR(클레임조회!$C$9="",$F1893=클레임조회!$C$9),OR(클레임조회!$C$10="",ISNUMBER(SEARCH(클레임조회!$C$10,$C1893&amp;" "&amp;$F1893&amp;" "&amp;$G1893&amp;" "&amp;$H1893)))),COUNT(O$1:O1892)+1,"")</f>
        <v/>
      </c>
      <c r="P1893" s="0" t="str">
        <f aca="false">IF(AND(TRIM(C1893)&lt;&gt;"",COUNTIF(C$2:C1893,C1893)=1),MAX(P$1:P1892)+1,"")</f>
        <v/>
      </c>
      <c r="Q1893" s="0" t="str">
        <f aca="false">IF(AND(TRIM(F1893)&lt;&gt;"",COUNTIF(F$2:F1893,F1893)=1),MAX(Q$1:Q1892)+1,"")</f>
        <v/>
      </c>
    </row>
    <row r="1894" customFormat="false" ht="15" hidden="false" customHeight="false" outlineLevel="0" collapsed="false">
      <c r="A1894" s="9"/>
      <c r="B1894" s="10"/>
      <c r="C1894" s="11"/>
      <c r="D1894" s="11"/>
      <c r="E1894" s="11"/>
      <c r="F1894" s="11"/>
      <c r="G1894" s="12"/>
      <c r="H1894" s="12"/>
      <c r="I1894" s="10"/>
      <c r="J1894" s="12"/>
      <c r="K1894" s="13" t="str">
        <f aca="false">IF(ISNUMBER(B1894),YEAR(B1894),"")</f>
        <v/>
      </c>
      <c r="L1894" s="13" t="str">
        <f aca="false">IF(ISNUMBER(B1894),MONTH(B1894),"")</f>
        <v/>
      </c>
      <c r="M1894" s="13" t="str">
        <f aca="false">IF(AND(ISNUMBER(B1894),ISNUMBER(I1894)),B1894-I1894+1,"")</f>
        <v/>
      </c>
      <c r="N1894" s="14" t="str">
        <f aca="false">IF(B1894="","",IF(M1894="","시작일 미입력",IF(M1894&lt;1,"시작일 이전(확인)",IF(M1894=1,"1일째",IF(M1894=2,"2일째",IF(M1894=3,"3일째",IF(M1894&lt;=7,"일주일 이내",IF(M1894&lt;=14,"이주일 이내","15일 이후"))))))))</f>
        <v/>
      </c>
      <c r="O1894" s="0" t="str">
        <f aca="false">IF(AND(COUNTA($A1894:$J1894)&gt;0,OR(클레임조회!$C$4="",AND(ISNUMBER($B1894),$B1894&gt;=클레임조회!$C$4)),OR(클레임조회!$C$5="",AND(ISNUMBER($B1894),$B1894&lt;=클레임조회!$C$5)),OR(클레임조회!$C$6="",$C1894=클레임조회!$C$6),OR(클레임조회!$C$7="",$D1894=클레임조회!$C$7),OR(클레임조회!$C$8="",$E1894=클레임조회!$C$8),OR(클레임조회!$C$9="",$F1894=클레임조회!$C$9),OR(클레임조회!$C$10="",ISNUMBER(SEARCH(클레임조회!$C$10,$C1894&amp;" "&amp;$F1894&amp;" "&amp;$G1894&amp;" "&amp;$H1894)))),COUNT(O$1:O1893)+1,"")</f>
        <v/>
      </c>
      <c r="P1894" s="0" t="str">
        <f aca="false">IF(AND(TRIM(C1894)&lt;&gt;"",COUNTIF(C$2:C1894,C1894)=1),MAX(P$1:P1893)+1,"")</f>
        <v/>
      </c>
      <c r="Q1894" s="0" t="str">
        <f aca="false">IF(AND(TRIM(F1894)&lt;&gt;"",COUNTIF(F$2:F1894,F1894)=1),MAX(Q$1:Q1893)+1,"")</f>
        <v/>
      </c>
    </row>
    <row r="1895" customFormat="false" ht="15" hidden="false" customHeight="false" outlineLevel="0" collapsed="false">
      <c r="A1895" s="9"/>
      <c r="B1895" s="10"/>
      <c r="C1895" s="11"/>
      <c r="D1895" s="11"/>
      <c r="E1895" s="11"/>
      <c r="F1895" s="11"/>
      <c r="G1895" s="12"/>
      <c r="H1895" s="12"/>
      <c r="I1895" s="10"/>
      <c r="J1895" s="12"/>
      <c r="K1895" s="13" t="str">
        <f aca="false">IF(ISNUMBER(B1895),YEAR(B1895),"")</f>
        <v/>
      </c>
      <c r="L1895" s="13" t="str">
        <f aca="false">IF(ISNUMBER(B1895),MONTH(B1895),"")</f>
        <v/>
      </c>
      <c r="M1895" s="13" t="str">
        <f aca="false">IF(AND(ISNUMBER(B1895),ISNUMBER(I1895)),B1895-I1895+1,"")</f>
        <v/>
      </c>
      <c r="N1895" s="14" t="str">
        <f aca="false">IF(B1895="","",IF(M1895="","시작일 미입력",IF(M1895&lt;1,"시작일 이전(확인)",IF(M1895=1,"1일째",IF(M1895=2,"2일째",IF(M1895=3,"3일째",IF(M1895&lt;=7,"일주일 이내",IF(M1895&lt;=14,"이주일 이내","15일 이후"))))))))</f>
        <v/>
      </c>
      <c r="O1895" s="0" t="str">
        <f aca="false">IF(AND(COUNTA($A1895:$J1895)&gt;0,OR(클레임조회!$C$4="",AND(ISNUMBER($B1895),$B1895&gt;=클레임조회!$C$4)),OR(클레임조회!$C$5="",AND(ISNUMBER($B1895),$B1895&lt;=클레임조회!$C$5)),OR(클레임조회!$C$6="",$C1895=클레임조회!$C$6),OR(클레임조회!$C$7="",$D1895=클레임조회!$C$7),OR(클레임조회!$C$8="",$E1895=클레임조회!$C$8),OR(클레임조회!$C$9="",$F1895=클레임조회!$C$9),OR(클레임조회!$C$10="",ISNUMBER(SEARCH(클레임조회!$C$10,$C1895&amp;" "&amp;$F1895&amp;" "&amp;$G1895&amp;" "&amp;$H1895)))),COUNT(O$1:O1894)+1,"")</f>
        <v/>
      </c>
      <c r="P1895" s="0" t="str">
        <f aca="false">IF(AND(TRIM(C1895)&lt;&gt;"",COUNTIF(C$2:C1895,C1895)=1),MAX(P$1:P1894)+1,"")</f>
        <v/>
      </c>
      <c r="Q1895" s="0" t="str">
        <f aca="false">IF(AND(TRIM(F1895)&lt;&gt;"",COUNTIF(F$2:F1895,F1895)=1),MAX(Q$1:Q1894)+1,"")</f>
        <v/>
      </c>
    </row>
    <row r="1896" customFormat="false" ht="15" hidden="false" customHeight="false" outlineLevel="0" collapsed="false">
      <c r="A1896" s="9"/>
      <c r="B1896" s="10"/>
      <c r="C1896" s="11"/>
      <c r="D1896" s="11"/>
      <c r="E1896" s="11"/>
      <c r="F1896" s="11"/>
      <c r="G1896" s="12"/>
      <c r="H1896" s="12"/>
      <c r="I1896" s="10"/>
      <c r="J1896" s="12"/>
      <c r="K1896" s="13" t="str">
        <f aca="false">IF(ISNUMBER(B1896),YEAR(B1896),"")</f>
        <v/>
      </c>
      <c r="L1896" s="13" t="str">
        <f aca="false">IF(ISNUMBER(B1896),MONTH(B1896),"")</f>
        <v/>
      </c>
      <c r="M1896" s="13" t="str">
        <f aca="false">IF(AND(ISNUMBER(B1896),ISNUMBER(I1896)),B1896-I1896+1,"")</f>
        <v/>
      </c>
      <c r="N1896" s="14" t="str">
        <f aca="false">IF(B1896="","",IF(M1896="","시작일 미입력",IF(M1896&lt;1,"시작일 이전(확인)",IF(M1896=1,"1일째",IF(M1896=2,"2일째",IF(M1896=3,"3일째",IF(M1896&lt;=7,"일주일 이내",IF(M1896&lt;=14,"이주일 이내","15일 이후"))))))))</f>
        <v/>
      </c>
      <c r="O1896" s="0" t="str">
        <f aca="false">IF(AND(COUNTA($A1896:$J1896)&gt;0,OR(클레임조회!$C$4="",AND(ISNUMBER($B1896),$B1896&gt;=클레임조회!$C$4)),OR(클레임조회!$C$5="",AND(ISNUMBER($B1896),$B1896&lt;=클레임조회!$C$5)),OR(클레임조회!$C$6="",$C1896=클레임조회!$C$6),OR(클레임조회!$C$7="",$D1896=클레임조회!$C$7),OR(클레임조회!$C$8="",$E1896=클레임조회!$C$8),OR(클레임조회!$C$9="",$F1896=클레임조회!$C$9),OR(클레임조회!$C$10="",ISNUMBER(SEARCH(클레임조회!$C$10,$C1896&amp;" "&amp;$F1896&amp;" "&amp;$G1896&amp;" "&amp;$H1896)))),COUNT(O$1:O1895)+1,"")</f>
        <v/>
      </c>
      <c r="P1896" s="0" t="str">
        <f aca="false">IF(AND(TRIM(C1896)&lt;&gt;"",COUNTIF(C$2:C1896,C1896)=1),MAX(P$1:P1895)+1,"")</f>
        <v/>
      </c>
      <c r="Q1896" s="0" t="str">
        <f aca="false">IF(AND(TRIM(F1896)&lt;&gt;"",COUNTIF(F$2:F1896,F1896)=1),MAX(Q$1:Q1895)+1,"")</f>
        <v/>
      </c>
    </row>
    <row r="1897" customFormat="false" ht="15" hidden="false" customHeight="false" outlineLevel="0" collapsed="false">
      <c r="A1897" s="9"/>
      <c r="B1897" s="10"/>
      <c r="C1897" s="11"/>
      <c r="D1897" s="11"/>
      <c r="E1897" s="11"/>
      <c r="F1897" s="11"/>
      <c r="G1897" s="12"/>
      <c r="H1897" s="12"/>
      <c r="I1897" s="10"/>
      <c r="J1897" s="12"/>
      <c r="K1897" s="13" t="str">
        <f aca="false">IF(ISNUMBER(B1897),YEAR(B1897),"")</f>
        <v/>
      </c>
      <c r="L1897" s="13" t="str">
        <f aca="false">IF(ISNUMBER(B1897),MONTH(B1897),"")</f>
        <v/>
      </c>
      <c r="M1897" s="13" t="str">
        <f aca="false">IF(AND(ISNUMBER(B1897),ISNUMBER(I1897)),B1897-I1897+1,"")</f>
        <v/>
      </c>
      <c r="N1897" s="14" t="str">
        <f aca="false">IF(B1897="","",IF(M1897="","시작일 미입력",IF(M1897&lt;1,"시작일 이전(확인)",IF(M1897=1,"1일째",IF(M1897=2,"2일째",IF(M1897=3,"3일째",IF(M1897&lt;=7,"일주일 이내",IF(M1897&lt;=14,"이주일 이내","15일 이후"))))))))</f>
        <v/>
      </c>
      <c r="O1897" s="0" t="str">
        <f aca="false">IF(AND(COUNTA($A1897:$J1897)&gt;0,OR(클레임조회!$C$4="",AND(ISNUMBER($B1897),$B1897&gt;=클레임조회!$C$4)),OR(클레임조회!$C$5="",AND(ISNUMBER($B1897),$B1897&lt;=클레임조회!$C$5)),OR(클레임조회!$C$6="",$C1897=클레임조회!$C$6),OR(클레임조회!$C$7="",$D1897=클레임조회!$C$7),OR(클레임조회!$C$8="",$E1897=클레임조회!$C$8),OR(클레임조회!$C$9="",$F1897=클레임조회!$C$9),OR(클레임조회!$C$10="",ISNUMBER(SEARCH(클레임조회!$C$10,$C1897&amp;" "&amp;$F1897&amp;" "&amp;$G1897&amp;" "&amp;$H1897)))),COUNT(O$1:O1896)+1,"")</f>
        <v/>
      </c>
      <c r="P1897" s="0" t="str">
        <f aca="false">IF(AND(TRIM(C1897)&lt;&gt;"",COUNTIF(C$2:C1897,C1897)=1),MAX(P$1:P1896)+1,"")</f>
        <v/>
      </c>
      <c r="Q1897" s="0" t="str">
        <f aca="false">IF(AND(TRIM(F1897)&lt;&gt;"",COUNTIF(F$2:F1897,F1897)=1),MAX(Q$1:Q1896)+1,"")</f>
        <v/>
      </c>
    </row>
    <row r="1898" customFormat="false" ht="15" hidden="false" customHeight="false" outlineLevel="0" collapsed="false">
      <c r="A1898" s="9"/>
      <c r="B1898" s="10"/>
      <c r="C1898" s="11"/>
      <c r="D1898" s="11"/>
      <c r="E1898" s="11"/>
      <c r="F1898" s="11"/>
      <c r="G1898" s="12"/>
      <c r="H1898" s="12"/>
      <c r="I1898" s="10"/>
      <c r="J1898" s="12"/>
      <c r="K1898" s="13" t="str">
        <f aca="false">IF(ISNUMBER(B1898),YEAR(B1898),"")</f>
        <v/>
      </c>
      <c r="L1898" s="13" t="str">
        <f aca="false">IF(ISNUMBER(B1898),MONTH(B1898),"")</f>
        <v/>
      </c>
      <c r="M1898" s="13" t="str">
        <f aca="false">IF(AND(ISNUMBER(B1898),ISNUMBER(I1898)),B1898-I1898+1,"")</f>
        <v/>
      </c>
      <c r="N1898" s="14" t="str">
        <f aca="false">IF(B1898="","",IF(M1898="","시작일 미입력",IF(M1898&lt;1,"시작일 이전(확인)",IF(M1898=1,"1일째",IF(M1898=2,"2일째",IF(M1898=3,"3일째",IF(M1898&lt;=7,"일주일 이내",IF(M1898&lt;=14,"이주일 이내","15일 이후"))))))))</f>
        <v/>
      </c>
      <c r="O1898" s="0" t="str">
        <f aca="false">IF(AND(COUNTA($A1898:$J1898)&gt;0,OR(클레임조회!$C$4="",AND(ISNUMBER($B1898),$B1898&gt;=클레임조회!$C$4)),OR(클레임조회!$C$5="",AND(ISNUMBER($B1898),$B1898&lt;=클레임조회!$C$5)),OR(클레임조회!$C$6="",$C1898=클레임조회!$C$6),OR(클레임조회!$C$7="",$D1898=클레임조회!$C$7),OR(클레임조회!$C$8="",$E1898=클레임조회!$C$8),OR(클레임조회!$C$9="",$F1898=클레임조회!$C$9),OR(클레임조회!$C$10="",ISNUMBER(SEARCH(클레임조회!$C$10,$C1898&amp;" "&amp;$F1898&amp;" "&amp;$G1898&amp;" "&amp;$H1898)))),COUNT(O$1:O1897)+1,"")</f>
        <v/>
      </c>
      <c r="P1898" s="0" t="str">
        <f aca="false">IF(AND(TRIM(C1898)&lt;&gt;"",COUNTIF(C$2:C1898,C1898)=1),MAX(P$1:P1897)+1,"")</f>
        <v/>
      </c>
      <c r="Q1898" s="0" t="str">
        <f aca="false">IF(AND(TRIM(F1898)&lt;&gt;"",COUNTIF(F$2:F1898,F1898)=1),MAX(Q$1:Q1897)+1,"")</f>
        <v/>
      </c>
    </row>
    <row r="1899" customFormat="false" ht="15" hidden="false" customHeight="false" outlineLevel="0" collapsed="false">
      <c r="A1899" s="9"/>
      <c r="B1899" s="10"/>
      <c r="C1899" s="11"/>
      <c r="D1899" s="11"/>
      <c r="E1899" s="11"/>
      <c r="F1899" s="11"/>
      <c r="G1899" s="12"/>
      <c r="H1899" s="12"/>
      <c r="I1899" s="10"/>
      <c r="J1899" s="12"/>
      <c r="K1899" s="13" t="str">
        <f aca="false">IF(ISNUMBER(B1899),YEAR(B1899),"")</f>
        <v/>
      </c>
      <c r="L1899" s="13" t="str">
        <f aca="false">IF(ISNUMBER(B1899),MONTH(B1899),"")</f>
        <v/>
      </c>
      <c r="M1899" s="13" t="str">
        <f aca="false">IF(AND(ISNUMBER(B1899),ISNUMBER(I1899)),B1899-I1899+1,"")</f>
        <v/>
      </c>
      <c r="N1899" s="14" t="str">
        <f aca="false">IF(B1899="","",IF(M1899="","시작일 미입력",IF(M1899&lt;1,"시작일 이전(확인)",IF(M1899=1,"1일째",IF(M1899=2,"2일째",IF(M1899=3,"3일째",IF(M1899&lt;=7,"일주일 이내",IF(M1899&lt;=14,"이주일 이내","15일 이후"))))))))</f>
        <v/>
      </c>
      <c r="O1899" s="0" t="str">
        <f aca="false">IF(AND(COUNTA($A1899:$J1899)&gt;0,OR(클레임조회!$C$4="",AND(ISNUMBER($B1899),$B1899&gt;=클레임조회!$C$4)),OR(클레임조회!$C$5="",AND(ISNUMBER($B1899),$B1899&lt;=클레임조회!$C$5)),OR(클레임조회!$C$6="",$C1899=클레임조회!$C$6),OR(클레임조회!$C$7="",$D1899=클레임조회!$C$7),OR(클레임조회!$C$8="",$E1899=클레임조회!$C$8),OR(클레임조회!$C$9="",$F1899=클레임조회!$C$9),OR(클레임조회!$C$10="",ISNUMBER(SEARCH(클레임조회!$C$10,$C1899&amp;" "&amp;$F1899&amp;" "&amp;$G1899&amp;" "&amp;$H1899)))),COUNT(O$1:O1898)+1,"")</f>
        <v/>
      </c>
      <c r="P1899" s="0" t="str">
        <f aca="false">IF(AND(TRIM(C1899)&lt;&gt;"",COUNTIF(C$2:C1899,C1899)=1),MAX(P$1:P1898)+1,"")</f>
        <v/>
      </c>
      <c r="Q1899" s="0" t="str">
        <f aca="false">IF(AND(TRIM(F1899)&lt;&gt;"",COUNTIF(F$2:F1899,F1899)=1),MAX(Q$1:Q1898)+1,"")</f>
        <v/>
      </c>
    </row>
    <row r="1900" customFormat="false" ht="15" hidden="false" customHeight="false" outlineLevel="0" collapsed="false">
      <c r="A1900" s="9"/>
      <c r="B1900" s="10"/>
      <c r="C1900" s="11"/>
      <c r="D1900" s="11"/>
      <c r="E1900" s="11"/>
      <c r="F1900" s="11"/>
      <c r="G1900" s="12"/>
      <c r="H1900" s="12"/>
      <c r="I1900" s="10"/>
      <c r="J1900" s="12"/>
      <c r="K1900" s="13" t="str">
        <f aca="false">IF(ISNUMBER(B1900),YEAR(B1900),"")</f>
        <v/>
      </c>
      <c r="L1900" s="13" t="str">
        <f aca="false">IF(ISNUMBER(B1900),MONTH(B1900),"")</f>
        <v/>
      </c>
      <c r="M1900" s="13" t="str">
        <f aca="false">IF(AND(ISNUMBER(B1900),ISNUMBER(I1900)),B1900-I1900+1,"")</f>
        <v/>
      </c>
      <c r="N1900" s="14" t="str">
        <f aca="false">IF(B1900="","",IF(M1900="","시작일 미입력",IF(M1900&lt;1,"시작일 이전(확인)",IF(M1900=1,"1일째",IF(M1900=2,"2일째",IF(M1900=3,"3일째",IF(M1900&lt;=7,"일주일 이내",IF(M1900&lt;=14,"이주일 이내","15일 이후"))))))))</f>
        <v/>
      </c>
      <c r="O1900" s="0" t="str">
        <f aca="false">IF(AND(COUNTA($A1900:$J1900)&gt;0,OR(클레임조회!$C$4="",AND(ISNUMBER($B1900),$B1900&gt;=클레임조회!$C$4)),OR(클레임조회!$C$5="",AND(ISNUMBER($B1900),$B1900&lt;=클레임조회!$C$5)),OR(클레임조회!$C$6="",$C1900=클레임조회!$C$6),OR(클레임조회!$C$7="",$D1900=클레임조회!$C$7),OR(클레임조회!$C$8="",$E1900=클레임조회!$C$8),OR(클레임조회!$C$9="",$F1900=클레임조회!$C$9),OR(클레임조회!$C$10="",ISNUMBER(SEARCH(클레임조회!$C$10,$C1900&amp;" "&amp;$F1900&amp;" "&amp;$G1900&amp;" "&amp;$H1900)))),COUNT(O$1:O1899)+1,"")</f>
        <v/>
      </c>
      <c r="P1900" s="0" t="str">
        <f aca="false">IF(AND(TRIM(C1900)&lt;&gt;"",COUNTIF(C$2:C1900,C1900)=1),MAX(P$1:P1899)+1,"")</f>
        <v/>
      </c>
      <c r="Q1900" s="0" t="str">
        <f aca="false">IF(AND(TRIM(F1900)&lt;&gt;"",COUNTIF(F$2:F1900,F1900)=1),MAX(Q$1:Q1899)+1,"")</f>
        <v/>
      </c>
    </row>
    <row r="1901" customFormat="false" ht="15" hidden="false" customHeight="false" outlineLevel="0" collapsed="false">
      <c r="A1901" s="9"/>
      <c r="B1901" s="10"/>
      <c r="C1901" s="11"/>
      <c r="D1901" s="11"/>
      <c r="E1901" s="11"/>
      <c r="F1901" s="11"/>
      <c r="G1901" s="12"/>
      <c r="H1901" s="12"/>
      <c r="I1901" s="10"/>
      <c r="J1901" s="12"/>
      <c r="K1901" s="13" t="str">
        <f aca="false">IF(ISNUMBER(B1901),YEAR(B1901),"")</f>
        <v/>
      </c>
      <c r="L1901" s="13" t="str">
        <f aca="false">IF(ISNUMBER(B1901),MONTH(B1901),"")</f>
        <v/>
      </c>
      <c r="M1901" s="13" t="str">
        <f aca="false">IF(AND(ISNUMBER(B1901),ISNUMBER(I1901)),B1901-I1901+1,"")</f>
        <v/>
      </c>
      <c r="N1901" s="14" t="str">
        <f aca="false">IF(B1901="","",IF(M1901="","시작일 미입력",IF(M1901&lt;1,"시작일 이전(확인)",IF(M1901=1,"1일째",IF(M1901=2,"2일째",IF(M1901=3,"3일째",IF(M1901&lt;=7,"일주일 이내",IF(M1901&lt;=14,"이주일 이내","15일 이후"))))))))</f>
        <v/>
      </c>
      <c r="O1901" s="0" t="str">
        <f aca="false">IF(AND(COUNTA($A1901:$J1901)&gt;0,OR(클레임조회!$C$4="",AND(ISNUMBER($B1901),$B1901&gt;=클레임조회!$C$4)),OR(클레임조회!$C$5="",AND(ISNUMBER($B1901),$B1901&lt;=클레임조회!$C$5)),OR(클레임조회!$C$6="",$C1901=클레임조회!$C$6),OR(클레임조회!$C$7="",$D1901=클레임조회!$C$7),OR(클레임조회!$C$8="",$E1901=클레임조회!$C$8),OR(클레임조회!$C$9="",$F1901=클레임조회!$C$9),OR(클레임조회!$C$10="",ISNUMBER(SEARCH(클레임조회!$C$10,$C1901&amp;" "&amp;$F1901&amp;" "&amp;$G1901&amp;" "&amp;$H1901)))),COUNT(O$1:O1900)+1,"")</f>
        <v/>
      </c>
      <c r="P1901" s="0" t="str">
        <f aca="false">IF(AND(TRIM(C1901)&lt;&gt;"",COUNTIF(C$2:C1901,C1901)=1),MAX(P$1:P1900)+1,"")</f>
        <v/>
      </c>
      <c r="Q1901" s="0" t="str">
        <f aca="false">IF(AND(TRIM(F1901)&lt;&gt;"",COUNTIF(F$2:F1901,F1901)=1),MAX(Q$1:Q1900)+1,"")</f>
        <v/>
      </c>
    </row>
    <row r="1902" customFormat="false" ht="15" hidden="false" customHeight="false" outlineLevel="0" collapsed="false">
      <c r="A1902" s="9"/>
      <c r="B1902" s="10"/>
      <c r="C1902" s="11"/>
      <c r="D1902" s="11"/>
      <c r="E1902" s="11"/>
      <c r="F1902" s="11"/>
      <c r="G1902" s="12"/>
      <c r="H1902" s="12"/>
      <c r="I1902" s="10"/>
      <c r="J1902" s="12"/>
      <c r="K1902" s="13" t="str">
        <f aca="false">IF(ISNUMBER(B1902),YEAR(B1902),"")</f>
        <v/>
      </c>
      <c r="L1902" s="13" t="str">
        <f aca="false">IF(ISNUMBER(B1902),MONTH(B1902),"")</f>
        <v/>
      </c>
      <c r="M1902" s="13" t="str">
        <f aca="false">IF(AND(ISNUMBER(B1902),ISNUMBER(I1902)),B1902-I1902+1,"")</f>
        <v/>
      </c>
      <c r="N1902" s="14" t="str">
        <f aca="false">IF(B1902="","",IF(M1902="","시작일 미입력",IF(M1902&lt;1,"시작일 이전(확인)",IF(M1902=1,"1일째",IF(M1902=2,"2일째",IF(M1902=3,"3일째",IF(M1902&lt;=7,"일주일 이내",IF(M1902&lt;=14,"이주일 이내","15일 이후"))))))))</f>
        <v/>
      </c>
      <c r="O1902" s="0" t="str">
        <f aca="false">IF(AND(COUNTA($A1902:$J1902)&gt;0,OR(클레임조회!$C$4="",AND(ISNUMBER($B1902),$B1902&gt;=클레임조회!$C$4)),OR(클레임조회!$C$5="",AND(ISNUMBER($B1902),$B1902&lt;=클레임조회!$C$5)),OR(클레임조회!$C$6="",$C1902=클레임조회!$C$6),OR(클레임조회!$C$7="",$D1902=클레임조회!$C$7),OR(클레임조회!$C$8="",$E1902=클레임조회!$C$8),OR(클레임조회!$C$9="",$F1902=클레임조회!$C$9),OR(클레임조회!$C$10="",ISNUMBER(SEARCH(클레임조회!$C$10,$C1902&amp;" "&amp;$F1902&amp;" "&amp;$G1902&amp;" "&amp;$H1902)))),COUNT(O$1:O1901)+1,"")</f>
        <v/>
      </c>
      <c r="P1902" s="0" t="str">
        <f aca="false">IF(AND(TRIM(C1902)&lt;&gt;"",COUNTIF(C$2:C1902,C1902)=1),MAX(P$1:P1901)+1,"")</f>
        <v/>
      </c>
      <c r="Q1902" s="0" t="str">
        <f aca="false">IF(AND(TRIM(F1902)&lt;&gt;"",COUNTIF(F$2:F1902,F1902)=1),MAX(Q$1:Q1901)+1,"")</f>
        <v/>
      </c>
    </row>
    <row r="1903" customFormat="false" ht="15" hidden="false" customHeight="false" outlineLevel="0" collapsed="false">
      <c r="A1903" s="9"/>
      <c r="B1903" s="10"/>
      <c r="C1903" s="11"/>
      <c r="D1903" s="11"/>
      <c r="E1903" s="11"/>
      <c r="F1903" s="11"/>
      <c r="G1903" s="12"/>
      <c r="H1903" s="12"/>
      <c r="I1903" s="10"/>
      <c r="J1903" s="12"/>
      <c r="K1903" s="13" t="str">
        <f aca="false">IF(ISNUMBER(B1903),YEAR(B1903),"")</f>
        <v/>
      </c>
      <c r="L1903" s="13" t="str">
        <f aca="false">IF(ISNUMBER(B1903),MONTH(B1903),"")</f>
        <v/>
      </c>
      <c r="M1903" s="13" t="str">
        <f aca="false">IF(AND(ISNUMBER(B1903),ISNUMBER(I1903)),B1903-I1903+1,"")</f>
        <v/>
      </c>
      <c r="N1903" s="14" t="str">
        <f aca="false">IF(B1903="","",IF(M1903="","시작일 미입력",IF(M1903&lt;1,"시작일 이전(확인)",IF(M1903=1,"1일째",IF(M1903=2,"2일째",IF(M1903=3,"3일째",IF(M1903&lt;=7,"일주일 이내",IF(M1903&lt;=14,"이주일 이내","15일 이후"))))))))</f>
        <v/>
      </c>
      <c r="O1903" s="0" t="str">
        <f aca="false">IF(AND(COUNTA($A1903:$J1903)&gt;0,OR(클레임조회!$C$4="",AND(ISNUMBER($B1903),$B1903&gt;=클레임조회!$C$4)),OR(클레임조회!$C$5="",AND(ISNUMBER($B1903),$B1903&lt;=클레임조회!$C$5)),OR(클레임조회!$C$6="",$C1903=클레임조회!$C$6),OR(클레임조회!$C$7="",$D1903=클레임조회!$C$7),OR(클레임조회!$C$8="",$E1903=클레임조회!$C$8),OR(클레임조회!$C$9="",$F1903=클레임조회!$C$9),OR(클레임조회!$C$10="",ISNUMBER(SEARCH(클레임조회!$C$10,$C1903&amp;" "&amp;$F1903&amp;" "&amp;$G1903&amp;" "&amp;$H1903)))),COUNT(O$1:O1902)+1,"")</f>
        <v/>
      </c>
      <c r="P1903" s="0" t="str">
        <f aca="false">IF(AND(TRIM(C1903)&lt;&gt;"",COUNTIF(C$2:C1903,C1903)=1),MAX(P$1:P1902)+1,"")</f>
        <v/>
      </c>
      <c r="Q1903" s="0" t="str">
        <f aca="false">IF(AND(TRIM(F1903)&lt;&gt;"",COUNTIF(F$2:F1903,F1903)=1),MAX(Q$1:Q1902)+1,"")</f>
        <v/>
      </c>
    </row>
    <row r="1904" customFormat="false" ht="15" hidden="false" customHeight="false" outlineLevel="0" collapsed="false">
      <c r="A1904" s="9"/>
      <c r="B1904" s="10"/>
      <c r="C1904" s="11"/>
      <c r="D1904" s="11"/>
      <c r="E1904" s="11"/>
      <c r="F1904" s="11"/>
      <c r="G1904" s="12"/>
      <c r="H1904" s="12"/>
      <c r="I1904" s="10"/>
      <c r="J1904" s="12"/>
      <c r="K1904" s="13" t="str">
        <f aca="false">IF(ISNUMBER(B1904),YEAR(B1904),"")</f>
        <v/>
      </c>
      <c r="L1904" s="13" t="str">
        <f aca="false">IF(ISNUMBER(B1904),MONTH(B1904),"")</f>
        <v/>
      </c>
      <c r="M1904" s="13" t="str">
        <f aca="false">IF(AND(ISNUMBER(B1904),ISNUMBER(I1904)),B1904-I1904+1,"")</f>
        <v/>
      </c>
      <c r="N1904" s="14" t="str">
        <f aca="false">IF(B1904="","",IF(M1904="","시작일 미입력",IF(M1904&lt;1,"시작일 이전(확인)",IF(M1904=1,"1일째",IF(M1904=2,"2일째",IF(M1904=3,"3일째",IF(M1904&lt;=7,"일주일 이내",IF(M1904&lt;=14,"이주일 이내","15일 이후"))))))))</f>
        <v/>
      </c>
      <c r="O1904" s="0" t="str">
        <f aca="false">IF(AND(COUNTA($A1904:$J1904)&gt;0,OR(클레임조회!$C$4="",AND(ISNUMBER($B1904),$B1904&gt;=클레임조회!$C$4)),OR(클레임조회!$C$5="",AND(ISNUMBER($B1904),$B1904&lt;=클레임조회!$C$5)),OR(클레임조회!$C$6="",$C1904=클레임조회!$C$6),OR(클레임조회!$C$7="",$D1904=클레임조회!$C$7),OR(클레임조회!$C$8="",$E1904=클레임조회!$C$8),OR(클레임조회!$C$9="",$F1904=클레임조회!$C$9),OR(클레임조회!$C$10="",ISNUMBER(SEARCH(클레임조회!$C$10,$C1904&amp;" "&amp;$F1904&amp;" "&amp;$G1904&amp;" "&amp;$H1904)))),COUNT(O$1:O1903)+1,"")</f>
        <v/>
      </c>
      <c r="P1904" s="0" t="str">
        <f aca="false">IF(AND(TRIM(C1904)&lt;&gt;"",COUNTIF(C$2:C1904,C1904)=1),MAX(P$1:P1903)+1,"")</f>
        <v/>
      </c>
      <c r="Q1904" s="0" t="str">
        <f aca="false">IF(AND(TRIM(F1904)&lt;&gt;"",COUNTIF(F$2:F1904,F1904)=1),MAX(Q$1:Q1903)+1,"")</f>
        <v/>
      </c>
    </row>
    <row r="1905" customFormat="false" ht="15" hidden="false" customHeight="false" outlineLevel="0" collapsed="false">
      <c r="A1905" s="9"/>
      <c r="B1905" s="10"/>
      <c r="C1905" s="11"/>
      <c r="D1905" s="11"/>
      <c r="E1905" s="11"/>
      <c r="F1905" s="11"/>
      <c r="G1905" s="12"/>
      <c r="H1905" s="12"/>
      <c r="I1905" s="10"/>
      <c r="J1905" s="12"/>
      <c r="K1905" s="13" t="str">
        <f aca="false">IF(ISNUMBER(B1905),YEAR(B1905),"")</f>
        <v/>
      </c>
      <c r="L1905" s="13" t="str">
        <f aca="false">IF(ISNUMBER(B1905),MONTH(B1905),"")</f>
        <v/>
      </c>
      <c r="M1905" s="13" t="str">
        <f aca="false">IF(AND(ISNUMBER(B1905),ISNUMBER(I1905)),B1905-I1905+1,"")</f>
        <v/>
      </c>
      <c r="N1905" s="14" t="str">
        <f aca="false">IF(B1905="","",IF(M1905="","시작일 미입력",IF(M1905&lt;1,"시작일 이전(확인)",IF(M1905=1,"1일째",IF(M1905=2,"2일째",IF(M1905=3,"3일째",IF(M1905&lt;=7,"일주일 이내",IF(M1905&lt;=14,"이주일 이내","15일 이후"))))))))</f>
        <v/>
      </c>
      <c r="O1905" s="0" t="str">
        <f aca="false">IF(AND(COUNTA($A1905:$J1905)&gt;0,OR(클레임조회!$C$4="",AND(ISNUMBER($B1905),$B1905&gt;=클레임조회!$C$4)),OR(클레임조회!$C$5="",AND(ISNUMBER($B1905),$B1905&lt;=클레임조회!$C$5)),OR(클레임조회!$C$6="",$C1905=클레임조회!$C$6),OR(클레임조회!$C$7="",$D1905=클레임조회!$C$7),OR(클레임조회!$C$8="",$E1905=클레임조회!$C$8),OR(클레임조회!$C$9="",$F1905=클레임조회!$C$9),OR(클레임조회!$C$10="",ISNUMBER(SEARCH(클레임조회!$C$10,$C1905&amp;" "&amp;$F1905&amp;" "&amp;$G1905&amp;" "&amp;$H1905)))),COUNT(O$1:O1904)+1,"")</f>
        <v/>
      </c>
      <c r="P1905" s="0" t="str">
        <f aca="false">IF(AND(TRIM(C1905)&lt;&gt;"",COUNTIF(C$2:C1905,C1905)=1),MAX(P$1:P1904)+1,"")</f>
        <v/>
      </c>
      <c r="Q1905" s="0" t="str">
        <f aca="false">IF(AND(TRIM(F1905)&lt;&gt;"",COUNTIF(F$2:F1905,F1905)=1),MAX(Q$1:Q1904)+1,"")</f>
        <v/>
      </c>
    </row>
    <row r="1906" customFormat="false" ht="15" hidden="false" customHeight="false" outlineLevel="0" collapsed="false">
      <c r="A1906" s="9"/>
      <c r="B1906" s="10"/>
      <c r="C1906" s="11"/>
      <c r="D1906" s="11"/>
      <c r="E1906" s="11"/>
      <c r="F1906" s="11"/>
      <c r="G1906" s="12"/>
      <c r="H1906" s="12"/>
      <c r="I1906" s="10"/>
      <c r="J1906" s="12"/>
      <c r="K1906" s="13" t="str">
        <f aca="false">IF(ISNUMBER(B1906),YEAR(B1906),"")</f>
        <v/>
      </c>
      <c r="L1906" s="13" t="str">
        <f aca="false">IF(ISNUMBER(B1906),MONTH(B1906),"")</f>
        <v/>
      </c>
      <c r="M1906" s="13" t="str">
        <f aca="false">IF(AND(ISNUMBER(B1906),ISNUMBER(I1906)),B1906-I1906+1,"")</f>
        <v/>
      </c>
      <c r="N1906" s="14" t="str">
        <f aca="false">IF(B1906="","",IF(M1906="","시작일 미입력",IF(M1906&lt;1,"시작일 이전(확인)",IF(M1906=1,"1일째",IF(M1906=2,"2일째",IF(M1906=3,"3일째",IF(M1906&lt;=7,"일주일 이내",IF(M1906&lt;=14,"이주일 이내","15일 이후"))))))))</f>
        <v/>
      </c>
      <c r="O1906" s="0" t="str">
        <f aca="false">IF(AND(COUNTA($A1906:$J1906)&gt;0,OR(클레임조회!$C$4="",AND(ISNUMBER($B1906),$B1906&gt;=클레임조회!$C$4)),OR(클레임조회!$C$5="",AND(ISNUMBER($B1906),$B1906&lt;=클레임조회!$C$5)),OR(클레임조회!$C$6="",$C1906=클레임조회!$C$6),OR(클레임조회!$C$7="",$D1906=클레임조회!$C$7),OR(클레임조회!$C$8="",$E1906=클레임조회!$C$8),OR(클레임조회!$C$9="",$F1906=클레임조회!$C$9),OR(클레임조회!$C$10="",ISNUMBER(SEARCH(클레임조회!$C$10,$C1906&amp;" "&amp;$F1906&amp;" "&amp;$G1906&amp;" "&amp;$H1906)))),COUNT(O$1:O1905)+1,"")</f>
        <v/>
      </c>
      <c r="P1906" s="0" t="str">
        <f aca="false">IF(AND(TRIM(C1906)&lt;&gt;"",COUNTIF(C$2:C1906,C1906)=1),MAX(P$1:P1905)+1,"")</f>
        <v/>
      </c>
      <c r="Q1906" s="0" t="str">
        <f aca="false">IF(AND(TRIM(F1906)&lt;&gt;"",COUNTIF(F$2:F1906,F1906)=1),MAX(Q$1:Q1905)+1,"")</f>
        <v/>
      </c>
    </row>
    <row r="1907" customFormat="false" ht="15" hidden="false" customHeight="false" outlineLevel="0" collapsed="false">
      <c r="A1907" s="9"/>
      <c r="B1907" s="10"/>
      <c r="C1907" s="11"/>
      <c r="D1907" s="11"/>
      <c r="E1907" s="11"/>
      <c r="F1907" s="11"/>
      <c r="G1907" s="12"/>
      <c r="H1907" s="12"/>
      <c r="I1907" s="10"/>
      <c r="J1907" s="12"/>
      <c r="K1907" s="13" t="str">
        <f aca="false">IF(ISNUMBER(B1907),YEAR(B1907),"")</f>
        <v/>
      </c>
      <c r="L1907" s="13" t="str">
        <f aca="false">IF(ISNUMBER(B1907),MONTH(B1907),"")</f>
        <v/>
      </c>
      <c r="M1907" s="13" t="str">
        <f aca="false">IF(AND(ISNUMBER(B1907),ISNUMBER(I1907)),B1907-I1907+1,"")</f>
        <v/>
      </c>
      <c r="N1907" s="14" t="str">
        <f aca="false">IF(B1907="","",IF(M1907="","시작일 미입력",IF(M1907&lt;1,"시작일 이전(확인)",IF(M1907=1,"1일째",IF(M1907=2,"2일째",IF(M1907=3,"3일째",IF(M1907&lt;=7,"일주일 이내",IF(M1907&lt;=14,"이주일 이내","15일 이후"))))))))</f>
        <v/>
      </c>
      <c r="O1907" s="0" t="str">
        <f aca="false">IF(AND(COUNTA($A1907:$J1907)&gt;0,OR(클레임조회!$C$4="",AND(ISNUMBER($B1907),$B1907&gt;=클레임조회!$C$4)),OR(클레임조회!$C$5="",AND(ISNUMBER($B1907),$B1907&lt;=클레임조회!$C$5)),OR(클레임조회!$C$6="",$C1907=클레임조회!$C$6),OR(클레임조회!$C$7="",$D1907=클레임조회!$C$7),OR(클레임조회!$C$8="",$E1907=클레임조회!$C$8),OR(클레임조회!$C$9="",$F1907=클레임조회!$C$9),OR(클레임조회!$C$10="",ISNUMBER(SEARCH(클레임조회!$C$10,$C1907&amp;" "&amp;$F1907&amp;" "&amp;$G1907&amp;" "&amp;$H1907)))),COUNT(O$1:O1906)+1,"")</f>
        <v/>
      </c>
      <c r="P1907" s="0" t="str">
        <f aca="false">IF(AND(TRIM(C1907)&lt;&gt;"",COUNTIF(C$2:C1907,C1907)=1),MAX(P$1:P1906)+1,"")</f>
        <v/>
      </c>
      <c r="Q1907" s="0" t="str">
        <f aca="false">IF(AND(TRIM(F1907)&lt;&gt;"",COUNTIF(F$2:F1907,F1907)=1),MAX(Q$1:Q1906)+1,"")</f>
        <v/>
      </c>
    </row>
    <row r="1908" customFormat="false" ht="15" hidden="false" customHeight="false" outlineLevel="0" collapsed="false">
      <c r="A1908" s="9"/>
      <c r="B1908" s="10"/>
      <c r="C1908" s="11"/>
      <c r="D1908" s="11"/>
      <c r="E1908" s="11"/>
      <c r="F1908" s="11"/>
      <c r="G1908" s="12"/>
      <c r="H1908" s="12"/>
      <c r="I1908" s="10"/>
      <c r="J1908" s="12"/>
      <c r="K1908" s="13" t="str">
        <f aca="false">IF(ISNUMBER(B1908),YEAR(B1908),"")</f>
        <v/>
      </c>
      <c r="L1908" s="13" t="str">
        <f aca="false">IF(ISNUMBER(B1908),MONTH(B1908),"")</f>
        <v/>
      </c>
      <c r="M1908" s="13" t="str">
        <f aca="false">IF(AND(ISNUMBER(B1908),ISNUMBER(I1908)),B1908-I1908+1,"")</f>
        <v/>
      </c>
      <c r="N1908" s="14" t="str">
        <f aca="false">IF(B1908="","",IF(M1908="","시작일 미입력",IF(M1908&lt;1,"시작일 이전(확인)",IF(M1908=1,"1일째",IF(M1908=2,"2일째",IF(M1908=3,"3일째",IF(M1908&lt;=7,"일주일 이내",IF(M1908&lt;=14,"이주일 이내","15일 이후"))))))))</f>
        <v/>
      </c>
      <c r="O1908" s="0" t="str">
        <f aca="false">IF(AND(COUNTA($A1908:$J1908)&gt;0,OR(클레임조회!$C$4="",AND(ISNUMBER($B1908),$B1908&gt;=클레임조회!$C$4)),OR(클레임조회!$C$5="",AND(ISNUMBER($B1908),$B1908&lt;=클레임조회!$C$5)),OR(클레임조회!$C$6="",$C1908=클레임조회!$C$6),OR(클레임조회!$C$7="",$D1908=클레임조회!$C$7),OR(클레임조회!$C$8="",$E1908=클레임조회!$C$8),OR(클레임조회!$C$9="",$F1908=클레임조회!$C$9),OR(클레임조회!$C$10="",ISNUMBER(SEARCH(클레임조회!$C$10,$C1908&amp;" "&amp;$F1908&amp;" "&amp;$G1908&amp;" "&amp;$H1908)))),COUNT(O$1:O1907)+1,"")</f>
        <v/>
      </c>
      <c r="P1908" s="0" t="str">
        <f aca="false">IF(AND(TRIM(C1908)&lt;&gt;"",COUNTIF(C$2:C1908,C1908)=1),MAX(P$1:P1907)+1,"")</f>
        <v/>
      </c>
      <c r="Q1908" s="0" t="str">
        <f aca="false">IF(AND(TRIM(F1908)&lt;&gt;"",COUNTIF(F$2:F1908,F1908)=1),MAX(Q$1:Q1907)+1,"")</f>
        <v/>
      </c>
    </row>
    <row r="1909" customFormat="false" ht="15" hidden="false" customHeight="false" outlineLevel="0" collapsed="false">
      <c r="A1909" s="9"/>
      <c r="B1909" s="10"/>
      <c r="C1909" s="11"/>
      <c r="D1909" s="11"/>
      <c r="E1909" s="11"/>
      <c r="F1909" s="11"/>
      <c r="G1909" s="12"/>
      <c r="H1909" s="12"/>
      <c r="I1909" s="10"/>
      <c r="J1909" s="12"/>
      <c r="K1909" s="13" t="str">
        <f aca="false">IF(ISNUMBER(B1909),YEAR(B1909),"")</f>
        <v/>
      </c>
      <c r="L1909" s="13" t="str">
        <f aca="false">IF(ISNUMBER(B1909),MONTH(B1909),"")</f>
        <v/>
      </c>
      <c r="M1909" s="13" t="str">
        <f aca="false">IF(AND(ISNUMBER(B1909),ISNUMBER(I1909)),B1909-I1909+1,"")</f>
        <v/>
      </c>
      <c r="N1909" s="14" t="str">
        <f aca="false">IF(B1909="","",IF(M1909="","시작일 미입력",IF(M1909&lt;1,"시작일 이전(확인)",IF(M1909=1,"1일째",IF(M1909=2,"2일째",IF(M1909=3,"3일째",IF(M1909&lt;=7,"일주일 이내",IF(M1909&lt;=14,"이주일 이내","15일 이후"))))))))</f>
        <v/>
      </c>
      <c r="O1909" s="0" t="str">
        <f aca="false">IF(AND(COUNTA($A1909:$J1909)&gt;0,OR(클레임조회!$C$4="",AND(ISNUMBER($B1909),$B1909&gt;=클레임조회!$C$4)),OR(클레임조회!$C$5="",AND(ISNUMBER($B1909),$B1909&lt;=클레임조회!$C$5)),OR(클레임조회!$C$6="",$C1909=클레임조회!$C$6),OR(클레임조회!$C$7="",$D1909=클레임조회!$C$7),OR(클레임조회!$C$8="",$E1909=클레임조회!$C$8),OR(클레임조회!$C$9="",$F1909=클레임조회!$C$9),OR(클레임조회!$C$10="",ISNUMBER(SEARCH(클레임조회!$C$10,$C1909&amp;" "&amp;$F1909&amp;" "&amp;$G1909&amp;" "&amp;$H1909)))),COUNT(O$1:O1908)+1,"")</f>
        <v/>
      </c>
      <c r="P1909" s="0" t="str">
        <f aca="false">IF(AND(TRIM(C1909)&lt;&gt;"",COUNTIF(C$2:C1909,C1909)=1),MAX(P$1:P1908)+1,"")</f>
        <v/>
      </c>
      <c r="Q1909" s="0" t="str">
        <f aca="false">IF(AND(TRIM(F1909)&lt;&gt;"",COUNTIF(F$2:F1909,F1909)=1),MAX(Q$1:Q1908)+1,"")</f>
        <v/>
      </c>
    </row>
    <row r="1910" customFormat="false" ht="15" hidden="false" customHeight="false" outlineLevel="0" collapsed="false">
      <c r="A1910" s="9"/>
      <c r="B1910" s="10"/>
      <c r="C1910" s="11"/>
      <c r="D1910" s="11"/>
      <c r="E1910" s="11"/>
      <c r="F1910" s="11"/>
      <c r="G1910" s="12"/>
      <c r="H1910" s="12"/>
      <c r="I1910" s="10"/>
      <c r="J1910" s="12"/>
      <c r="K1910" s="13" t="str">
        <f aca="false">IF(ISNUMBER(B1910),YEAR(B1910),"")</f>
        <v/>
      </c>
      <c r="L1910" s="13" t="str">
        <f aca="false">IF(ISNUMBER(B1910),MONTH(B1910),"")</f>
        <v/>
      </c>
      <c r="M1910" s="13" t="str">
        <f aca="false">IF(AND(ISNUMBER(B1910),ISNUMBER(I1910)),B1910-I1910+1,"")</f>
        <v/>
      </c>
      <c r="N1910" s="14" t="str">
        <f aca="false">IF(B1910="","",IF(M1910="","시작일 미입력",IF(M1910&lt;1,"시작일 이전(확인)",IF(M1910=1,"1일째",IF(M1910=2,"2일째",IF(M1910=3,"3일째",IF(M1910&lt;=7,"일주일 이내",IF(M1910&lt;=14,"이주일 이내","15일 이후"))))))))</f>
        <v/>
      </c>
      <c r="O1910" s="0" t="str">
        <f aca="false">IF(AND(COUNTA($A1910:$J1910)&gt;0,OR(클레임조회!$C$4="",AND(ISNUMBER($B1910),$B1910&gt;=클레임조회!$C$4)),OR(클레임조회!$C$5="",AND(ISNUMBER($B1910),$B1910&lt;=클레임조회!$C$5)),OR(클레임조회!$C$6="",$C1910=클레임조회!$C$6),OR(클레임조회!$C$7="",$D1910=클레임조회!$C$7),OR(클레임조회!$C$8="",$E1910=클레임조회!$C$8),OR(클레임조회!$C$9="",$F1910=클레임조회!$C$9),OR(클레임조회!$C$10="",ISNUMBER(SEARCH(클레임조회!$C$10,$C1910&amp;" "&amp;$F1910&amp;" "&amp;$G1910&amp;" "&amp;$H1910)))),COUNT(O$1:O1909)+1,"")</f>
        <v/>
      </c>
      <c r="P1910" s="0" t="str">
        <f aca="false">IF(AND(TRIM(C1910)&lt;&gt;"",COUNTIF(C$2:C1910,C1910)=1),MAX(P$1:P1909)+1,"")</f>
        <v/>
      </c>
      <c r="Q1910" s="0" t="str">
        <f aca="false">IF(AND(TRIM(F1910)&lt;&gt;"",COUNTIF(F$2:F1910,F1910)=1),MAX(Q$1:Q1909)+1,"")</f>
        <v/>
      </c>
    </row>
    <row r="1911" customFormat="false" ht="15" hidden="false" customHeight="false" outlineLevel="0" collapsed="false">
      <c r="A1911" s="9"/>
      <c r="B1911" s="10"/>
      <c r="C1911" s="11"/>
      <c r="D1911" s="11"/>
      <c r="E1911" s="11"/>
      <c r="F1911" s="11"/>
      <c r="G1911" s="12"/>
      <c r="H1911" s="12"/>
      <c r="I1911" s="10"/>
      <c r="J1911" s="12"/>
      <c r="K1911" s="13" t="str">
        <f aca="false">IF(ISNUMBER(B1911),YEAR(B1911),"")</f>
        <v/>
      </c>
      <c r="L1911" s="13" t="str">
        <f aca="false">IF(ISNUMBER(B1911),MONTH(B1911),"")</f>
        <v/>
      </c>
      <c r="M1911" s="13" t="str">
        <f aca="false">IF(AND(ISNUMBER(B1911),ISNUMBER(I1911)),B1911-I1911+1,"")</f>
        <v/>
      </c>
      <c r="N1911" s="14" t="str">
        <f aca="false">IF(B1911="","",IF(M1911="","시작일 미입력",IF(M1911&lt;1,"시작일 이전(확인)",IF(M1911=1,"1일째",IF(M1911=2,"2일째",IF(M1911=3,"3일째",IF(M1911&lt;=7,"일주일 이내",IF(M1911&lt;=14,"이주일 이내","15일 이후"))))))))</f>
        <v/>
      </c>
      <c r="O1911" s="0" t="str">
        <f aca="false">IF(AND(COUNTA($A1911:$J1911)&gt;0,OR(클레임조회!$C$4="",AND(ISNUMBER($B1911),$B1911&gt;=클레임조회!$C$4)),OR(클레임조회!$C$5="",AND(ISNUMBER($B1911),$B1911&lt;=클레임조회!$C$5)),OR(클레임조회!$C$6="",$C1911=클레임조회!$C$6),OR(클레임조회!$C$7="",$D1911=클레임조회!$C$7),OR(클레임조회!$C$8="",$E1911=클레임조회!$C$8),OR(클레임조회!$C$9="",$F1911=클레임조회!$C$9),OR(클레임조회!$C$10="",ISNUMBER(SEARCH(클레임조회!$C$10,$C1911&amp;" "&amp;$F1911&amp;" "&amp;$G1911&amp;" "&amp;$H1911)))),COUNT(O$1:O1910)+1,"")</f>
        <v/>
      </c>
      <c r="P1911" s="0" t="str">
        <f aca="false">IF(AND(TRIM(C1911)&lt;&gt;"",COUNTIF(C$2:C1911,C1911)=1),MAX(P$1:P1910)+1,"")</f>
        <v/>
      </c>
      <c r="Q1911" s="0" t="str">
        <f aca="false">IF(AND(TRIM(F1911)&lt;&gt;"",COUNTIF(F$2:F1911,F1911)=1),MAX(Q$1:Q1910)+1,"")</f>
        <v/>
      </c>
    </row>
    <row r="1912" customFormat="false" ht="15" hidden="false" customHeight="false" outlineLevel="0" collapsed="false">
      <c r="A1912" s="9"/>
      <c r="B1912" s="10"/>
      <c r="C1912" s="11"/>
      <c r="D1912" s="11"/>
      <c r="E1912" s="11"/>
      <c r="F1912" s="11"/>
      <c r="G1912" s="12"/>
      <c r="H1912" s="12"/>
      <c r="I1912" s="10"/>
      <c r="J1912" s="12"/>
      <c r="K1912" s="13" t="str">
        <f aca="false">IF(ISNUMBER(B1912),YEAR(B1912),"")</f>
        <v/>
      </c>
      <c r="L1912" s="13" t="str">
        <f aca="false">IF(ISNUMBER(B1912),MONTH(B1912),"")</f>
        <v/>
      </c>
      <c r="M1912" s="13" t="str">
        <f aca="false">IF(AND(ISNUMBER(B1912),ISNUMBER(I1912)),B1912-I1912+1,"")</f>
        <v/>
      </c>
      <c r="N1912" s="14" t="str">
        <f aca="false">IF(B1912="","",IF(M1912="","시작일 미입력",IF(M1912&lt;1,"시작일 이전(확인)",IF(M1912=1,"1일째",IF(M1912=2,"2일째",IF(M1912=3,"3일째",IF(M1912&lt;=7,"일주일 이내",IF(M1912&lt;=14,"이주일 이내","15일 이후"))))))))</f>
        <v/>
      </c>
      <c r="O1912" s="0" t="str">
        <f aca="false">IF(AND(COUNTA($A1912:$J1912)&gt;0,OR(클레임조회!$C$4="",AND(ISNUMBER($B1912),$B1912&gt;=클레임조회!$C$4)),OR(클레임조회!$C$5="",AND(ISNUMBER($B1912),$B1912&lt;=클레임조회!$C$5)),OR(클레임조회!$C$6="",$C1912=클레임조회!$C$6),OR(클레임조회!$C$7="",$D1912=클레임조회!$C$7),OR(클레임조회!$C$8="",$E1912=클레임조회!$C$8),OR(클레임조회!$C$9="",$F1912=클레임조회!$C$9),OR(클레임조회!$C$10="",ISNUMBER(SEARCH(클레임조회!$C$10,$C1912&amp;" "&amp;$F1912&amp;" "&amp;$G1912&amp;" "&amp;$H1912)))),COUNT(O$1:O1911)+1,"")</f>
        <v/>
      </c>
      <c r="P1912" s="0" t="str">
        <f aca="false">IF(AND(TRIM(C1912)&lt;&gt;"",COUNTIF(C$2:C1912,C1912)=1),MAX(P$1:P1911)+1,"")</f>
        <v/>
      </c>
      <c r="Q1912" s="0" t="str">
        <f aca="false">IF(AND(TRIM(F1912)&lt;&gt;"",COUNTIF(F$2:F1912,F1912)=1),MAX(Q$1:Q1911)+1,"")</f>
        <v/>
      </c>
    </row>
    <row r="1913" customFormat="false" ht="15" hidden="false" customHeight="false" outlineLevel="0" collapsed="false">
      <c r="A1913" s="9"/>
      <c r="B1913" s="10"/>
      <c r="C1913" s="11"/>
      <c r="D1913" s="11"/>
      <c r="E1913" s="11"/>
      <c r="F1913" s="11"/>
      <c r="G1913" s="12"/>
      <c r="H1913" s="12"/>
      <c r="I1913" s="10"/>
      <c r="J1913" s="12"/>
      <c r="K1913" s="13" t="str">
        <f aca="false">IF(ISNUMBER(B1913),YEAR(B1913),"")</f>
        <v/>
      </c>
      <c r="L1913" s="13" t="str">
        <f aca="false">IF(ISNUMBER(B1913),MONTH(B1913),"")</f>
        <v/>
      </c>
      <c r="M1913" s="13" t="str">
        <f aca="false">IF(AND(ISNUMBER(B1913),ISNUMBER(I1913)),B1913-I1913+1,"")</f>
        <v/>
      </c>
      <c r="N1913" s="14" t="str">
        <f aca="false">IF(B1913="","",IF(M1913="","시작일 미입력",IF(M1913&lt;1,"시작일 이전(확인)",IF(M1913=1,"1일째",IF(M1913=2,"2일째",IF(M1913=3,"3일째",IF(M1913&lt;=7,"일주일 이내",IF(M1913&lt;=14,"이주일 이내","15일 이후"))))))))</f>
        <v/>
      </c>
      <c r="O1913" s="0" t="str">
        <f aca="false">IF(AND(COUNTA($A1913:$J1913)&gt;0,OR(클레임조회!$C$4="",AND(ISNUMBER($B1913),$B1913&gt;=클레임조회!$C$4)),OR(클레임조회!$C$5="",AND(ISNUMBER($B1913),$B1913&lt;=클레임조회!$C$5)),OR(클레임조회!$C$6="",$C1913=클레임조회!$C$6),OR(클레임조회!$C$7="",$D1913=클레임조회!$C$7),OR(클레임조회!$C$8="",$E1913=클레임조회!$C$8),OR(클레임조회!$C$9="",$F1913=클레임조회!$C$9),OR(클레임조회!$C$10="",ISNUMBER(SEARCH(클레임조회!$C$10,$C1913&amp;" "&amp;$F1913&amp;" "&amp;$G1913&amp;" "&amp;$H1913)))),COUNT(O$1:O1912)+1,"")</f>
        <v/>
      </c>
      <c r="P1913" s="0" t="str">
        <f aca="false">IF(AND(TRIM(C1913)&lt;&gt;"",COUNTIF(C$2:C1913,C1913)=1),MAX(P$1:P1912)+1,"")</f>
        <v/>
      </c>
      <c r="Q1913" s="0" t="str">
        <f aca="false">IF(AND(TRIM(F1913)&lt;&gt;"",COUNTIF(F$2:F1913,F1913)=1),MAX(Q$1:Q1912)+1,"")</f>
        <v/>
      </c>
    </row>
    <row r="1914" customFormat="false" ht="15" hidden="false" customHeight="false" outlineLevel="0" collapsed="false">
      <c r="A1914" s="9"/>
      <c r="B1914" s="10"/>
      <c r="C1914" s="11"/>
      <c r="D1914" s="11"/>
      <c r="E1914" s="11"/>
      <c r="F1914" s="11"/>
      <c r="G1914" s="12"/>
      <c r="H1914" s="12"/>
      <c r="I1914" s="10"/>
      <c r="J1914" s="12"/>
      <c r="K1914" s="13" t="str">
        <f aca="false">IF(ISNUMBER(B1914),YEAR(B1914),"")</f>
        <v/>
      </c>
      <c r="L1914" s="13" t="str">
        <f aca="false">IF(ISNUMBER(B1914),MONTH(B1914),"")</f>
        <v/>
      </c>
      <c r="M1914" s="13" t="str">
        <f aca="false">IF(AND(ISNUMBER(B1914),ISNUMBER(I1914)),B1914-I1914+1,"")</f>
        <v/>
      </c>
      <c r="N1914" s="14" t="str">
        <f aca="false">IF(B1914="","",IF(M1914="","시작일 미입력",IF(M1914&lt;1,"시작일 이전(확인)",IF(M1914=1,"1일째",IF(M1914=2,"2일째",IF(M1914=3,"3일째",IF(M1914&lt;=7,"일주일 이내",IF(M1914&lt;=14,"이주일 이내","15일 이후"))))))))</f>
        <v/>
      </c>
      <c r="O1914" s="0" t="str">
        <f aca="false">IF(AND(COUNTA($A1914:$J1914)&gt;0,OR(클레임조회!$C$4="",AND(ISNUMBER($B1914),$B1914&gt;=클레임조회!$C$4)),OR(클레임조회!$C$5="",AND(ISNUMBER($B1914),$B1914&lt;=클레임조회!$C$5)),OR(클레임조회!$C$6="",$C1914=클레임조회!$C$6),OR(클레임조회!$C$7="",$D1914=클레임조회!$C$7),OR(클레임조회!$C$8="",$E1914=클레임조회!$C$8),OR(클레임조회!$C$9="",$F1914=클레임조회!$C$9),OR(클레임조회!$C$10="",ISNUMBER(SEARCH(클레임조회!$C$10,$C1914&amp;" "&amp;$F1914&amp;" "&amp;$G1914&amp;" "&amp;$H1914)))),COUNT(O$1:O1913)+1,"")</f>
        <v/>
      </c>
      <c r="P1914" s="0" t="str">
        <f aca="false">IF(AND(TRIM(C1914)&lt;&gt;"",COUNTIF(C$2:C1914,C1914)=1),MAX(P$1:P1913)+1,"")</f>
        <v/>
      </c>
      <c r="Q1914" s="0" t="str">
        <f aca="false">IF(AND(TRIM(F1914)&lt;&gt;"",COUNTIF(F$2:F1914,F1914)=1),MAX(Q$1:Q1913)+1,"")</f>
        <v/>
      </c>
    </row>
    <row r="1915" customFormat="false" ht="15" hidden="false" customHeight="false" outlineLevel="0" collapsed="false">
      <c r="A1915" s="9"/>
      <c r="B1915" s="10"/>
      <c r="C1915" s="11"/>
      <c r="D1915" s="11"/>
      <c r="E1915" s="11"/>
      <c r="F1915" s="11"/>
      <c r="G1915" s="12"/>
      <c r="H1915" s="12"/>
      <c r="I1915" s="10"/>
      <c r="J1915" s="12"/>
      <c r="K1915" s="13" t="str">
        <f aca="false">IF(ISNUMBER(B1915),YEAR(B1915),"")</f>
        <v/>
      </c>
      <c r="L1915" s="13" t="str">
        <f aca="false">IF(ISNUMBER(B1915),MONTH(B1915),"")</f>
        <v/>
      </c>
      <c r="M1915" s="13" t="str">
        <f aca="false">IF(AND(ISNUMBER(B1915),ISNUMBER(I1915)),B1915-I1915+1,"")</f>
        <v/>
      </c>
      <c r="N1915" s="14" t="str">
        <f aca="false">IF(B1915="","",IF(M1915="","시작일 미입력",IF(M1915&lt;1,"시작일 이전(확인)",IF(M1915=1,"1일째",IF(M1915=2,"2일째",IF(M1915=3,"3일째",IF(M1915&lt;=7,"일주일 이내",IF(M1915&lt;=14,"이주일 이내","15일 이후"))))))))</f>
        <v/>
      </c>
      <c r="O1915" s="0" t="str">
        <f aca="false">IF(AND(COUNTA($A1915:$J1915)&gt;0,OR(클레임조회!$C$4="",AND(ISNUMBER($B1915),$B1915&gt;=클레임조회!$C$4)),OR(클레임조회!$C$5="",AND(ISNUMBER($B1915),$B1915&lt;=클레임조회!$C$5)),OR(클레임조회!$C$6="",$C1915=클레임조회!$C$6),OR(클레임조회!$C$7="",$D1915=클레임조회!$C$7),OR(클레임조회!$C$8="",$E1915=클레임조회!$C$8),OR(클레임조회!$C$9="",$F1915=클레임조회!$C$9),OR(클레임조회!$C$10="",ISNUMBER(SEARCH(클레임조회!$C$10,$C1915&amp;" "&amp;$F1915&amp;" "&amp;$G1915&amp;" "&amp;$H1915)))),COUNT(O$1:O1914)+1,"")</f>
        <v/>
      </c>
      <c r="P1915" s="0" t="str">
        <f aca="false">IF(AND(TRIM(C1915)&lt;&gt;"",COUNTIF(C$2:C1915,C1915)=1),MAX(P$1:P1914)+1,"")</f>
        <v/>
      </c>
      <c r="Q1915" s="0" t="str">
        <f aca="false">IF(AND(TRIM(F1915)&lt;&gt;"",COUNTIF(F$2:F1915,F1915)=1),MAX(Q$1:Q1914)+1,"")</f>
        <v/>
      </c>
    </row>
    <row r="1916" customFormat="false" ht="15" hidden="false" customHeight="false" outlineLevel="0" collapsed="false">
      <c r="A1916" s="9"/>
      <c r="B1916" s="10"/>
      <c r="C1916" s="11"/>
      <c r="D1916" s="11"/>
      <c r="E1916" s="11"/>
      <c r="F1916" s="11"/>
      <c r="G1916" s="12"/>
      <c r="H1916" s="12"/>
      <c r="I1916" s="10"/>
      <c r="J1916" s="12"/>
      <c r="K1916" s="13" t="str">
        <f aca="false">IF(ISNUMBER(B1916),YEAR(B1916),"")</f>
        <v/>
      </c>
      <c r="L1916" s="13" t="str">
        <f aca="false">IF(ISNUMBER(B1916),MONTH(B1916),"")</f>
        <v/>
      </c>
      <c r="M1916" s="13" t="str">
        <f aca="false">IF(AND(ISNUMBER(B1916),ISNUMBER(I1916)),B1916-I1916+1,"")</f>
        <v/>
      </c>
      <c r="N1916" s="14" t="str">
        <f aca="false">IF(B1916="","",IF(M1916="","시작일 미입력",IF(M1916&lt;1,"시작일 이전(확인)",IF(M1916=1,"1일째",IF(M1916=2,"2일째",IF(M1916=3,"3일째",IF(M1916&lt;=7,"일주일 이내",IF(M1916&lt;=14,"이주일 이내","15일 이후"))))))))</f>
        <v/>
      </c>
      <c r="O1916" s="0" t="str">
        <f aca="false">IF(AND(COUNTA($A1916:$J1916)&gt;0,OR(클레임조회!$C$4="",AND(ISNUMBER($B1916),$B1916&gt;=클레임조회!$C$4)),OR(클레임조회!$C$5="",AND(ISNUMBER($B1916),$B1916&lt;=클레임조회!$C$5)),OR(클레임조회!$C$6="",$C1916=클레임조회!$C$6),OR(클레임조회!$C$7="",$D1916=클레임조회!$C$7),OR(클레임조회!$C$8="",$E1916=클레임조회!$C$8),OR(클레임조회!$C$9="",$F1916=클레임조회!$C$9),OR(클레임조회!$C$10="",ISNUMBER(SEARCH(클레임조회!$C$10,$C1916&amp;" "&amp;$F1916&amp;" "&amp;$G1916&amp;" "&amp;$H1916)))),COUNT(O$1:O1915)+1,"")</f>
        <v/>
      </c>
      <c r="P1916" s="0" t="str">
        <f aca="false">IF(AND(TRIM(C1916)&lt;&gt;"",COUNTIF(C$2:C1916,C1916)=1),MAX(P$1:P1915)+1,"")</f>
        <v/>
      </c>
      <c r="Q1916" s="0" t="str">
        <f aca="false">IF(AND(TRIM(F1916)&lt;&gt;"",COUNTIF(F$2:F1916,F1916)=1),MAX(Q$1:Q1915)+1,"")</f>
        <v/>
      </c>
    </row>
    <row r="1917" customFormat="false" ht="15" hidden="false" customHeight="false" outlineLevel="0" collapsed="false">
      <c r="A1917" s="9"/>
      <c r="B1917" s="10"/>
      <c r="C1917" s="11"/>
      <c r="D1917" s="11"/>
      <c r="E1917" s="11"/>
      <c r="F1917" s="11"/>
      <c r="G1917" s="12"/>
      <c r="H1917" s="12"/>
      <c r="I1917" s="10"/>
      <c r="J1917" s="12"/>
      <c r="K1917" s="13" t="str">
        <f aca="false">IF(ISNUMBER(B1917),YEAR(B1917),"")</f>
        <v/>
      </c>
      <c r="L1917" s="13" t="str">
        <f aca="false">IF(ISNUMBER(B1917),MONTH(B1917),"")</f>
        <v/>
      </c>
      <c r="M1917" s="13" t="str">
        <f aca="false">IF(AND(ISNUMBER(B1917),ISNUMBER(I1917)),B1917-I1917+1,"")</f>
        <v/>
      </c>
      <c r="N1917" s="14" t="str">
        <f aca="false">IF(B1917="","",IF(M1917="","시작일 미입력",IF(M1917&lt;1,"시작일 이전(확인)",IF(M1917=1,"1일째",IF(M1917=2,"2일째",IF(M1917=3,"3일째",IF(M1917&lt;=7,"일주일 이내",IF(M1917&lt;=14,"이주일 이내","15일 이후"))))))))</f>
        <v/>
      </c>
      <c r="O1917" s="0" t="str">
        <f aca="false">IF(AND(COUNTA($A1917:$J1917)&gt;0,OR(클레임조회!$C$4="",AND(ISNUMBER($B1917),$B1917&gt;=클레임조회!$C$4)),OR(클레임조회!$C$5="",AND(ISNUMBER($B1917),$B1917&lt;=클레임조회!$C$5)),OR(클레임조회!$C$6="",$C1917=클레임조회!$C$6),OR(클레임조회!$C$7="",$D1917=클레임조회!$C$7),OR(클레임조회!$C$8="",$E1917=클레임조회!$C$8),OR(클레임조회!$C$9="",$F1917=클레임조회!$C$9),OR(클레임조회!$C$10="",ISNUMBER(SEARCH(클레임조회!$C$10,$C1917&amp;" "&amp;$F1917&amp;" "&amp;$G1917&amp;" "&amp;$H1917)))),COUNT(O$1:O1916)+1,"")</f>
        <v/>
      </c>
      <c r="P1917" s="0" t="str">
        <f aca="false">IF(AND(TRIM(C1917)&lt;&gt;"",COUNTIF(C$2:C1917,C1917)=1),MAX(P$1:P1916)+1,"")</f>
        <v/>
      </c>
      <c r="Q1917" s="0" t="str">
        <f aca="false">IF(AND(TRIM(F1917)&lt;&gt;"",COUNTIF(F$2:F1917,F1917)=1),MAX(Q$1:Q1916)+1,"")</f>
        <v/>
      </c>
    </row>
    <row r="1918" customFormat="false" ht="15" hidden="false" customHeight="false" outlineLevel="0" collapsed="false">
      <c r="A1918" s="9"/>
      <c r="B1918" s="10"/>
      <c r="C1918" s="11"/>
      <c r="D1918" s="11"/>
      <c r="E1918" s="11"/>
      <c r="F1918" s="11"/>
      <c r="G1918" s="12"/>
      <c r="H1918" s="12"/>
      <c r="I1918" s="10"/>
      <c r="J1918" s="12"/>
      <c r="K1918" s="13" t="str">
        <f aca="false">IF(ISNUMBER(B1918),YEAR(B1918),"")</f>
        <v/>
      </c>
      <c r="L1918" s="13" t="str">
        <f aca="false">IF(ISNUMBER(B1918),MONTH(B1918),"")</f>
        <v/>
      </c>
      <c r="M1918" s="13" t="str">
        <f aca="false">IF(AND(ISNUMBER(B1918),ISNUMBER(I1918)),B1918-I1918+1,"")</f>
        <v/>
      </c>
      <c r="N1918" s="14" t="str">
        <f aca="false">IF(B1918="","",IF(M1918="","시작일 미입력",IF(M1918&lt;1,"시작일 이전(확인)",IF(M1918=1,"1일째",IF(M1918=2,"2일째",IF(M1918=3,"3일째",IF(M1918&lt;=7,"일주일 이내",IF(M1918&lt;=14,"이주일 이내","15일 이후"))))))))</f>
        <v/>
      </c>
      <c r="O1918" s="0" t="str">
        <f aca="false">IF(AND(COUNTA($A1918:$J1918)&gt;0,OR(클레임조회!$C$4="",AND(ISNUMBER($B1918),$B1918&gt;=클레임조회!$C$4)),OR(클레임조회!$C$5="",AND(ISNUMBER($B1918),$B1918&lt;=클레임조회!$C$5)),OR(클레임조회!$C$6="",$C1918=클레임조회!$C$6),OR(클레임조회!$C$7="",$D1918=클레임조회!$C$7),OR(클레임조회!$C$8="",$E1918=클레임조회!$C$8),OR(클레임조회!$C$9="",$F1918=클레임조회!$C$9),OR(클레임조회!$C$10="",ISNUMBER(SEARCH(클레임조회!$C$10,$C1918&amp;" "&amp;$F1918&amp;" "&amp;$G1918&amp;" "&amp;$H1918)))),COUNT(O$1:O1917)+1,"")</f>
        <v/>
      </c>
      <c r="P1918" s="0" t="str">
        <f aca="false">IF(AND(TRIM(C1918)&lt;&gt;"",COUNTIF(C$2:C1918,C1918)=1),MAX(P$1:P1917)+1,"")</f>
        <v/>
      </c>
      <c r="Q1918" s="0" t="str">
        <f aca="false">IF(AND(TRIM(F1918)&lt;&gt;"",COUNTIF(F$2:F1918,F1918)=1),MAX(Q$1:Q1917)+1,"")</f>
        <v/>
      </c>
    </row>
    <row r="1919" customFormat="false" ht="15" hidden="false" customHeight="false" outlineLevel="0" collapsed="false">
      <c r="A1919" s="9"/>
      <c r="B1919" s="10"/>
      <c r="C1919" s="11"/>
      <c r="D1919" s="11"/>
      <c r="E1919" s="11"/>
      <c r="F1919" s="11"/>
      <c r="G1919" s="12"/>
      <c r="H1919" s="12"/>
      <c r="I1919" s="10"/>
      <c r="J1919" s="12"/>
      <c r="K1919" s="13" t="str">
        <f aca="false">IF(ISNUMBER(B1919),YEAR(B1919),"")</f>
        <v/>
      </c>
      <c r="L1919" s="13" t="str">
        <f aca="false">IF(ISNUMBER(B1919),MONTH(B1919),"")</f>
        <v/>
      </c>
      <c r="M1919" s="13" t="str">
        <f aca="false">IF(AND(ISNUMBER(B1919),ISNUMBER(I1919)),B1919-I1919+1,"")</f>
        <v/>
      </c>
      <c r="N1919" s="14" t="str">
        <f aca="false">IF(B1919="","",IF(M1919="","시작일 미입력",IF(M1919&lt;1,"시작일 이전(확인)",IF(M1919=1,"1일째",IF(M1919=2,"2일째",IF(M1919=3,"3일째",IF(M1919&lt;=7,"일주일 이내",IF(M1919&lt;=14,"이주일 이내","15일 이후"))))))))</f>
        <v/>
      </c>
      <c r="O1919" s="0" t="str">
        <f aca="false">IF(AND(COUNTA($A1919:$J1919)&gt;0,OR(클레임조회!$C$4="",AND(ISNUMBER($B1919),$B1919&gt;=클레임조회!$C$4)),OR(클레임조회!$C$5="",AND(ISNUMBER($B1919),$B1919&lt;=클레임조회!$C$5)),OR(클레임조회!$C$6="",$C1919=클레임조회!$C$6),OR(클레임조회!$C$7="",$D1919=클레임조회!$C$7),OR(클레임조회!$C$8="",$E1919=클레임조회!$C$8),OR(클레임조회!$C$9="",$F1919=클레임조회!$C$9),OR(클레임조회!$C$10="",ISNUMBER(SEARCH(클레임조회!$C$10,$C1919&amp;" "&amp;$F1919&amp;" "&amp;$G1919&amp;" "&amp;$H1919)))),COUNT(O$1:O1918)+1,"")</f>
        <v/>
      </c>
      <c r="P1919" s="0" t="str">
        <f aca="false">IF(AND(TRIM(C1919)&lt;&gt;"",COUNTIF(C$2:C1919,C1919)=1),MAX(P$1:P1918)+1,"")</f>
        <v/>
      </c>
      <c r="Q1919" s="0" t="str">
        <f aca="false">IF(AND(TRIM(F1919)&lt;&gt;"",COUNTIF(F$2:F1919,F1919)=1),MAX(Q$1:Q1918)+1,"")</f>
        <v/>
      </c>
    </row>
    <row r="1920" customFormat="false" ht="15" hidden="false" customHeight="false" outlineLevel="0" collapsed="false">
      <c r="A1920" s="9"/>
      <c r="B1920" s="10"/>
      <c r="C1920" s="11"/>
      <c r="D1920" s="11"/>
      <c r="E1920" s="11"/>
      <c r="F1920" s="11"/>
      <c r="G1920" s="12"/>
      <c r="H1920" s="12"/>
      <c r="I1920" s="10"/>
      <c r="J1920" s="12"/>
      <c r="K1920" s="13" t="str">
        <f aca="false">IF(ISNUMBER(B1920),YEAR(B1920),"")</f>
        <v/>
      </c>
      <c r="L1920" s="13" t="str">
        <f aca="false">IF(ISNUMBER(B1920),MONTH(B1920),"")</f>
        <v/>
      </c>
      <c r="M1920" s="13" t="str">
        <f aca="false">IF(AND(ISNUMBER(B1920),ISNUMBER(I1920)),B1920-I1920+1,"")</f>
        <v/>
      </c>
      <c r="N1920" s="14" t="str">
        <f aca="false">IF(B1920="","",IF(M1920="","시작일 미입력",IF(M1920&lt;1,"시작일 이전(확인)",IF(M1920=1,"1일째",IF(M1920=2,"2일째",IF(M1920=3,"3일째",IF(M1920&lt;=7,"일주일 이내",IF(M1920&lt;=14,"이주일 이내","15일 이후"))))))))</f>
        <v/>
      </c>
      <c r="O1920" s="0" t="str">
        <f aca="false">IF(AND(COUNTA($A1920:$J1920)&gt;0,OR(클레임조회!$C$4="",AND(ISNUMBER($B1920),$B1920&gt;=클레임조회!$C$4)),OR(클레임조회!$C$5="",AND(ISNUMBER($B1920),$B1920&lt;=클레임조회!$C$5)),OR(클레임조회!$C$6="",$C1920=클레임조회!$C$6),OR(클레임조회!$C$7="",$D1920=클레임조회!$C$7),OR(클레임조회!$C$8="",$E1920=클레임조회!$C$8),OR(클레임조회!$C$9="",$F1920=클레임조회!$C$9),OR(클레임조회!$C$10="",ISNUMBER(SEARCH(클레임조회!$C$10,$C1920&amp;" "&amp;$F1920&amp;" "&amp;$G1920&amp;" "&amp;$H1920)))),COUNT(O$1:O1919)+1,"")</f>
        <v/>
      </c>
      <c r="P1920" s="0" t="str">
        <f aca="false">IF(AND(TRIM(C1920)&lt;&gt;"",COUNTIF(C$2:C1920,C1920)=1),MAX(P$1:P1919)+1,"")</f>
        <v/>
      </c>
      <c r="Q1920" s="0" t="str">
        <f aca="false">IF(AND(TRIM(F1920)&lt;&gt;"",COUNTIF(F$2:F1920,F1920)=1),MAX(Q$1:Q1919)+1,"")</f>
        <v/>
      </c>
    </row>
    <row r="1921" customFormat="false" ht="15" hidden="false" customHeight="false" outlineLevel="0" collapsed="false">
      <c r="A1921" s="9"/>
      <c r="B1921" s="10"/>
      <c r="C1921" s="11"/>
      <c r="D1921" s="11"/>
      <c r="E1921" s="11"/>
      <c r="F1921" s="11"/>
      <c r="G1921" s="12"/>
      <c r="H1921" s="12"/>
      <c r="I1921" s="10"/>
      <c r="J1921" s="12"/>
      <c r="K1921" s="13" t="str">
        <f aca="false">IF(ISNUMBER(B1921),YEAR(B1921),"")</f>
        <v/>
      </c>
      <c r="L1921" s="13" t="str">
        <f aca="false">IF(ISNUMBER(B1921),MONTH(B1921),"")</f>
        <v/>
      </c>
      <c r="M1921" s="13" t="str">
        <f aca="false">IF(AND(ISNUMBER(B1921),ISNUMBER(I1921)),B1921-I1921+1,"")</f>
        <v/>
      </c>
      <c r="N1921" s="14" t="str">
        <f aca="false">IF(B1921="","",IF(M1921="","시작일 미입력",IF(M1921&lt;1,"시작일 이전(확인)",IF(M1921=1,"1일째",IF(M1921=2,"2일째",IF(M1921=3,"3일째",IF(M1921&lt;=7,"일주일 이내",IF(M1921&lt;=14,"이주일 이내","15일 이후"))))))))</f>
        <v/>
      </c>
      <c r="O1921" s="0" t="str">
        <f aca="false">IF(AND(COUNTA($A1921:$J1921)&gt;0,OR(클레임조회!$C$4="",AND(ISNUMBER($B1921),$B1921&gt;=클레임조회!$C$4)),OR(클레임조회!$C$5="",AND(ISNUMBER($B1921),$B1921&lt;=클레임조회!$C$5)),OR(클레임조회!$C$6="",$C1921=클레임조회!$C$6),OR(클레임조회!$C$7="",$D1921=클레임조회!$C$7),OR(클레임조회!$C$8="",$E1921=클레임조회!$C$8),OR(클레임조회!$C$9="",$F1921=클레임조회!$C$9),OR(클레임조회!$C$10="",ISNUMBER(SEARCH(클레임조회!$C$10,$C1921&amp;" "&amp;$F1921&amp;" "&amp;$G1921&amp;" "&amp;$H1921)))),COUNT(O$1:O1920)+1,"")</f>
        <v/>
      </c>
      <c r="P1921" s="0" t="str">
        <f aca="false">IF(AND(TRIM(C1921)&lt;&gt;"",COUNTIF(C$2:C1921,C1921)=1),MAX(P$1:P1920)+1,"")</f>
        <v/>
      </c>
      <c r="Q1921" s="0" t="str">
        <f aca="false">IF(AND(TRIM(F1921)&lt;&gt;"",COUNTIF(F$2:F1921,F1921)=1),MAX(Q$1:Q1920)+1,"")</f>
        <v/>
      </c>
    </row>
    <row r="1922" customFormat="false" ht="15" hidden="false" customHeight="false" outlineLevel="0" collapsed="false">
      <c r="A1922" s="9"/>
      <c r="B1922" s="10"/>
      <c r="C1922" s="11"/>
      <c r="D1922" s="11"/>
      <c r="E1922" s="11"/>
      <c r="F1922" s="11"/>
      <c r="G1922" s="12"/>
      <c r="H1922" s="12"/>
      <c r="I1922" s="10"/>
      <c r="J1922" s="12"/>
      <c r="K1922" s="13" t="str">
        <f aca="false">IF(ISNUMBER(B1922),YEAR(B1922),"")</f>
        <v/>
      </c>
      <c r="L1922" s="13" t="str">
        <f aca="false">IF(ISNUMBER(B1922),MONTH(B1922),"")</f>
        <v/>
      </c>
      <c r="M1922" s="13" t="str">
        <f aca="false">IF(AND(ISNUMBER(B1922),ISNUMBER(I1922)),B1922-I1922+1,"")</f>
        <v/>
      </c>
      <c r="N1922" s="14" t="str">
        <f aca="false">IF(B1922="","",IF(M1922="","시작일 미입력",IF(M1922&lt;1,"시작일 이전(확인)",IF(M1922=1,"1일째",IF(M1922=2,"2일째",IF(M1922=3,"3일째",IF(M1922&lt;=7,"일주일 이내",IF(M1922&lt;=14,"이주일 이내","15일 이후"))))))))</f>
        <v/>
      </c>
      <c r="O1922" s="0" t="str">
        <f aca="false">IF(AND(COUNTA($A1922:$J1922)&gt;0,OR(클레임조회!$C$4="",AND(ISNUMBER($B1922),$B1922&gt;=클레임조회!$C$4)),OR(클레임조회!$C$5="",AND(ISNUMBER($B1922),$B1922&lt;=클레임조회!$C$5)),OR(클레임조회!$C$6="",$C1922=클레임조회!$C$6),OR(클레임조회!$C$7="",$D1922=클레임조회!$C$7),OR(클레임조회!$C$8="",$E1922=클레임조회!$C$8),OR(클레임조회!$C$9="",$F1922=클레임조회!$C$9),OR(클레임조회!$C$10="",ISNUMBER(SEARCH(클레임조회!$C$10,$C1922&amp;" "&amp;$F1922&amp;" "&amp;$G1922&amp;" "&amp;$H1922)))),COUNT(O$1:O1921)+1,"")</f>
        <v/>
      </c>
      <c r="P1922" s="0" t="str">
        <f aca="false">IF(AND(TRIM(C1922)&lt;&gt;"",COUNTIF(C$2:C1922,C1922)=1),MAX(P$1:P1921)+1,"")</f>
        <v/>
      </c>
      <c r="Q1922" s="0" t="str">
        <f aca="false">IF(AND(TRIM(F1922)&lt;&gt;"",COUNTIF(F$2:F1922,F1922)=1),MAX(Q$1:Q1921)+1,"")</f>
        <v/>
      </c>
    </row>
    <row r="1923" customFormat="false" ht="15" hidden="false" customHeight="false" outlineLevel="0" collapsed="false">
      <c r="A1923" s="9"/>
      <c r="B1923" s="10"/>
      <c r="C1923" s="11"/>
      <c r="D1923" s="11"/>
      <c r="E1923" s="11"/>
      <c r="F1923" s="11"/>
      <c r="G1923" s="12"/>
      <c r="H1923" s="12"/>
      <c r="I1923" s="10"/>
      <c r="J1923" s="12"/>
      <c r="K1923" s="13" t="str">
        <f aca="false">IF(ISNUMBER(B1923),YEAR(B1923),"")</f>
        <v/>
      </c>
      <c r="L1923" s="13" t="str">
        <f aca="false">IF(ISNUMBER(B1923),MONTH(B1923),"")</f>
        <v/>
      </c>
      <c r="M1923" s="13" t="str">
        <f aca="false">IF(AND(ISNUMBER(B1923),ISNUMBER(I1923)),B1923-I1923+1,"")</f>
        <v/>
      </c>
      <c r="N1923" s="14" t="str">
        <f aca="false">IF(B1923="","",IF(M1923="","시작일 미입력",IF(M1923&lt;1,"시작일 이전(확인)",IF(M1923=1,"1일째",IF(M1923=2,"2일째",IF(M1923=3,"3일째",IF(M1923&lt;=7,"일주일 이내",IF(M1923&lt;=14,"이주일 이내","15일 이후"))))))))</f>
        <v/>
      </c>
      <c r="O1923" s="0" t="str">
        <f aca="false">IF(AND(COUNTA($A1923:$J1923)&gt;0,OR(클레임조회!$C$4="",AND(ISNUMBER($B1923),$B1923&gt;=클레임조회!$C$4)),OR(클레임조회!$C$5="",AND(ISNUMBER($B1923),$B1923&lt;=클레임조회!$C$5)),OR(클레임조회!$C$6="",$C1923=클레임조회!$C$6),OR(클레임조회!$C$7="",$D1923=클레임조회!$C$7),OR(클레임조회!$C$8="",$E1923=클레임조회!$C$8),OR(클레임조회!$C$9="",$F1923=클레임조회!$C$9),OR(클레임조회!$C$10="",ISNUMBER(SEARCH(클레임조회!$C$10,$C1923&amp;" "&amp;$F1923&amp;" "&amp;$G1923&amp;" "&amp;$H1923)))),COUNT(O$1:O1922)+1,"")</f>
        <v/>
      </c>
      <c r="P1923" s="0" t="str">
        <f aca="false">IF(AND(TRIM(C1923)&lt;&gt;"",COUNTIF(C$2:C1923,C1923)=1),MAX(P$1:P1922)+1,"")</f>
        <v/>
      </c>
      <c r="Q1923" s="0" t="str">
        <f aca="false">IF(AND(TRIM(F1923)&lt;&gt;"",COUNTIF(F$2:F1923,F1923)=1),MAX(Q$1:Q1922)+1,"")</f>
        <v/>
      </c>
    </row>
    <row r="1924" customFormat="false" ht="15" hidden="false" customHeight="false" outlineLevel="0" collapsed="false">
      <c r="A1924" s="9"/>
      <c r="B1924" s="10"/>
      <c r="C1924" s="11"/>
      <c r="D1924" s="11"/>
      <c r="E1924" s="11"/>
      <c r="F1924" s="11"/>
      <c r="G1924" s="12"/>
      <c r="H1924" s="12"/>
      <c r="I1924" s="10"/>
      <c r="J1924" s="12"/>
      <c r="K1924" s="13" t="str">
        <f aca="false">IF(ISNUMBER(B1924),YEAR(B1924),"")</f>
        <v/>
      </c>
      <c r="L1924" s="13" t="str">
        <f aca="false">IF(ISNUMBER(B1924),MONTH(B1924),"")</f>
        <v/>
      </c>
      <c r="M1924" s="13" t="str">
        <f aca="false">IF(AND(ISNUMBER(B1924),ISNUMBER(I1924)),B1924-I1924+1,"")</f>
        <v/>
      </c>
      <c r="N1924" s="14" t="str">
        <f aca="false">IF(B1924="","",IF(M1924="","시작일 미입력",IF(M1924&lt;1,"시작일 이전(확인)",IF(M1924=1,"1일째",IF(M1924=2,"2일째",IF(M1924=3,"3일째",IF(M1924&lt;=7,"일주일 이내",IF(M1924&lt;=14,"이주일 이내","15일 이후"))))))))</f>
        <v/>
      </c>
      <c r="O1924" s="0" t="str">
        <f aca="false">IF(AND(COUNTA($A1924:$J1924)&gt;0,OR(클레임조회!$C$4="",AND(ISNUMBER($B1924),$B1924&gt;=클레임조회!$C$4)),OR(클레임조회!$C$5="",AND(ISNUMBER($B1924),$B1924&lt;=클레임조회!$C$5)),OR(클레임조회!$C$6="",$C1924=클레임조회!$C$6),OR(클레임조회!$C$7="",$D1924=클레임조회!$C$7),OR(클레임조회!$C$8="",$E1924=클레임조회!$C$8),OR(클레임조회!$C$9="",$F1924=클레임조회!$C$9),OR(클레임조회!$C$10="",ISNUMBER(SEARCH(클레임조회!$C$10,$C1924&amp;" "&amp;$F1924&amp;" "&amp;$G1924&amp;" "&amp;$H1924)))),COUNT(O$1:O1923)+1,"")</f>
        <v/>
      </c>
      <c r="P1924" s="0" t="str">
        <f aca="false">IF(AND(TRIM(C1924)&lt;&gt;"",COUNTIF(C$2:C1924,C1924)=1),MAX(P$1:P1923)+1,"")</f>
        <v/>
      </c>
      <c r="Q1924" s="0" t="str">
        <f aca="false">IF(AND(TRIM(F1924)&lt;&gt;"",COUNTIF(F$2:F1924,F1924)=1),MAX(Q$1:Q1923)+1,"")</f>
        <v/>
      </c>
    </row>
    <row r="1925" customFormat="false" ht="15" hidden="false" customHeight="false" outlineLevel="0" collapsed="false">
      <c r="A1925" s="9"/>
      <c r="B1925" s="10"/>
      <c r="C1925" s="11"/>
      <c r="D1925" s="11"/>
      <c r="E1925" s="11"/>
      <c r="F1925" s="11"/>
      <c r="G1925" s="12"/>
      <c r="H1925" s="12"/>
      <c r="I1925" s="10"/>
      <c r="J1925" s="12"/>
      <c r="K1925" s="13" t="str">
        <f aca="false">IF(ISNUMBER(B1925),YEAR(B1925),"")</f>
        <v/>
      </c>
      <c r="L1925" s="13" t="str">
        <f aca="false">IF(ISNUMBER(B1925),MONTH(B1925),"")</f>
        <v/>
      </c>
      <c r="M1925" s="13" t="str">
        <f aca="false">IF(AND(ISNUMBER(B1925),ISNUMBER(I1925)),B1925-I1925+1,"")</f>
        <v/>
      </c>
      <c r="N1925" s="14" t="str">
        <f aca="false">IF(B1925="","",IF(M1925="","시작일 미입력",IF(M1925&lt;1,"시작일 이전(확인)",IF(M1925=1,"1일째",IF(M1925=2,"2일째",IF(M1925=3,"3일째",IF(M1925&lt;=7,"일주일 이내",IF(M1925&lt;=14,"이주일 이내","15일 이후"))))))))</f>
        <v/>
      </c>
      <c r="O1925" s="0" t="str">
        <f aca="false">IF(AND(COUNTA($A1925:$J1925)&gt;0,OR(클레임조회!$C$4="",AND(ISNUMBER($B1925),$B1925&gt;=클레임조회!$C$4)),OR(클레임조회!$C$5="",AND(ISNUMBER($B1925),$B1925&lt;=클레임조회!$C$5)),OR(클레임조회!$C$6="",$C1925=클레임조회!$C$6),OR(클레임조회!$C$7="",$D1925=클레임조회!$C$7),OR(클레임조회!$C$8="",$E1925=클레임조회!$C$8),OR(클레임조회!$C$9="",$F1925=클레임조회!$C$9),OR(클레임조회!$C$10="",ISNUMBER(SEARCH(클레임조회!$C$10,$C1925&amp;" "&amp;$F1925&amp;" "&amp;$G1925&amp;" "&amp;$H1925)))),COUNT(O$1:O1924)+1,"")</f>
        <v/>
      </c>
      <c r="P1925" s="0" t="str">
        <f aca="false">IF(AND(TRIM(C1925)&lt;&gt;"",COUNTIF(C$2:C1925,C1925)=1),MAX(P$1:P1924)+1,"")</f>
        <v/>
      </c>
      <c r="Q1925" s="0" t="str">
        <f aca="false">IF(AND(TRIM(F1925)&lt;&gt;"",COUNTIF(F$2:F1925,F1925)=1),MAX(Q$1:Q1924)+1,"")</f>
        <v/>
      </c>
    </row>
    <row r="1926" customFormat="false" ht="15" hidden="false" customHeight="false" outlineLevel="0" collapsed="false">
      <c r="A1926" s="9"/>
      <c r="B1926" s="10"/>
      <c r="C1926" s="11"/>
      <c r="D1926" s="11"/>
      <c r="E1926" s="11"/>
      <c r="F1926" s="11"/>
      <c r="G1926" s="12"/>
      <c r="H1926" s="12"/>
      <c r="I1926" s="10"/>
      <c r="J1926" s="12"/>
      <c r="K1926" s="13" t="str">
        <f aca="false">IF(ISNUMBER(B1926),YEAR(B1926),"")</f>
        <v/>
      </c>
      <c r="L1926" s="13" t="str">
        <f aca="false">IF(ISNUMBER(B1926),MONTH(B1926),"")</f>
        <v/>
      </c>
      <c r="M1926" s="13" t="str">
        <f aca="false">IF(AND(ISNUMBER(B1926),ISNUMBER(I1926)),B1926-I1926+1,"")</f>
        <v/>
      </c>
      <c r="N1926" s="14" t="str">
        <f aca="false">IF(B1926="","",IF(M1926="","시작일 미입력",IF(M1926&lt;1,"시작일 이전(확인)",IF(M1926=1,"1일째",IF(M1926=2,"2일째",IF(M1926=3,"3일째",IF(M1926&lt;=7,"일주일 이내",IF(M1926&lt;=14,"이주일 이내","15일 이후"))))))))</f>
        <v/>
      </c>
      <c r="O1926" s="0" t="str">
        <f aca="false">IF(AND(COUNTA($A1926:$J1926)&gt;0,OR(클레임조회!$C$4="",AND(ISNUMBER($B1926),$B1926&gt;=클레임조회!$C$4)),OR(클레임조회!$C$5="",AND(ISNUMBER($B1926),$B1926&lt;=클레임조회!$C$5)),OR(클레임조회!$C$6="",$C1926=클레임조회!$C$6),OR(클레임조회!$C$7="",$D1926=클레임조회!$C$7),OR(클레임조회!$C$8="",$E1926=클레임조회!$C$8),OR(클레임조회!$C$9="",$F1926=클레임조회!$C$9),OR(클레임조회!$C$10="",ISNUMBER(SEARCH(클레임조회!$C$10,$C1926&amp;" "&amp;$F1926&amp;" "&amp;$G1926&amp;" "&amp;$H1926)))),COUNT(O$1:O1925)+1,"")</f>
        <v/>
      </c>
      <c r="P1926" s="0" t="str">
        <f aca="false">IF(AND(TRIM(C1926)&lt;&gt;"",COUNTIF(C$2:C1926,C1926)=1),MAX(P$1:P1925)+1,"")</f>
        <v/>
      </c>
      <c r="Q1926" s="0" t="str">
        <f aca="false">IF(AND(TRIM(F1926)&lt;&gt;"",COUNTIF(F$2:F1926,F1926)=1),MAX(Q$1:Q1925)+1,"")</f>
        <v/>
      </c>
    </row>
    <row r="1927" customFormat="false" ht="15" hidden="false" customHeight="false" outlineLevel="0" collapsed="false">
      <c r="A1927" s="9"/>
      <c r="B1927" s="10"/>
      <c r="C1927" s="11"/>
      <c r="D1927" s="11"/>
      <c r="E1927" s="11"/>
      <c r="F1927" s="11"/>
      <c r="G1927" s="12"/>
      <c r="H1927" s="12"/>
      <c r="I1927" s="10"/>
      <c r="J1927" s="12"/>
      <c r="K1927" s="13" t="str">
        <f aca="false">IF(ISNUMBER(B1927),YEAR(B1927),"")</f>
        <v/>
      </c>
      <c r="L1927" s="13" t="str">
        <f aca="false">IF(ISNUMBER(B1927),MONTH(B1927),"")</f>
        <v/>
      </c>
      <c r="M1927" s="13" t="str">
        <f aca="false">IF(AND(ISNUMBER(B1927),ISNUMBER(I1927)),B1927-I1927+1,"")</f>
        <v/>
      </c>
      <c r="N1927" s="14" t="str">
        <f aca="false">IF(B1927="","",IF(M1927="","시작일 미입력",IF(M1927&lt;1,"시작일 이전(확인)",IF(M1927=1,"1일째",IF(M1927=2,"2일째",IF(M1927=3,"3일째",IF(M1927&lt;=7,"일주일 이내",IF(M1927&lt;=14,"이주일 이내","15일 이후"))))))))</f>
        <v/>
      </c>
      <c r="O1927" s="0" t="str">
        <f aca="false">IF(AND(COUNTA($A1927:$J1927)&gt;0,OR(클레임조회!$C$4="",AND(ISNUMBER($B1927),$B1927&gt;=클레임조회!$C$4)),OR(클레임조회!$C$5="",AND(ISNUMBER($B1927),$B1927&lt;=클레임조회!$C$5)),OR(클레임조회!$C$6="",$C1927=클레임조회!$C$6),OR(클레임조회!$C$7="",$D1927=클레임조회!$C$7),OR(클레임조회!$C$8="",$E1927=클레임조회!$C$8),OR(클레임조회!$C$9="",$F1927=클레임조회!$C$9),OR(클레임조회!$C$10="",ISNUMBER(SEARCH(클레임조회!$C$10,$C1927&amp;" "&amp;$F1927&amp;" "&amp;$G1927&amp;" "&amp;$H1927)))),COUNT(O$1:O1926)+1,"")</f>
        <v/>
      </c>
      <c r="P1927" s="0" t="str">
        <f aca="false">IF(AND(TRIM(C1927)&lt;&gt;"",COUNTIF(C$2:C1927,C1927)=1),MAX(P$1:P1926)+1,"")</f>
        <v/>
      </c>
      <c r="Q1927" s="0" t="str">
        <f aca="false">IF(AND(TRIM(F1927)&lt;&gt;"",COUNTIF(F$2:F1927,F1927)=1),MAX(Q$1:Q1926)+1,"")</f>
        <v/>
      </c>
    </row>
    <row r="1928" customFormat="false" ht="15" hidden="false" customHeight="false" outlineLevel="0" collapsed="false">
      <c r="A1928" s="9"/>
      <c r="B1928" s="10"/>
      <c r="C1928" s="11"/>
      <c r="D1928" s="11"/>
      <c r="E1928" s="11"/>
      <c r="F1928" s="11"/>
      <c r="G1928" s="12"/>
      <c r="H1928" s="12"/>
      <c r="I1928" s="10"/>
      <c r="J1928" s="12"/>
      <c r="K1928" s="13" t="str">
        <f aca="false">IF(ISNUMBER(B1928),YEAR(B1928),"")</f>
        <v/>
      </c>
      <c r="L1928" s="13" t="str">
        <f aca="false">IF(ISNUMBER(B1928),MONTH(B1928),"")</f>
        <v/>
      </c>
      <c r="M1928" s="13" t="str">
        <f aca="false">IF(AND(ISNUMBER(B1928),ISNUMBER(I1928)),B1928-I1928+1,"")</f>
        <v/>
      </c>
      <c r="N1928" s="14" t="str">
        <f aca="false">IF(B1928="","",IF(M1928="","시작일 미입력",IF(M1928&lt;1,"시작일 이전(확인)",IF(M1928=1,"1일째",IF(M1928=2,"2일째",IF(M1928=3,"3일째",IF(M1928&lt;=7,"일주일 이내",IF(M1928&lt;=14,"이주일 이내","15일 이후"))))))))</f>
        <v/>
      </c>
      <c r="O1928" s="0" t="str">
        <f aca="false">IF(AND(COUNTA($A1928:$J1928)&gt;0,OR(클레임조회!$C$4="",AND(ISNUMBER($B1928),$B1928&gt;=클레임조회!$C$4)),OR(클레임조회!$C$5="",AND(ISNUMBER($B1928),$B1928&lt;=클레임조회!$C$5)),OR(클레임조회!$C$6="",$C1928=클레임조회!$C$6),OR(클레임조회!$C$7="",$D1928=클레임조회!$C$7),OR(클레임조회!$C$8="",$E1928=클레임조회!$C$8),OR(클레임조회!$C$9="",$F1928=클레임조회!$C$9),OR(클레임조회!$C$10="",ISNUMBER(SEARCH(클레임조회!$C$10,$C1928&amp;" "&amp;$F1928&amp;" "&amp;$G1928&amp;" "&amp;$H1928)))),COUNT(O$1:O1927)+1,"")</f>
        <v/>
      </c>
      <c r="P1928" s="0" t="str">
        <f aca="false">IF(AND(TRIM(C1928)&lt;&gt;"",COUNTIF(C$2:C1928,C1928)=1),MAX(P$1:P1927)+1,"")</f>
        <v/>
      </c>
      <c r="Q1928" s="0" t="str">
        <f aca="false">IF(AND(TRIM(F1928)&lt;&gt;"",COUNTIF(F$2:F1928,F1928)=1),MAX(Q$1:Q1927)+1,"")</f>
        <v/>
      </c>
    </row>
    <row r="1929" customFormat="false" ht="15" hidden="false" customHeight="false" outlineLevel="0" collapsed="false">
      <c r="A1929" s="9"/>
      <c r="B1929" s="10"/>
      <c r="C1929" s="11"/>
      <c r="D1929" s="11"/>
      <c r="E1929" s="11"/>
      <c r="F1929" s="11"/>
      <c r="G1929" s="12"/>
      <c r="H1929" s="12"/>
      <c r="I1929" s="10"/>
      <c r="J1929" s="12"/>
      <c r="K1929" s="13" t="str">
        <f aca="false">IF(ISNUMBER(B1929),YEAR(B1929),"")</f>
        <v/>
      </c>
      <c r="L1929" s="13" t="str">
        <f aca="false">IF(ISNUMBER(B1929),MONTH(B1929),"")</f>
        <v/>
      </c>
      <c r="M1929" s="13" t="str">
        <f aca="false">IF(AND(ISNUMBER(B1929),ISNUMBER(I1929)),B1929-I1929+1,"")</f>
        <v/>
      </c>
      <c r="N1929" s="14" t="str">
        <f aca="false">IF(B1929="","",IF(M1929="","시작일 미입력",IF(M1929&lt;1,"시작일 이전(확인)",IF(M1929=1,"1일째",IF(M1929=2,"2일째",IF(M1929=3,"3일째",IF(M1929&lt;=7,"일주일 이내",IF(M1929&lt;=14,"이주일 이내","15일 이후"))))))))</f>
        <v/>
      </c>
      <c r="O1929" s="0" t="str">
        <f aca="false">IF(AND(COUNTA($A1929:$J1929)&gt;0,OR(클레임조회!$C$4="",AND(ISNUMBER($B1929),$B1929&gt;=클레임조회!$C$4)),OR(클레임조회!$C$5="",AND(ISNUMBER($B1929),$B1929&lt;=클레임조회!$C$5)),OR(클레임조회!$C$6="",$C1929=클레임조회!$C$6),OR(클레임조회!$C$7="",$D1929=클레임조회!$C$7),OR(클레임조회!$C$8="",$E1929=클레임조회!$C$8),OR(클레임조회!$C$9="",$F1929=클레임조회!$C$9),OR(클레임조회!$C$10="",ISNUMBER(SEARCH(클레임조회!$C$10,$C1929&amp;" "&amp;$F1929&amp;" "&amp;$G1929&amp;" "&amp;$H1929)))),COUNT(O$1:O1928)+1,"")</f>
        <v/>
      </c>
      <c r="P1929" s="0" t="str">
        <f aca="false">IF(AND(TRIM(C1929)&lt;&gt;"",COUNTIF(C$2:C1929,C1929)=1),MAX(P$1:P1928)+1,"")</f>
        <v/>
      </c>
      <c r="Q1929" s="0" t="str">
        <f aca="false">IF(AND(TRIM(F1929)&lt;&gt;"",COUNTIF(F$2:F1929,F1929)=1),MAX(Q$1:Q1928)+1,"")</f>
        <v/>
      </c>
    </row>
    <row r="1930" customFormat="false" ht="15" hidden="false" customHeight="false" outlineLevel="0" collapsed="false">
      <c r="A1930" s="9"/>
      <c r="B1930" s="10"/>
      <c r="C1930" s="11"/>
      <c r="D1930" s="11"/>
      <c r="E1930" s="11"/>
      <c r="F1930" s="11"/>
      <c r="G1930" s="12"/>
      <c r="H1930" s="12"/>
      <c r="I1930" s="10"/>
      <c r="J1930" s="12"/>
      <c r="K1930" s="13" t="str">
        <f aca="false">IF(ISNUMBER(B1930),YEAR(B1930),"")</f>
        <v/>
      </c>
      <c r="L1930" s="13" t="str">
        <f aca="false">IF(ISNUMBER(B1930),MONTH(B1930),"")</f>
        <v/>
      </c>
      <c r="M1930" s="13" t="str">
        <f aca="false">IF(AND(ISNUMBER(B1930),ISNUMBER(I1930)),B1930-I1930+1,"")</f>
        <v/>
      </c>
      <c r="N1930" s="14" t="str">
        <f aca="false">IF(B1930="","",IF(M1930="","시작일 미입력",IF(M1930&lt;1,"시작일 이전(확인)",IF(M1930=1,"1일째",IF(M1930=2,"2일째",IF(M1930=3,"3일째",IF(M1930&lt;=7,"일주일 이내",IF(M1930&lt;=14,"이주일 이내","15일 이후"))))))))</f>
        <v/>
      </c>
      <c r="O1930" s="0" t="str">
        <f aca="false">IF(AND(COUNTA($A1930:$J1930)&gt;0,OR(클레임조회!$C$4="",AND(ISNUMBER($B1930),$B1930&gt;=클레임조회!$C$4)),OR(클레임조회!$C$5="",AND(ISNUMBER($B1930),$B1930&lt;=클레임조회!$C$5)),OR(클레임조회!$C$6="",$C1930=클레임조회!$C$6),OR(클레임조회!$C$7="",$D1930=클레임조회!$C$7),OR(클레임조회!$C$8="",$E1930=클레임조회!$C$8),OR(클레임조회!$C$9="",$F1930=클레임조회!$C$9),OR(클레임조회!$C$10="",ISNUMBER(SEARCH(클레임조회!$C$10,$C1930&amp;" "&amp;$F1930&amp;" "&amp;$G1930&amp;" "&amp;$H1930)))),COUNT(O$1:O1929)+1,"")</f>
        <v/>
      </c>
      <c r="P1930" s="0" t="str">
        <f aca="false">IF(AND(TRIM(C1930)&lt;&gt;"",COUNTIF(C$2:C1930,C1930)=1),MAX(P$1:P1929)+1,"")</f>
        <v/>
      </c>
      <c r="Q1930" s="0" t="str">
        <f aca="false">IF(AND(TRIM(F1930)&lt;&gt;"",COUNTIF(F$2:F1930,F1930)=1),MAX(Q$1:Q1929)+1,"")</f>
        <v/>
      </c>
    </row>
    <row r="1931" customFormat="false" ht="15" hidden="false" customHeight="false" outlineLevel="0" collapsed="false">
      <c r="A1931" s="9"/>
      <c r="B1931" s="10"/>
      <c r="C1931" s="11"/>
      <c r="D1931" s="11"/>
      <c r="E1931" s="11"/>
      <c r="F1931" s="11"/>
      <c r="G1931" s="12"/>
      <c r="H1931" s="12"/>
      <c r="I1931" s="10"/>
      <c r="J1931" s="12"/>
      <c r="K1931" s="13" t="str">
        <f aca="false">IF(ISNUMBER(B1931),YEAR(B1931),"")</f>
        <v/>
      </c>
      <c r="L1931" s="13" t="str">
        <f aca="false">IF(ISNUMBER(B1931),MONTH(B1931),"")</f>
        <v/>
      </c>
      <c r="M1931" s="13" t="str">
        <f aca="false">IF(AND(ISNUMBER(B1931),ISNUMBER(I1931)),B1931-I1931+1,"")</f>
        <v/>
      </c>
      <c r="N1931" s="14" t="str">
        <f aca="false">IF(B1931="","",IF(M1931="","시작일 미입력",IF(M1931&lt;1,"시작일 이전(확인)",IF(M1931=1,"1일째",IF(M1931=2,"2일째",IF(M1931=3,"3일째",IF(M1931&lt;=7,"일주일 이내",IF(M1931&lt;=14,"이주일 이내","15일 이후"))))))))</f>
        <v/>
      </c>
      <c r="O1931" s="0" t="str">
        <f aca="false">IF(AND(COUNTA($A1931:$J1931)&gt;0,OR(클레임조회!$C$4="",AND(ISNUMBER($B1931),$B1931&gt;=클레임조회!$C$4)),OR(클레임조회!$C$5="",AND(ISNUMBER($B1931),$B1931&lt;=클레임조회!$C$5)),OR(클레임조회!$C$6="",$C1931=클레임조회!$C$6),OR(클레임조회!$C$7="",$D1931=클레임조회!$C$7),OR(클레임조회!$C$8="",$E1931=클레임조회!$C$8),OR(클레임조회!$C$9="",$F1931=클레임조회!$C$9),OR(클레임조회!$C$10="",ISNUMBER(SEARCH(클레임조회!$C$10,$C1931&amp;" "&amp;$F1931&amp;" "&amp;$G1931&amp;" "&amp;$H1931)))),COUNT(O$1:O1930)+1,"")</f>
        <v/>
      </c>
      <c r="P1931" s="0" t="str">
        <f aca="false">IF(AND(TRIM(C1931)&lt;&gt;"",COUNTIF(C$2:C1931,C1931)=1),MAX(P$1:P1930)+1,"")</f>
        <v/>
      </c>
      <c r="Q1931" s="0" t="str">
        <f aca="false">IF(AND(TRIM(F1931)&lt;&gt;"",COUNTIF(F$2:F1931,F1931)=1),MAX(Q$1:Q1930)+1,"")</f>
        <v/>
      </c>
    </row>
    <row r="1932" customFormat="false" ht="15" hidden="false" customHeight="false" outlineLevel="0" collapsed="false">
      <c r="A1932" s="9"/>
      <c r="B1932" s="10"/>
      <c r="C1932" s="11"/>
      <c r="D1932" s="11"/>
      <c r="E1932" s="11"/>
      <c r="F1932" s="11"/>
      <c r="G1932" s="12"/>
      <c r="H1932" s="12"/>
      <c r="I1932" s="10"/>
      <c r="J1932" s="12"/>
      <c r="K1932" s="13" t="str">
        <f aca="false">IF(ISNUMBER(B1932),YEAR(B1932),"")</f>
        <v/>
      </c>
      <c r="L1932" s="13" t="str">
        <f aca="false">IF(ISNUMBER(B1932),MONTH(B1932),"")</f>
        <v/>
      </c>
      <c r="M1932" s="13" t="str">
        <f aca="false">IF(AND(ISNUMBER(B1932),ISNUMBER(I1932)),B1932-I1932+1,"")</f>
        <v/>
      </c>
      <c r="N1932" s="14" t="str">
        <f aca="false">IF(B1932="","",IF(M1932="","시작일 미입력",IF(M1932&lt;1,"시작일 이전(확인)",IF(M1932=1,"1일째",IF(M1932=2,"2일째",IF(M1932=3,"3일째",IF(M1932&lt;=7,"일주일 이내",IF(M1932&lt;=14,"이주일 이내","15일 이후"))))))))</f>
        <v/>
      </c>
      <c r="O1932" s="0" t="str">
        <f aca="false">IF(AND(COUNTA($A1932:$J1932)&gt;0,OR(클레임조회!$C$4="",AND(ISNUMBER($B1932),$B1932&gt;=클레임조회!$C$4)),OR(클레임조회!$C$5="",AND(ISNUMBER($B1932),$B1932&lt;=클레임조회!$C$5)),OR(클레임조회!$C$6="",$C1932=클레임조회!$C$6),OR(클레임조회!$C$7="",$D1932=클레임조회!$C$7),OR(클레임조회!$C$8="",$E1932=클레임조회!$C$8),OR(클레임조회!$C$9="",$F1932=클레임조회!$C$9),OR(클레임조회!$C$10="",ISNUMBER(SEARCH(클레임조회!$C$10,$C1932&amp;" "&amp;$F1932&amp;" "&amp;$G1932&amp;" "&amp;$H1932)))),COUNT(O$1:O1931)+1,"")</f>
        <v/>
      </c>
      <c r="P1932" s="0" t="str">
        <f aca="false">IF(AND(TRIM(C1932)&lt;&gt;"",COUNTIF(C$2:C1932,C1932)=1),MAX(P$1:P1931)+1,"")</f>
        <v/>
      </c>
      <c r="Q1932" s="0" t="str">
        <f aca="false">IF(AND(TRIM(F1932)&lt;&gt;"",COUNTIF(F$2:F1932,F1932)=1),MAX(Q$1:Q1931)+1,"")</f>
        <v/>
      </c>
    </row>
    <row r="1933" customFormat="false" ht="15" hidden="false" customHeight="false" outlineLevel="0" collapsed="false">
      <c r="A1933" s="9"/>
      <c r="B1933" s="10"/>
      <c r="C1933" s="11"/>
      <c r="D1933" s="11"/>
      <c r="E1933" s="11"/>
      <c r="F1933" s="11"/>
      <c r="G1933" s="12"/>
      <c r="H1933" s="12"/>
      <c r="I1933" s="10"/>
      <c r="J1933" s="12"/>
      <c r="K1933" s="13" t="str">
        <f aca="false">IF(ISNUMBER(B1933),YEAR(B1933),"")</f>
        <v/>
      </c>
      <c r="L1933" s="13" t="str">
        <f aca="false">IF(ISNUMBER(B1933),MONTH(B1933),"")</f>
        <v/>
      </c>
      <c r="M1933" s="13" t="str">
        <f aca="false">IF(AND(ISNUMBER(B1933),ISNUMBER(I1933)),B1933-I1933+1,"")</f>
        <v/>
      </c>
      <c r="N1933" s="14" t="str">
        <f aca="false">IF(B1933="","",IF(M1933="","시작일 미입력",IF(M1933&lt;1,"시작일 이전(확인)",IF(M1933=1,"1일째",IF(M1933=2,"2일째",IF(M1933=3,"3일째",IF(M1933&lt;=7,"일주일 이내",IF(M1933&lt;=14,"이주일 이내","15일 이후"))))))))</f>
        <v/>
      </c>
      <c r="O1933" s="0" t="str">
        <f aca="false">IF(AND(COUNTA($A1933:$J1933)&gt;0,OR(클레임조회!$C$4="",AND(ISNUMBER($B1933),$B1933&gt;=클레임조회!$C$4)),OR(클레임조회!$C$5="",AND(ISNUMBER($B1933),$B1933&lt;=클레임조회!$C$5)),OR(클레임조회!$C$6="",$C1933=클레임조회!$C$6),OR(클레임조회!$C$7="",$D1933=클레임조회!$C$7),OR(클레임조회!$C$8="",$E1933=클레임조회!$C$8),OR(클레임조회!$C$9="",$F1933=클레임조회!$C$9),OR(클레임조회!$C$10="",ISNUMBER(SEARCH(클레임조회!$C$10,$C1933&amp;" "&amp;$F1933&amp;" "&amp;$G1933&amp;" "&amp;$H1933)))),COUNT(O$1:O1932)+1,"")</f>
        <v/>
      </c>
      <c r="P1933" s="0" t="str">
        <f aca="false">IF(AND(TRIM(C1933)&lt;&gt;"",COUNTIF(C$2:C1933,C1933)=1),MAX(P$1:P1932)+1,"")</f>
        <v/>
      </c>
      <c r="Q1933" s="0" t="str">
        <f aca="false">IF(AND(TRIM(F1933)&lt;&gt;"",COUNTIF(F$2:F1933,F1933)=1),MAX(Q$1:Q1932)+1,"")</f>
        <v/>
      </c>
    </row>
    <row r="1934" customFormat="false" ht="15" hidden="false" customHeight="false" outlineLevel="0" collapsed="false">
      <c r="A1934" s="9"/>
      <c r="B1934" s="10"/>
      <c r="C1934" s="11"/>
      <c r="D1934" s="11"/>
      <c r="E1934" s="11"/>
      <c r="F1934" s="11"/>
      <c r="G1934" s="12"/>
      <c r="H1934" s="12"/>
      <c r="I1934" s="10"/>
      <c r="J1934" s="12"/>
      <c r="K1934" s="13" t="str">
        <f aca="false">IF(ISNUMBER(B1934),YEAR(B1934),"")</f>
        <v/>
      </c>
      <c r="L1934" s="13" t="str">
        <f aca="false">IF(ISNUMBER(B1934),MONTH(B1934),"")</f>
        <v/>
      </c>
      <c r="M1934" s="13" t="str">
        <f aca="false">IF(AND(ISNUMBER(B1934),ISNUMBER(I1934)),B1934-I1934+1,"")</f>
        <v/>
      </c>
      <c r="N1934" s="14" t="str">
        <f aca="false">IF(B1934="","",IF(M1934="","시작일 미입력",IF(M1934&lt;1,"시작일 이전(확인)",IF(M1934=1,"1일째",IF(M1934=2,"2일째",IF(M1934=3,"3일째",IF(M1934&lt;=7,"일주일 이내",IF(M1934&lt;=14,"이주일 이내","15일 이후"))))))))</f>
        <v/>
      </c>
      <c r="O1934" s="0" t="str">
        <f aca="false">IF(AND(COUNTA($A1934:$J1934)&gt;0,OR(클레임조회!$C$4="",AND(ISNUMBER($B1934),$B1934&gt;=클레임조회!$C$4)),OR(클레임조회!$C$5="",AND(ISNUMBER($B1934),$B1934&lt;=클레임조회!$C$5)),OR(클레임조회!$C$6="",$C1934=클레임조회!$C$6),OR(클레임조회!$C$7="",$D1934=클레임조회!$C$7),OR(클레임조회!$C$8="",$E1934=클레임조회!$C$8),OR(클레임조회!$C$9="",$F1934=클레임조회!$C$9),OR(클레임조회!$C$10="",ISNUMBER(SEARCH(클레임조회!$C$10,$C1934&amp;" "&amp;$F1934&amp;" "&amp;$G1934&amp;" "&amp;$H1934)))),COUNT(O$1:O1933)+1,"")</f>
        <v/>
      </c>
      <c r="P1934" s="0" t="str">
        <f aca="false">IF(AND(TRIM(C1934)&lt;&gt;"",COUNTIF(C$2:C1934,C1934)=1),MAX(P$1:P1933)+1,"")</f>
        <v/>
      </c>
      <c r="Q1934" s="0" t="str">
        <f aca="false">IF(AND(TRIM(F1934)&lt;&gt;"",COUNTIF(F$2:F1934,F1934)=1),MAX(Q$1:Q1933)+1,"")</f>
        <v/>
      </c>
    </row>
    <row r="1935" customFormat="false" ht="15" hidden="false" customHeight="false" outlineLevel="0" collapsed="false">
      <c r="A1935" s="9"/>
      <c r="B1935" s="10"/>
      <c r="C1935" s="11"/>
      <c r="D1935" s="11"/>
      <c r="E1935" s="11"/>
      <c r="F1935" s="11"/>
      <c r="G1935" s="12"/>
      <c r="H1935" s="12"/>
      <c r="I1935" s="10"/>
      <c r="J1935" s="12"/>
      <c r="K1935" s="13" t="str">
        <f aca="false">IF(ISNUMBER(B1935),YEAR(B1935),"")</f>
        <v/>
      </c>
      <c r="L1935" s="13" t="str">
        <f aca="false">IF(ISNUMBER(B1935),MONTH(B1935),"")</f>
        <v/>
      </c>
      <c r="M1935" s="13" t="str">
        <f aca="false">IF(AND(ISNUMBER(B1935),ISNUMBER(I1935)),B1935-I1935+1,"")</f>
        <v/>
      </c>
      <c r="N1935" s="14" t="str">
        <f aca="false">IF(B1935="","",IF(M1935="","시작일 미입력",IF(M1935&lt;1,"시작일 이전(확인)",IF(M1935=1,"1일째",IF(M1935=2,"2일째",IF(M1935=3,"3일째",IF(M1935&lt;=7,"일주일 이내",IF(M1935&lt;=14,"이주일 이내","15일 이후"))))))))</f>
        <v/>
      </c>
      <c r="O1935" s="0" t="str">
        <f aca="false">IF(AND(COUNTA($A1935:$J1935)&gt;0,OR(클레임조회!$C$4="",AND(ISNUMBER($B1935),$B1935&gt;=클레임조회!$C$4)),OR(클레임조회!$C$5="",AND(ISNUMBER($B1935),$B1935&lt;=클레임조회!$C$5)),OR(클레임조회!$C$6="",$C1935=클레임조회!$C$6),OR(클레임조회!$C$7="",$D1935=클레임조회!$C$7),OR(클레임조회!$C$8="",$E1935=클레임조회!$C$8),OR(클레임조회!$C$9="",$F1935=클레임조회!$C$9),OR(클레임조회!$C$10="",ISNUMBER(SEARCH(클레임조회!$C$10,$C1935&amp;" "&amp;$F1935&amp;" "&amp;$G1935&amp;" "&amp;$H1935)))),COUNT(O$1:O1934)+1,"")</f>
        <v/>
      </c>
      <c r="P1935" s="0" t="str">
        <f aca="false">IF(AND(TRIM(C1935)&lt;&gt;"",COUNTIF(C$2:C1935,C1935)=1),MAX(P$1:P1934)+1,"")</f>
        <v/>
      </c>
      <c r="Q1935" s="0" t="str">
        <f aca="false">IF(AND(TRIM(F1935)&lt;&gt;"",COUNTIF(F$2:F1935,F1935)=1),MAX(Q$1:Q1934)+1,"")</f>
        <v/>
      </c>
    </row>
    <row r="1936" customFormat="false" ht="15" hidden="false" customHeight="false" outlineLevel="0" collapsed="false">
      <c r="A1936" s="9"/>
      <c r="B1936" s="10"/>
      <c r="C1936" s="11"/>
      <c r="D1936" s="11"/>
      <c r="E1936" s="11"/>
      <c r="F1936" s="11"/>
      <c r="G1936" s="12"/>
      <c r="H1936" s="12"/>
      <c r="I1936" s="10"/>
      <c r="J1936" s="12"/>
      <c r="K1936" s="13" t="str">
        <f aca="false">IF(ISNUMBER(B1936),YEAR(B1936),"")</f>
        <v/>
      </c>
      <c r="L1936" s="13" t="str">
        <f aca="false">IF(ISNUMBER(B1936),MONTH(B1936),"")</f>
        <v/>
      </c>
      <c r="M1936" s="13" t="str">
        <f aca="false">IF(AND(ISNUMBER(B1936),ISNUMBER(I1936)),B1936-I1936+1,"")</f>
        <v/>
      </c>
      <c r="N1936" s="14" t="str">
        <f aca="false">IF(B1936="","",IF(M1936="","시작일 미입력",IF(M1936&lt;1,"시작일 이전(확인)",IF(M1936=1,"1일째",IF(M1936=2,"2일째",IF(M1936=3,"3일째",IF(M1936&lt;=7,"일주일 이내",IF(M1936&lt;=14,"이주일 이내","15일 이후"))))))))</f>
        <v/>
      </c>
      <c r="O1936" s="0" t="str">
        <f aca="false">IF(AND(COUNTA($A1936:$J1936)&gt;0,OR(클레임조회!$C$4="",AND(ISNUMBER($B1936),$B1936&gt;=클레임조회!$C$4)),OR(클레임조회!$C$5="",AND(ISNUMBER($B1936),$B1936&lt;=클레임조회!$C$5)),OR(클레임조회!$C$6="",$C1936=클레임조회!$C$6),OR(클레임조회!$C$7="",$D1936=클레임조회!$C$7),OR(클레임조회!$C$8="",$E1936=클레임조회!$C$8),OR(클레임조회!$C$9="",$F1936=클레임조회!$C$9),OR(클레임조회!$C$10="",ISNUMBER(SEARCH(클레임조회!$C$10,$C1936&amp;" "&amp;$F1936&amp;" "&amp;$G1936&amp;" "&amp;$H1936)))),COUNT(O$1:O1935)+1,"")</f>
        <v/>
      </c>
      <c r="P1936" s="0" t="str">
        <f aca="false">IF(AND(TRIM(C1936)&lt;&gt;"",COUNTIF(C$2:C1936,C1936)=1),MAX(P$1:P1935)+1,"")</f>
        <v/>
      </c>
      <c r="Q1936" s="0" t="str">
        <f aca="false">IF(AND(TRIM(F1936)&lt;&gt;"",COUNTIF(F$2:F1936,F1936)=1),MAX(Q$1:Q1935)+1,"")</f>
        <v/>
      </c>
    </row>
    <row r="1937" customFormat="false" ht="15" hidden="false" customHeight="false" outlineLevel="0" collapsed="false">
      <c r="A1937" s="9"/>
      <c r="B1937" s="10"/>
      <c r="C1937" s="11"/>
      <c r="D1937" s="11"/>
      <c r="E1937" s="11"/>
      <c r="F1937" s="11"/>
      <c r="G1937" s="12"/>
      <c r="H1937" s="12"/>
      <c r="I1937" s="10"/>
      <c r="J1937" s="12"/>
      <c r="K1937" s="13" t="str">
        <f aca="false">IF(ISNUMBER(B1937),YEAR(B1937),"")</f>
        <v/>
      </c>
      <c r="L1937" s="13" t="str">
        <f aca="false">IF(ISNUMBER(B1937),MONTH(B1937),"")</f>
        <v/>
      </c>
      <c r="M1937" s="13" t="str">
        <f aca="false">IF(AND(ISNUMBER(B1937),ISNUMBER(I1937)),B1937-I1937+1,"")</f>
        <v/>
      </c>
      <c r="N1937" s="14" t="str">
        <f aca="false">IF(B1937="","",IF(M1937="","시작일 미입력",IF(M1937&lt;1,"시작일 이전(확인)",IF(M1937=1,"1일째",IF(M1937=2,"2일째",IF(M1937=3,"3일째",IF(M1937&lt;=7,"일주일 이내",IF(M1937&lt;=14,"이주일 이내","15일 이후"))))))))</f>
        <v/>
      </c>
      <c r="O1937" s="0" t="str">
        <f aca="false">IF(AND(COUNTA($A1937:$J1937)&gt;0,OR(클레임조회!$C$4="",AND(ISNUMBER($B1937),$B1937&gt;=클레임조회!$C$4)),OR(클레임조회!$C$5="",AND(ISNUMBER($B1937),$B1937&lt;=클레임조회!$C$5)),OR(클레임조회!$C$6="",$C1937=클레임조회!$C$6),OR(클레임조회!$C$7="",$D1937=클레임조회!$C$7),OR(클레임조회!$C$8="",$E1937=클레임조회!$C$8),OR(클레임조회!$C$9="",$F1937=클레임조회!$C$9),OR(클레임조회!$C$10="",ISNUMBER(SEARCH(클레임조회!$C$10,$C1937&amp;" "&amp;$F1937&amp;" "&amp;$G1937&amp;" "&amp;$H1937)))),COUNT(O$1:O1936)+1,"")</f>
        <v/>
      </c>
      <c r="P1937" s="0" t="str">
        <f aca="false">IF(AND(TRIM(C1937)&lt;&gt;"",COUNTIF(C$2:C1937,C1937)=1),MAX(P$1:P1936)+1,"")</f>
        <v/>
      </c>
      <c r="Q1937" s="0" t="str">
        <f aca="false">IF(AND(TRIM(F1937)&lt;&gt;"",COUNTIF(F$2:F1937,F1937)=1),MAX(Q$1:Q1936)+1,"")</f>
        <v/>
      </c>
    </row>
    <row r="1938" customFormat="false" ht="15" hidden="false" customHeight="false" outlineLevel="0" collapsed="false">
      <c r="A1938" s="9"/>
      <c r="B1938" s="10"/>
      <c r="C1938" s="11"/>
      <c r="D1938" s="11"/>
      <c r="E1938" s="11"/>
      <c r="F1938" s="11"/>
      <c r="G1938" s="12"/>
      <c r="H1938" s="12"/>
      <c r="I1938" s="10"/>
      <c r="J1938" s="12"/>
      <c r="K1938" s="13" t="str">
        <f aca="false">IF(ISNUMBER(B1938),YEAR(B1938),"")</f>
        <v/>
      </c>
      <c r="L1938" s="13" t="str">
        <f aca="false">IF(ISNUMBER(B1938),MONTH(B1938),"")</f>
        <v/>
      </c>
      <c r="M1938" s="13" t="str">
        <f aca="false">IF(AND(ISNUMBER(B1938),ISNUMBER(I1938)),B1938-I1938+1,"")</f>
        <v/>
      </c>
      <c r="N1938" s="14" t="str">
        <f aca="false">IF(B1938="","",IF(M1938="","시작일 미입력",IF(M1938&lt;1,"시작일 이전(확인)",IF(M1938=1,"1일째",IF(M1938=2,"2일째",IF(M1938=3,"3일째",IF(M1938&lt;=7,"일주일 이내",IF(M1938&lt;=14,"이주일 이내","15일 이후"))))))))</f>
        <v/>
      </c>
      <c r="O1938" s="0" t="str">
        <f aca="false">IF(AND(COUNTA($A1938:$J1938)&gt;0,OR(클레임조회!$C$4="",AND(ISNUMBER($B1938),$B1938&gt;=클레임조회!$C$4)),OR(클레임조회!$C$5="",AND(ISNUMBER($B1938),$B1938&lt;=클레임조회!$C$5)),OR(클레임조회!$C$6="",$C1938=클레임조회!$C$6),OR(클레임조회!$C$7="",$D1938=클레임조회!$C$7),OR(클레임조회!$C$8="",$E1938=클레임조회!$C$8),OR(클레임조회!$C$9="",$F1938=클레임조회!$C$9),OR(클레임조회!$C$10="",ISNUMBER(SEARCH(클레임조회!$C$10,$C1938&amp;" "&amp;$F1938&amp;" "&amp;$G1938&amp;" "&amp;$H1938)))),COUNT(O$1:O1937)+1,"")</f>
        <v/>
      </c>
      <c r="P1938" s="0" t="str">
        <f aca="false">IF(AND(TRIM(C1938)&lt;&gt;"",COUNTIF(C$2:C1938,C1938)=1),MAX(P$1:P1937)+1,"")</f>
        <v/>
      </c>
      <c r="Q1938" s="0" t="str">
        <f aca="false">IF(AND(TRIM(F1938)&lt;&gt;"",COUNTIF(F$2:F1938,F1938)=1),MAX(Q$1:Q1937)+1,"")</f>
        <v/>
      </c>
    </row>
    <row r="1939" customFormat="false" ht="15" hidden="false" customHeight="false" outlineLevel="0" collapsed="false">
      <c r="A1939" s="9"/>
      <c r="B1939" s="10"/>
      <c r="C1939" s="11"/>
      <c r="D1939" s="11"/>
      <c r="E1939" s="11"/>
      <c r="F1939" s="11"/>
      <c r="G1939" s="12"/>
      <c r="H1939" s="12"/>
      <c r="I1939" s="10"/>
      <c r="J1939" s="12"/>
      <c r="K1939" s="13" t="str">
        <f aca="false">IF(ISNUMBER(B1939),YEAR(B1939),"")</f>
        <v/>
      </c>
      <c r="L1939" s="13" t="str">
        <f aca="false">IF(ISNUMBER(B1939),MONTH(B1939),"")</f>
        <v/>
      </c>
      <c r="M1939" s="13" t="str">
        <f aca="false">IF(AND(ISNUMBER(B1939),ISNUMBER(I1939)),B1939-I1939+1,"")</f>
        <v/>
      </c>
      <c r="N1939" s="14" t="str">
        <f aca="false">IF(B1939="","",IF(M1939="","시작일 미입력",IF(M1939&lt;1,"시작일 이전(확인)",IF(M1939=1,"1일째",IF(M1939=2,"2일째",IF(M1939=3,"3일째",IF(M1939&lt;=7,"일주일 이내",IF(M1939&lt;=14,"이주일 이내","15일 이후"))))))))</f>
        <v/>
      </c>
      <c r="O1939" s="0" t="str">
        <f aca="false">IF(AND(COUNTA($A1939:$J1939)&gt;0,OR(클레임조회!$C$4="",AND(ISNUMBER($B1939),$B1939&gt;=클레임조회!$C$4)),OR(클레임조회!$C$5="",AND(ISNUMBER($B1939),$B1939&lt;=클레임조회!$C$5)),OR(클레임조회!$C$6="",$C1939=클레임조회!$C$6),OR(클레임조회!$C$7="",$D1939=클레임조회!$C$7),OR(클레임조회!$C$8="",$E1939=클레임조회!$C$8),OR(클레임조회!$C$9="",$F1939=클레임조회!$C$9),OR(클레임조회!$C$10="",ISNUMBER(SEARCH(클레임조회!$C$10,$C1939&amp;" "&amp;$F1939&amp;" "&amp;$G1939&amp;" "&amp;$H1939)))),COUNT(O$1:O1938)+1,"")</f>
        <v/>
      </c>
      <c r="P1939" s="0" t="str">
        <f aca="false">IF(AND(TRIM(C1939)&lt;&gt;"",COUNTIF(C$2:C1939,C1939)=1),MAX(P$1:P1938)+1,"")</f>
        <v/>
      </c>
      <c r="Q1939" s="0" t="str">
        <f aca="false">IF(AND(TRIM(F1939)&lt;&gt;"",COUNTIF(F$2:F1939,F1939)=1),MAX(Q$1:Q1938)+1,"")</f>
        <v/>
      </c>
    </row>
    <row r="1940" customFormat="false" ht="15" hidden="false" customHeight="false" outlineLevel="0" collapsed="false">
      <c r="A1940" s="9"/>
      <c r="B1940" s="10"/>
      <c r="C1940" s="11"/>
      <c r="D1940" s="11"/>
      <c r="E1940" s="11"/>
      <c r="F1940" s="11"/>
      <c r="G1940" s="12"/>
      <c r="H1940" s="12"/>
      <c r="I1940" s="10"/>
      <c r="J1940" s="12"/>
      <c r="K1940" s="13" t="str">
        <f aca="false">IF(ISNUMBER(B1940),YEAR(B1940),"")</f>
        <v/>
      </c>
      <c r="L1940" s="13" t="str">
        <f aca="false">IF(ISNUMBER(B1940),MONTH(B1940),"")</f>
        <v/>
      </c>
      <c r="M1940" s="13" t="str">
        <f aca="false">IF(AND(ISNUMBER(B1940),ISNUMBER(I1940)),B1940-I1940+1,"")</f>
        <v/>
      </c>
      <c r="N1940" s="14" t="str">
        <f aca="false">IF(B1940="","",IF(M1940="","시작일 미입력",IF(M1940&lt;1,"시작일 이전(확인)",IF(M1940=1,"1일째",IF(M1940=2,"2일째",IF(M1940=3,"3일째",IF(M1940&lt;=7,"일주일 이내",IF(M1940&lt;=14,"이주일 이내","15일 이후"))))))))</f>
        <v/>
      </c>
      <c r="O1940" s="0" t="str">
        <f aca="false">IF(AND(COUNTA($A1940:$J1940)&gt;0,OR(클레임조회!$C$4="",AND(ISNUMBER($B1940),$B1940&gt;=클레임조회!$C$4)),OR(클레임조회!$C$5="",AND(ISNUMBER($B1940),$B1940&lt;=클레임조회!$C$5)),OR(클레임조회!$C$6="",$C1940=클레임조회!$C$6),OR(클레임조회!$C$7="",$D1940=클레임조회!$C$7),OR(클레임조회!$C$8="",$E1940=클레임조회!$C$8),OR(클레임조회!$C$9="",$F1940=클레임조회!$C$9),OR(클레임조회!$C$10="",ISNUMBER(SEARCH(클레임조회!$C$10,$C1940&amp;" "&amp;$F1940&amp;" "&amp;$G1940&amp;" "&amp;$H1940)))),COUNT(O$1:O1939)+1,"")</f>
        <v/>
      </c>
      <c r="P1940" s="0" t="str">
        <f aca="false">IF(AND(TRIM(C1940)&lt;&gt;"",COUNTIF(C$2:C1940,C1940)=1),MAX(P$1:P1939)+1,"")</f>
        <v/>
      </c>
      <c r="Q1940" s="0" t="str">
        <f aca="false">IF(AND(TRIM(F1940)&lt;&gt;"",COUNTIF(F$2:F1940,F1940)=1),MAX(Q$1:Q1939)+1,"")</f>
        <v/>
      </c>
    </row>
    <row r="1941" customFormat="false" ht="15" hidden="false" customHeight="false" outlineLevel="0" collapsed="false">
      <c r="A1941" s="9"/>
      <c r="B1941" s="10"/>
      <c r="C1941" s="11"/>
      <c r="D1941" s="11"/>
      <c r="E1941" s="11"/>
      <c r="F1941" s="11"/>
      <c r="G1941" s="12"/>
      <c r="H1941" s="12"/>
      <c r="I1941" s="10"/>
      <c r="J1941" s="12"/>
      <c r="K1941" s="13" t="str">
        <f aca="false">IF(ISNUMBER(B1941),YEAR(B1941),"")</f>
        <v/>
      </c>
      <c r="L1941" s="13" t="str">
        <f aca="false">IF(ISNUMBER(B1941),MONTH(B1941),"")</f>
        <v/>
      </c>
      <c r="M1941" s="13" t="str">
        <f aca="false">IF(AND(ISNUMBER(B1941),ISNUMBER(I1941)),B1941-I1941+1,"")</f>
        <v/>
      </c>
      <c r="N1941" s="14" t="str">
        <f aca="false">IF(B1941="","",IF(M1941="","시작일 미입력",IF(M1941&lt;1,"시작일 이전(확인)",IF(M1941=1,"1일째",IF(M1941=2,"2일째",IF(M1941=3,"3일째",IF(M1941&lt;=7,"일주일 이내",IF(M1941&lt;=14,"이주일 이내","15일 이후"))))))))</f>
        <v/>
      </c>
      <c r="O1941" s="0" t="str">
        <f aca="false">IF(AND(COUNTA($A1941:$J1941)&gt;0,OR(클레임조회!$C$4="",AND(ISNUMBER($B1941),$B1941&gt;=클레임조회!$C$4)),OR(클레임조회!$C$5="",AND(ISNUMBER($B1941),$B1941&lt;=클레임조회!$C$5)),OR(클레임조회!$C$6="",$C1941=클레임조회!$C$6),OR(클레임조회!$C$7="",$D1941=클레임조회!$C$7),OR(클레임조회!$C$8="",$E1941=클레임조회!$C$8),OR(클레임조회!$C$9="",$F1941=클레임조회!$C$9),OR(클레임조회!$C$10="",ISNUMBER(SEARCH(클레임조회!$C$10,$C1941&amp;" "&amp;$F1941&amp;" "&amp;$G1941&amp;" "&amp;$H1941)))),COUNT(O$1:O1940)+1,"")</f>
        <v/>
      </c>
      <c r="P1941" s="0" t="str">
        <f aca="false">IF(AND(TRIM(C1941)&lt;&gt;"",COUNTIF(C$2:C1941,C1941)=1),MAX(P$1:P1940)+1,"")</f>
        <v/>
      </c>
      <c r="Q1941" s="0" t="str">
        <f aca="false">IF(AND(TRIM(F1941)&lt;&gt;"",COUNTIF(F$2:F1941,F1941)=1),MAX(Q$1:Q1940)+1,"")</f>
        <v/>
      </c>
    </row>
    <row r="1942" customFormat="false" ht="15" hidden="false" customHeight="false" outlineLevel="0" collapsed="false">
      <c r="A1942" s="9"/>
      <c r="B1942" s="10"/>
      <c r="C1942" s="11"/>
      <c r="D1942" s="11"/>
      <c r="E1942" s="11"/>
      <c r="F1942" s="11"/>
      <c r="G1942" s="12"/>
      <c r="H1942" s="12"/>
      <c r="I1942" s="10"/>
      <c r="J1942" s="12"/>
      <c r="K1942" s="13" t="str">
        <f aca="false">IF(ISNUMBER(B1942),YEAR(B1942),"")</f>
        <v/>
      </c>
      <c r="L1942" s="13" t="str">
        <f aca="false">IF(ISNUMBER(B1942),MONTH(B1942),"")</f>
        <v/>
      </c>
      <c r="M1942" s="13" t="str">
        <f aca="false">IF(AND(ISNUMBER(B1942),ISNUMBER(I1942)),B1942-I1942+1,"")</f>
        <v/>
      </c>
      <c r="N1942" s="14" t="str">
        <f aca="false">IF(B1942="","",IF(M1942="","시작일 미입력",IF(M1942&lt;1,"시작일 이전(확인)",IF(M1942=1,"1일째",IF(M1942=2,"2일째",IF(M1942=3,"3일째",IF(M1942&lt;=7,"일주일 이내",IF(M1942&lt;=14,"이주일 이내","15일 이후"))))))))</f>
        <v/>
      </c>
      <c r="O1942" s="0" t="str">
        <f aca="false">IF(AND(COUNTA($A1942:$J1942)&gt;0,OR(클레임조회!$C$4="",AND(ISNUMBER($B1942),$B1942&gt;=클레임조회!$C$4)),OR(클레임조회!$C$5="",AND(ISNUMBER($B1942),$B1942&lt;=클레임조회!$C$5)),OR(클레임조회!$C$6="",$C1942=클레임조회!$C$6),OR(클레임조회!$C$7="",$D1942=클레임조회!$C$7),OR(클레임조회!$C$8="",$E1942=클레임조회!$C$8),OR(클레임조회!$C$9="",$F1942=클레임조회!$C$9),OR(클레임조회!$C$10="",ISNUMBER(SEARCH(클레임조회!$C$10,$C1942&amp;" "&amp;$F1942&amp;" "&amp;$G1942&amp;" "&amp;$H1942)))),COUNT(O$1:O1941)+1,"")</f>
        <v/>
      </c>
      <c r="P1942" s="0" t="str">
        <f aca="false">IF(AND(TRIM(C1942)&lt;&gt;"",COUNTIF(C$2:C1942,C1942)=1),MAX(P$1:P1941)+1,"")</f>
        <v/>
      </c>
      <c r="Q1942" s="0" t="str">
        <f aca="false">IF(AND(TRIM(F1942)&lt;&gt;"",COUNTIF(F$2:F1942,F1942)=1),MAX(Q$1:Q1941)+1,"")</f>
        <v/>
      </c>
    </row>
    <row r="1943" customFormat="false" ht="15" hidden="false" customHeight="false" outlineLevel="0" collapsed="false">
      <c r="A1943" s="9"/>
      <c r="B1943" s="10"/>
      <c r="C1943" s="11"/>
      <c r="D1943" s="11"/>
      <c r="E1943" s="11"/>
      <c r="F1943" s="11"/>
      <c r="G1943" s="12"/>
      <c r="H1943" s="12"/>
      <c r="I1943" s="10"/>
      <c r="J1943" s="12"/>
      <c r="K1943" s="13" t="str">
        <f aca="false">IF(ISNUMBER(B1943),YEAR(B1943),"")</f>
        <v/>
      </c>
      <c r="L1943" s="13" t="str">
        <f aca="false">IF(ISNUMBER(B1943),MONTH(B1943),"")</f>
        <v/>
      </c>
      <c r="M1943" s="13" t="str">
        <f aca="false">IF(AND(ISNUMBER(B1943),ISNUMBER(I1943)),B1943-I1943+1,"")</f>
        <v/>
      </c>
      <c r="N1943" s="14" t="str">
        <f aca="false">IF(B1943="","",IF(M1943="","시작일 미입력",IF(M1943&lt;1,"시작일 이전(확인)",IF(M1943=1,"1일째",IF(M1943=2,"2일째",IF(M1943=3,"3일째",IF(M1943&lt;=7,"일주일 이내",IF(M1943&lt;=14,"이주일 이내","15일 이후"))))))))</f>
        <v/>
      </c>
      <c r="O1943" s="0" t="str">
        <f aca="false">IF(AND(COUNTA($A1943:$J1943)&gt;0,OR(클레임조회!$C$4="",AND(ISNUMBER($B1943),$B1943&gt;=클레임조회!$C$4)),OR(클레임조회!$C$5="",AND(ISNUMBER($B1943),$B1943&lt;=클레임조회!$C$5)),OR(클레임조회!$C$6="",$C1943=클레임조회!$C$6),OR(클레임조회!$C$7="",$D1943=클레임조회!$C$7),OR(클레임조회!$C$8="",$E1943=클레임조회!$C$8),OR(클레임조회!$C$9="",$F1943=클레임조회!$C$9),OR(클레임조회!$C$10="",ISNUMBER(SEARCH(클레임조회!$C$10,$C1943&amp;" "&amp;$F1943&amp;" "&amp;$G1943&amp;" "&amp;$H1943)))),COUNT(O$1:O1942)+1,"")</f>
        <v/>
      </c>
      <c r="P1943" s="0" t="str">
        <f aca="false">IF(AND(TRIM(C1943)&lt;&gt;"",COUNTIF(C$2:C1943,C1943)=1),MAX(P$1:P1942)+1,"")</f>
        <v/>
      </c>
      <c r="Q1943" s="0" t="str">
        <f aca="false">IF(AND(TRIM(F1943)&lt;&gt;"",COUNTIF(F$2:F1943,F1943)=1),MAX(Q$1:Q1942)+1,"")</f>
        <v/>
      </c>
    </row>
    <row r="1944" customFormat="false" ht="15" hidden="false" customHeight="false" outlineLevel="0" collapsed="false">
      <c r="A1944" s="9"/>
      <c r="B1944" s="10"/>
      <c r="C1944" s="11"/>
      <c r="D1944" s="11"/>
      <c r="E1944" s="11"/>
      <c r="F1944" s="11"/>
      <c r="G1944" s="12"/>
      <c r="H1944" s="12"/>
      <c r="I1944" s="10"/>
      <c r="J1944" s="12"/>
      <c r="K1944" s="13" t="str">
        <f aca="false">IF(ISNUMBER(B1944),YEAR(B1944),"")</f>
        <v/>
      </c>
      <c r="L1944" s="13" t="str">
        <f aca="false">IF(ISNUMBER(B1944),MONTH(B1944),"")</f>
        <v/>
      </c>
      <c r="M1944" s="13" t="str">
        <f aca="false">IF(AND(ISNUMBER(B1944),ISNUMBER(I1944)),B1944-I1944+1,"")</f>
        <v/>
      </c>
      <c r="N1944" s="14" t="str">
        <f aca="false">IF(B1944="","",IF(M1944="","시작일 미입력",IF(M1944&lt;1,"시작일 이전(확인)",IF(M1944=1,"1일째",IF(M1944=2,"2일째",IF(M1944=3,"3일째",IF(M1944&lt;=7,"일주일 이내",IF(M1944&lt;=14,"이주일 이내","15일 이후"))))))))</f>
        <v/>
      </c>
      <c r="O1944" s="0" t="str">
        <f aca="false">IF(AND(COUNTA($A1944:$J1944)&gt;0,OR(클레임조회!$C$4="",AND(ISNUMBER($B1944),$B1944&gt;=클레임조회!$C$4)),OR(클레임조회!$C$5="",AND(ISNUMBER($B1944),$B1944&lt;=클레임조회!$C$5)),OR(클레임조회!$C$6="",$C1944=클레임조회!$C$6),OR(클레임조회!$C$7="",$D1944=클레임조회!$C$7),OR(클레임조회!$C$8="",$E1944=클레임조회!$C$8),OR(클레임조회!$C$9="",$F1944=클레임조회!$C$9),OR(클레임조회!$C$10="",ISNUMBER(SEARCH(클레임조회!$C$10,$C1944&amp;" "&amp;$F1944&amp;" "&amp;$G1944&amp;" "&amp;$H1944)))),COUNT(O$1:O1943)+1,"")</f>
        <v/>
      </c>
      <c r="P1944" s="0" t="str">
        <f aca="false">IF(AND(TRIM(C1944)&lt;&gt;"",COUNTIF(C$2:C1944,C1944)=1),MAX(P$1:P1943)+1,"")</f>
        <v/>
      </c>
      <c r="Q1944" s="0" t="str">
        <f aca="false">IF(AND(TRIM(F1944)&lt;&gt;"",COUNTIF(F$2:F1944,F1944)=1),MAX(Q$1:Q1943)+1,"")</f>
        <v/>
      </c>
    </row>
    <row r="1945" customFormat="false" ht="15" hidden="false" customHeight="false" outlineLevel="0" collapsed="false">
      <c r="A1945" s="9"/>
      <c r="B1945" s="10"/>
      <c r="C1945" s="11"/>
      <c r="D1945" s="11"/>
      <c r="E1945" s="11"/>
      <c r="F1945" s="11"/>
      <c r="G1945" s="12"/>
      <c r="H1945" s="12"/>
      <c r="I1945" s="10"/>
      <c r="J1945" s="12"/>
      <c r="K1945" s="13" t="str">
        <f aca="false">IF(ISNUMBER(B1945),YEAR(B1945),"")</f>
        <v/>
      </c>
      <c r="L1945" s="13" t="str">
        <f aca="false">IF(ISNUMBER(B1945),MONTH(B1945),"")</f>
        <v/>
      </c>
      <c r="M1945" s="13" t="str">
        <f aca="false">IF(AND(ISNUMBER(B1945),ISNUMBER(I1945)),B1945-I1945+1,"")</f>
        <v/>
      </c>
      <c r="N1945" s="14" t="str">
        <f aca="false">IF(B1945="","",IF(M1945="","시작일 미입력",IF(M1945&lt;1,"시작일 이전(확인)",IF(M1945=1,"1일째",IF(M1945=2,"2일째",IF(M1945=3,"3일째",IF(M1945&lt;=7,"일주일 이내",IF(M1945&lt;=14,"이주일 이내","15일 이후"))))))))</f>
        <v/>
      </c>
      <c r="O1945" s="0" t="str">
        <f aca="false">IF(AND(COUNTA($A1945:$J1945)&gt;0,OR(클레임조회!$C$4="",AND(ISNUMBER($B1945),$B1945&gt;=클레임조회!$C$4)),OR(클레임조회!$C$5="",AND(ISNUMBER($B1945),$B1945&lt;=클레임조회!$C$5)),OR(클레임조회!$C$6="",$C1945=클레임조회!$C$6),OR(클레임조회!$C$7="",$D1945=클레임조회!$C$7),OR(클레임조회!$C$8="",$E1945=클레임조회!$C$8),OR(클레임조회!$C$9="",$F1945=클레임조회!$C$9),OR(클레임조회!$C$10="",ISNUMBER(SEARCH(클레임조회!$C$10,$C1945&amp;" "&amp;$F1945&amp;" "&amp;$G1945&amp;" "&amp;$H1945)))),COUNT(O$1:O1944)+1,"")</f>
        <v/>
      </c>
      <c r="P1945" s="0" t="str">
        <f aca="false">IF(AND(TRIM(C1945)&lt;&gt;"",COUNTIF(C$2:C1945,C1945)=1),MAX(P$1:P1944)+1,"")</f>
        <v/>
      </c>
      <c r="Q1945" s="0" t="str">
        <f aca="false">IF(AND(TRIM(F1945)&lt;&gt;"",COUNTIF(F$2:F1945,F1945)=1),MAX(Q$1:Q1944)+1,"")</f>
        <v/>
      </c>
    </row>
    <row r="1946" customFormat="false" ht="15" hidden="false" customHeight="false" outlineLevel="0" collapsed="false">
      <c r="A1946" s="9"/>
      <c r="B1946" s="10"/>
      <c r="C1946" s="11"/>
      <c r="D1946" s="11"/>
      <c r="E1946" s="11"/>
      <c r="F1946" s="11"/>
      <c r="G1946" s="12"/>
      <c r="H1946" s="12"/>
      <c r="I1946" s="10"/>
      <c r="J1946" s="12"/>
      <c r="K1946" s="13" t="str">
        <f aca="false">IF(ISNUMBER(B1946),YEAR(B1946),"")</f>
        <v/>
      </c>
      <c r="L1946" s="13" t="str">
        <f aca="false">IF(ISNUMBER(B1946),MONTH(B1946),"")</f>
        <v/>
      </c>
      <c r="M1946" s="13" t="str">
        <f aca="false">IF(AND(ISNUMBER(B1946),ISNUMBER(I1946)),B1946-I1946+1,"")</f>
        <v/>
      </c>
      <c r="N1946" s="14" t="str">
        <f aca="false">IF(B1946="","",IF(M1946="","시작일 미입력",IF(M1946&lt;1,"시작일 이전(확인)",IF(M1946=1,"1일째",IF(M1946=2,"2일째",IF(M1946=3,"3일째",IF(M1946&lt;=7,"일주일 이내",IF(M1946&lt;=14,"이주일 이내","15일 이후"))))))))</f>
        <v/>
      </c>
      <c r="O1946" s="0" t="str">
        <f aca="false">IF(AND(COUNTA($A1946:$J1946)&gt;0,OR(클레임조회!$C$4="",AND(ISNUMBER($B1946),$B1946&gt;=클레임조회!$C$4)),OR(클레임조회!$C$5="",AND(ISNUMBER($B1946),$B1946&lt;=클레임조회!$C$5)),OR(클레임조회!$C$6="",$C1946=클레임조회!$C$6),OR(클레임조회!$C$7="",$D1946=클레임조회!$C$7),OR(클레임조회!$C$8="",$E1946=클레임조회!$C$8),OR(클레임조회!$C$9="",$F1946=클레임조회!$C$9),OR(클레임조회!$C$10="",ISNUMBER(SEARCH(클레임조회!$C$10,$C1946&amp;" "&amp;$F1946&amp;" "&amp;$G1946&amp;" "&amp;$H1946)))),COUNT(O$1:O1945)+1,"")</f>
        <v/>
      </c>
      <c r="P1946" s="0" t="str">
        <f aca="false">IF(AND(TRIM(C1946)&lt;&gt;"",COUNTIF(C$2:C1946,C1946)=1),MAX(P$1:P1945)+1,"")</f>
        <v/>
      </c>
      <c r="Q1946" s="0" t="str">
        <f aca="false">IF(AND(TRIM(F1946)&lt;&gt;"",COUNTIF(F$2:F1946,F1946)=1),MAX(Q$1:Q1945)+1,"")</f>
        <v/>
      </c>
    </row>
    <row r="1947" customFormat="false" ht="15" hidden="false" customHeight="false" outlineLevel="0" collapsed="false">
      <c r="A1947" s="9"/>
      <c r="B1947" s="10"/>
      <c r="C1947" s="11"/>
      <c r="D1947" s="11"/>
      <c r="E1947" s="11"/>
      <c r="F1947" s="11"/>
      <c r="G1947" s="12"/>
      <c r="H1947" s="12"/>
      <c r="I1947" s="10"/>
      <c r="J1947" s="12"/>
      <c r="K1947" s="13" t="str">
        <f aca="false">IF(ISNUMBER(B1947),YEAR(B1947),"")</f>
        <v/>
      </c>
      <c r="L1947" s="13" t="str">
        <f aca="false">IF(ISNUMBER(B1947),MONTH(B1947),"")</f>
        <v/>
      </c>
      <c r="M1947" s="13" t="str">
        <f aca="false">IF(AND(ISNUMBER(B1947),ISNUMBER(I1947)),B1947-I1947+1,"")</f>
        <v/>
      </c>
      <c r="N1947" s="14" t="str">
        <f aca="false">IF(B1947="","",IF(M1947="","시작일 미입력",IF(M1947&lt;1,"시작일 이전(확인)",IF(M1947=1,"1일째",IF(M1947=2,"2일째",IF(M1947=3,"3일째",IF(M1947&lt;=7,"일주일 이내",IF(M1947&lt;=14,"이주일 이내","15일 이후"))))))))</f>
        <v/>
      </c>
      <c r="O1947" s="0" t="str">
        <f aca="false">IF(AND(COUNTA($A1947:$J1947)&gt;0,OR(클레임조회!$C$4="",AND(ISNUMBER($B1947),$B1947&gt;=클레임조회!$C$4)),OR(클레임조회!$C$5="",AND(ISNUMBER($B1947),$B1947&lt;=클레임조회!$C$5)),OR(클레임조회!$C$6="",$C1947=클레임조회!$C$6),OR(클레임조회!$C$7="",$D1947=클레임조회!$C$7),OR(클레임조회!$C$8="",$E1947=클레임조회!$C$8),OR(클레임조회!$C$9="",$F1947=클레임조회!$C$9),OR(클레임조회!$C$10="",ISNUMBER(SEARCH(클레임조회!$C$10,$C1947&amp;" "&amp;$F1947&amp;" "&amp;$G1947&amp;" "&amp;$H1947)))),COUNT(O$1:O1946)+1,"")</f>
        <v/>
      </c>
      <c r="P1947" s="0" t="str">
        <f aca="false">IF(AND(TRIM(C1947)&lt;&gt;"",COUNTIF(C$2:C1947,C1947)=1),MAX(P$1:P1946)+1,"")</f>
        <v/>
      </c>
      <c r="Q1947" s="0" t="str">
        <f aca="false">IF(AND(TRIM(F1947)&lt;&gt;"",COUNTIF(F$2:F1947,F1947)=1),MAX(Q$1:Q1946)+1,"")</f>
        <v/>
      </c>
    </row>
    <row r="1948" customFormat="false" ht="15" hidden="false" customHeight="false" outlineLevel="0" collapsed="false">
      <c r="A1948" s="9"/>
      <c r="B1948" s="10"/>
      <c r="C1948" s="11"/>
      <c r="D1948" s="11"/>
      <c r="E1948" s="11"/>
      <c r="F1948" s="11"/>
      <c r="G1948" s="12"/>
      <c r="H1948" s="12"/>
      <c r="I1948" s="10"/>
      <c r="J1948" s="12"/>
      <c r="K1948" s="13" t="str">
        <f aca="false">IF(ISNUMBER(B1948),YEAR(B1948),"")</f>
        <v/>
      </c>
      <c r="L1948" s="13" t="str">
        <f aca="false">IF(ISNUMBER(B1948),MONTH(B1948),"")</f>
        <v/>
      </c>
      <c r="M1948" s="13" t="str">
        <f aca="false">IF(AND(ISNUMBER(B1948),ISNUMBER(I1948)),B1948-I1948+1,"")</f>
        <v/>
      </c>
      <c r="N1948" s="14" t="str">
        <f aca="false">IF(B1948="","",IF(M1948="","시작일 미입력",IF(M1948&lt;1,"시작일 이전(확인)",IF(M1948=1,"1일째",IF(M1948=2,"2일째",IF(M1948=3,"3일째",IF(M1948&lt;=7,"일주일 이내",IF(M1948&lt;=14,"이주일 이내","15일 이후"))))))))</f>
        <v/>
      </c>
      <c r="O1948" s="0" t="str">
        <f aca="false">IF(AND(COUNTA($A1948:$J1948)&gt;0,OR(클레임조회!$C$4="",AND(ISNUMBER($B1948),$B1948&gt;=클레임조회!$C$4)),OR(클레임조회!$C$5="",AND(ISNUMBER($B1948),$B1948&lt;=클레임조회!$C$5)),OR(클레임조회!$C$6="",$C1948=클레임조회!$C$6),OR(클레임조회!$C$7="",$D1948=클레임조회!$C$7),OR(클레임조회!$C$8="",$E1948=클레임조회!$C$8),OR(클레임조회!$C$9="",$F1948=클레임조회!$C$9),OR(클레임조회!$C$10="",ISNUMBER(SEARCH(클레임조회!$C$10,$C1948&amp;" "&amp;$F1948&amp;" "&amp;$G1948&amp;" "&amp;$H1948)))),COUNT(O$1:O1947)+1,"")</f>
        <v/>
      </c>
      <c r="P1948" s="0" t="str">
        <f aca="false">IF(AND(TRIM(C1948)&lt;&gt;"",COUNTIF(C$2:C1948,C1948)=1),MAX(P$1:P1947)+1,"")</f>
        <v/>
      </c>
      <c r="Q1948" s="0" t="str">
        <f aca="false">IF(AND(TRIM(F1948)&lt;&gt;"",COUNTIF(F$2:F1948,F1948)=1),MAX(Q$1:Q1947)+1,"")</f>
        <v/>
      </c>
    </row>
    <row r="1949" customFormat="false" ht="15" hidden="false" customHeight="false" outlineLevel="0" collapsed="false">
      <c r="A1949" s="9"/>
      <c r="B1949" s="10"/>
      <c r="C1949" s="11"/>
      <c r="D1949" s="11"/>
      <c r="E1949" s="11"/>
      <c r="F1949" s="11"/>
      <c r="G1949" s="12"/>
      <c r="H1949" s="12"/>
      <c r="I1949" s="10"/>
      <c r="J1949" s="12"/>
      <c r="K1949" s="13" t="str">
        <f aca="false">IF(ISNUMBER(B1949),YEAR(B1949),"")</f>
        <v/>
      </c>
      <c r="L1949" s="13" t="str">
        <f aca="false">IF(ISNUMBER(B1949),MONTH(B1949),"")</f>
        <v/>
      </c>
      <c r="M1949" s="13" t="str">
        <f aca="false">IF(AND(ISNUMBER(B1949),ISNUMBER(I1949)),B1949-I1949+1,"")</f>
        <v/>
      </c>
      <c r="N1949" s="14" t="str">
        <f aca="false">IF(B1949="","",IF(M1949="","시작일 미입력",IF(M1949&lt;1,"시작일 이전(확인)",IF(M1949=1,"1일째",IF(M1949=2,"2일째",IF(M1949=3,"3일째",IF(M1949&lt;=7,"일주일 이내",IF(M1949&lt;=14,"이주일 이내","15일 이후"))))))))</f>
        <v/>
      </c>
      <c r="O1949" s="0" t="str">
        <f aca="false">IF(AND(COUNTA($A1949:$J1949)&gt;0,OR(클레임조회!$C$4="",AND(ISNUMBER($B1949),$B1949&gt;=클레임조회!$C$4)),OR(클레임조회!$C$5="",AND(ISNUMBER($B1949),$B1949&lt;=클레임조회!$C$5)),OR(클레임조회!$C$6="",$C1949=클레임조회!$C$6),OR(클레임조회!$C$7="",$D1949=클레임조회!$C$7),OR(클레임조회!$C$8="",$E1949=클레임조회!$C$8),OR(클레임조회!$C$9="",$F1949=클레임조회!$C$9),OR(클레임조회!$C$10="",ISNUMBER(SEARCH(클레임조회!$C$10,$C1949&amp;" "&amp;$F1949&amp;" "&amp;$G1949&amp;" "&amp;$H1949)))),COUNT(O$1:O1948)+1,"")</f>
        <v/>
      </c>
      <c r="P1949" s="0" t="str">
        <f aca="false">IF(AND(TRIM(C1949)&lt;&gt;"",COUNTIF(C$2:C1949,C1949)=1),MAX(P$1:P1948)+1,"")</f>
        <v/>
      </c>
      <c r="Q1949" s="0" t="str">
        <f aca="false">IF(AND(TRIM(F1949)&lt;&gt;"",COUNTIF(F$2:F1949,F1949)=1),MAX(Q$1:Q1948)+1,"")</f>
        <v/>
      </c>
    </row>
    <row r="1950" customFormat="false" ht="15" hidden="false" customHeight="false" outlineLevel="0" collapsed="false">
      <c r="A1950" s="9"/>
      <c r="B1950" s="10"/>
      <c r="C1950" s="11"/>
      <c r="D1950" s="11"/>
      <c r="E1950" s="11"/>
      <c r="F1950" s="11"/>
      <c r="G1950" s="12"/>
      <c r="H1950" s="12"/>
      <c r="I1950" s="10"/>
      <c r="J1950" s="12"/>
      <c r="K1950" s="13" t="str">
        <f aca="false">IF(ISNUMBER(B1950),YEAR(B1950),"")</f>
        <v/>
      </c>
      <c r="L1950" s="13" t="str">
        <f aca="false">IF(ISNUMBER(B1950),MONTH(B1950),"")</f>
        <v/>
      </c>
      <c r="M1950" s="13" t="str">
        <f aca="false">IF(AND(ISNUMBER(B1950),ISNUMBER(I1950)),B1950-I1950+1,"")</f>
        <v/>
      </c>
      <c r="N1950" s="14" t="str">
        <f aca="false">IF(B1950="","",IF(M1950="","시작일 미입력",IF(M1950&lt;1,"시작일 이전(확인)",IF(M1950=1,"1일째",IF(M1950=2,"2일째",IF(M1950=3,"3일째",IF(M1950&lt;=7,"일주일 이내",IF(M1950&lt;=14,"이주일 이내","15일 이후"))))))))</f>
        <v/>
      </c>
      <c r="O1950" s="0" t="str">
        <f aca="false">IF(AND(COUNTA($A1950:$J1950)&gt;0,OR(클레임조회!$C$4="",AND(ISNUMBER($B1950),$B1950&gt;=클레임조회!$C$4)),OR(클레임조회!$C$5="",AND(ISNUMBER($B1950),$B1950&lt;=클레임조회!$C$5)),OR(클레임조회!$C$6="",$C1950=클레임조회!$C$6),OR(클레임조회!$C$7="",$D1950=클레임조회!$C$7),OR(클레임조회!$C$8="",$E1950=클레임조회!$C$8),OR(클레임조회!$C$9="",$F1950=클레임조회!$C$9),OR(클레임조회!$C$10="",ISNUMBER(SEARCH(클레임조회!$C$10,$C1950&amp;" "&amp;$F1950&amp;" "&amp;$G1950&amp;" "&amp;$H1950)))),COUNT(O$1:O1949)+1,"")</f>
        <v/>
      </c>
      <c r="P1950" s="0" t="str">
        <f aca="false">IF(AND(TRIM(C1950)&lt;&gt;"",COUNTIF(C$2:C1950,C1950)=1),MAX(P$1:P1949)+1,"")</f>
        <v/>
      </c>
      <c r="Q1950" s="0" t="str">
        <f aca="false">IF(AND(TRIM(F1950)&lt;&gt;"",COUNTIF(F$2:F1950,F1950)=1),MAX(Q$1:Q1949)+1,"")</f>
        <v/>
      </c>
    </row>
    <row r="1951" customFormat="false" ht="15" hidden="false" customHeight="false" outlineLevel="0" collapsed="false">
      <c r="A1951" s="9"/>
      <c r="B1951" s="10"/>
      <c r="C1951" s="11"/>
      <c r="D1951" s="11"/>
      <c r="E1951" s="11"/>
      <c r="F1951" s="11"/>
      <c r="G1951" s="12"/>
      <c r="H1951" s="12"/>
      <c r="I1951" s="10"/>
      <c r="J1951" s="12"/>
      <c r="K1951" s="13" t="str">
        <f aca="false">IF(ISNUMBER(B1951),YEAR(B1951),"")</f>
        <v/>
      </c>
      <c r="L1951" s="13" t="str">
        <f aca="false">IF(ISNUMBER(B1951),MONTH(B1951),"")</f>
        <v/>
      </c>
      <c r="M1951" s="13" t="str">
        <f aca="false">IF(AND(ISNUMBER(B1951),ISNUMBER(I1951)),B1951-I1951+1,"")</f>
        <v/>
      </c>
      <c r="N1951" s="14" t="str">
        <f aca="false">IF(B1951="","",IF(M1951="","시작일 미입력",IF(M1951&lt;1,"시작일 이전(확인)",IF(M1951=1,"1일째",IF(M1951=2,"2일째",IF(M1951=3,"3일째",IF(M1951&lt;=7,"일주일 이내",IF(M1951&lt;=14,"이주일 이내","15일 이후"))))))))</f>
        <v/>
      </c>
      <c r="O1951" s="0" t="str">
        <f aca="false">IF(AND(COUNTA($A1951:$J1951)&gt;0,OR(클레임조회!$C$4="",AND(ISNUMBER($B1951),$B1951&gt;=클레임조회!$C$4)),OR(클레임조회!$C$5="",AND(ISNUMBER($B1951),$B1951&lt;=클레임조회!$C$5)),OR(클레임조회!$C$6="",$C1951=클레임조회!$C$6),OR(클레임조회!$C$7="",$D1951=클레임조회!$C$7),OR(클레임조회!$C$8="",$E1951=클레임조회!$C$8),OR(클레임조회!$C$9="",$F1951=클레임조회!$C$9),OR(클레임조회!$C$10="",ISNUMBER(SEARCH(클레임조회!$C$10,$C1951&amp;" "&amp;$F1951&amp;" "&amp;$G1951&amp;" "&amp;$H1951)))),COUNT(O$1:O1950)+1,"")</f>
        <v/>
      </c>
      <c r="P1951" s="0" t="str">
        <f aca="false">IF(AND(TRIM(C1951)&lt;&gt;"",COUNTIF(C$2:C1951,C1951)=1),MAX(P$1:P1950)+1,"")</f>
        <v/>
      </c>
      <c r="Q1951" s="0" t="str">
        <f aca="false">IF(AND(TRIM(F1951)&lt;&gt;"",COUNTIF(F$2:F1951,F1951)=1),MAX(Q$1:Q1950)+1,"")</f>
        <v/>
      </c>
    </row>
    <row r="1952" customFormat="false" ht="15" hidden="false" customHeight="false" outlineLevel="0" collapsed="false">
      <c r="A1952" s="9"/>
      <c r="B1952" s="10"/>
      <c r="C1952" s="11"/>
      <c r="D1952" s="11"/>
      <c r="E1952" s="11"/>
      <c r="F1952" s="11"/>
      <c r="G1952" s="12"/>
      <c r="H1952" s="12"/>
      <c r="I1952" s="10"/>
      <c r="J1952" s="12"/>
      <c r="K1952" s="13" t="str">
        <f aca="false">IF(ISNUMBER(B1952),YEAR(B1952),"")</f>
        <v/>
      </c>
      <c r="L1952" s="13" t="str">
        <f aca="false">IF(ISNUMBER(B1952),MONTH(B1952),"")</f>
        <v/>
      </c>
      <c r="M1952" s="13" t="str">
        <f aca="false">IF(AND(ISNUMBER(B1952),ISNUMBER(I1952)),B1952-I1952+1,"")</f>
        <v/>
      </c>
      <c r="N1952" s="14" t="str">
        <f aca="false">IF(B1952="","",IF(M1952="","시작일 미입력",IF(M1952&lt;1,"시작일 이전(확인)",IF(M1952=1,"1일째",IF(M1952=2,"2일째",IF(M1952=3,"3일째",IF(M1952&lt;=7,"일주일 이내",IF(M1952&lt;=14,"이주일 이내","15일 이후"))))))))</f>
        <v/>
      </c>
      <c r="O1952" s="0" t="str">
        <f aca="false">IF(AND(COUNTA($A1952:$J1952)&gt;0,OR(클레임조회!$C$4="",AND(ISNUMBER($B1952),$B1952&gt;=클레임조회!$C$4)),OR(클레임조회!$C$5="",AND(ISNUMBER($B1952),$B1952&lt;=클레임조회!$C$5)),OR(클레임조회!$C$6="",$C1952=클레임조회!$C$6),OR(클레임조회!$C$7="",$D1952=클레임조회!$C$7),OR(클레임조회!$C$8="",$E1952=클레임조회!$C$8),OR(클레임조회!$C$9="",$F1952=클레임조회!$C$9),OR(클레임조회!$C$10="",ISNUMBER(SEARCH(클레임조회!$C$10,$C1952&amp;" "&amp;$F1952&amp;" "&amp;$G1952&amp;" "&amp;$H1952)))),COUNT(O$1:O1951)+1,"")</f>
        <v/>
      </c>
      <c r="P1952" s="0" t="str">
        <f aca="false">IF(AND(TRIM(C1952)&lt;&gt;"",COUNTIF(C$2:C1952,C1952)=1),MAX(P$1:P1951)+1,"")</f>
        <v/>
      </c>
      <c r="Q1952" s="0" t="str">
        <f aca="false">IF(AND(TRIM(F1952)&lt;&gt;"",COUNTIF(F$2:F1952,F1952)=1),MAX(Q$1:Q1951)+1,"")</f>
        <v/>
      </c>
    </row>
    <row r="1953" customFormat="false" ht="15" hidden="false" customHeight="false" outlineLevel="0" collapsed="false">
      <c r="A1953" s="9"/>
      <c r="B1953" s="10"/>
      <c r="C1953" s="11"/>
      <c r="D1953" s="11"/>
      <c r="E1953" s="11"/>
      <c r="F1953" s="11"/>
      <c r="G1953" s="12"/>
      <c r="H1953" s="12"/>
      <c r="I1953" s="10"/>
      <c r="J1953" s="12"/>
      <c r="K1953" s="13" t="str">
        <f aca="false">IF(ISNUMBER(B1953),YEAR(B1953),"")</f>
        <v/>
      </c>
      <c r="L1953" s="13" t="str">
        <f aca="false">IF(ISNUMBER(B1953),MONTH(B1953),"")</f>
        <v/>
      </c>
      <c r="M1953" s="13" t="str">
        <f aca="false">IF(AND(ISNUMBER(B1953),ISNUMBER(I1953)),B1953-I1953+1,"")</f>
        <v/>
      </c>
      <c r="N1953" s="14" t="str">
        <f aca="false">IF(B1953="","",IF(M1953="","시작일 미입력",IF(M1953&lt;1,"시작일 이전(확인)",IF(M1953=1,"1일째",IF(M1953=2,"2일째",IF(M1953=3,"3일째",IF(M1953&lt;=7,"일주일 이내",IF(M1953&lt;=14,"이주일 이내","15일 이후"))))))))</f>
        <v/>
      </c>
      <c r="O1953" s="0" t="str">
        <f aca="false">IF(AND(COUNTA($A1953:$J1953)&gt;0,OR(클레임조회!$C$4="",AND(ISNUMBER($B1953),$B1953&gt;=클레임조회!$C$4)),OR(클레임조회!$C$5="",AND(ISNUMBER($B1953),$B1953&lt;=클레임조회!$C$5)),OR(클레임조회!$C$6="",$C1953=클레임조회!$C$6),OR(클레임조회!$C$7="",$D1953=클레임조회!$C$7),OR(클레임조회!$C$8="",$E1953=클레임조회!$C$8),OR(클레임조회!$C$9="",$F1953=클레임조회!$C$9),OR(클레임조회!$C$10="",ISNUMBER(SEARCH(클레임조회!$C$10,$C1953&amp;" "&amp;$F1953&amp;" "&amp;$G1953&amp;" "&amp;$H1953)))),COUNT(O$1:O1952)+1,"")</f>
        <v/>
      </c>
      <c r="P1953" s="0" t="str">
        <f aca="false">IF(AND(TRIM(C1953)&lt;&gt;"",COUNTIF(C$2:C1953,C1953)=1),MAX(P$1:P1952)+1,"")</f>
        <v/>
      </c>
      <c r="Q1953" s="0" t="str">
        <f aca="false">IF(AND(TRIM(F1953)&lt;&gt;"",COUNTIF(F$2:F1953,F1953)=1),MAX(Q$1:Q1952)+1,"")</f>
        <v/>
      </c>
    </row>
    <row r="1954" customFormat="false" ht="15" hidden="false" customHeight="false" outlineLevel="0" collapsed="false">
      <c r="A1954" s="9"/>
      <c r="B1954" s="10"/>
      <c r="C1954" s="11"/>
      <c r="D1954" s="11"/>
      <c r="E1954" s="11"/>
      <c r="F1954" s="11"/>
      <c r="G1954" s="12"/>
      <c r="H1954" s="12"/>
      <c r="I1954" s="10"/>
      <c r="J1954" s="12"/>
      <c r="K1954" s="13" t="str">
        <f aca="false">IF(ISNUMBER(B1954),YEAR(B1954),"")</f>
        <v/>
      </c>
      <c r="L1954" s="13" t="str">
        <f aca="false">IF(ISNUMBER(B1954),MONTH(B1954),"")</f>
        <v/>
      </c>
      <c r="M1954" s="13" t="str">
        <f aca="false">IF(AND(ISNUMBER(B1954),ISNUMBER(I1954)),B1954-I1954+1,"")</f>
        <v/>
      </c>
      <c r="N1954" s="14" t="str">
        <f aca="false">IF(B1954="","",IF(M1954="","시작일 미입력",IF(M1954&lt;1,"시작일 이전(확인)",IF(M1954=1,"1일째",IF(M1954=2,"2일째",IF(M1954=3,"3일째",IF(M1954&lt;=7,"일주일 이내",IF(M1954&lt;=14,"이주일 이내","15일 이후"))))))))</f>
        <v/>
      </c>
      <c r="O1954" s="0" t="str">
        <f aca="false">IF(AND(COUNTA($A1954:$J1954)&gt;0,OR(클레임조회!$C$4="",AND(ISNUMBER($B1954),$B1954&gt;=클레임조회!$C$4)),OR(클레임조회!$C$5="",AND(ISNUMBER($B1954),$B1954&lt;=클레임조회!$C$5)),OR(클레임조회!$C$6="",$C1954=클레임조회!$C$6),OR(클레임조회!$C$7="",$D1954=클레임조회!$C$7),OR(클레임조회!$C$8="",$E1954=클레임조회!$C$8),OR(클레임조회!$C$9="",$F1954=클레임조회!$C$9),OR(클레임조회!$C$10="",ISNUMBER(SEARCH(클레임조회!$C$10,$C1954&amp;" "&amp;$F1954&amp;" "&amp;$G1954&amp;" "&amp;$H1954)))),COUNT(O$1:O1953)+1,"")</f>
        <v/>
      </c>
      <c r="P1954" s="0" t="str">
        <f aca="false">IF(AND(TRIM(C1954)&lt;&gt;"",COUNTIF(C$2:C1954,C1954)=1),MAX(P$1:P1953)+1,"")</f>
        <v/>
      </c>
      <c r="Q1954" s="0" t="str">
        <f aca="false">IF(AND(TRIM(F1954)&lt;&gt;"",COUNTIF(F$2:F1954,F1954)=1),MAX(Q$1:Q1953)+1,"")</f>
        <v/>
      </c>
    </row>
    <row r="1955" customFormat="false" ht="15" hidden="false" customHeight="false" outlineLevel="0" collapsed="false">
      <c r="A1955" s="9"/>
      <c r="B1955" s="10"/>
      <c r="C1955" s="11"/>
      <c r="D1955" s="11"/>
      <c r="E1955" s="11"/>
      <c r="F1955" s="11"/>
      <c r="G1955" s="12"/>
      <c r="H1955" s="12"/>
      <c r="I1955" s="10"/>
      <c r="J1955" s="12"/>
      <c r="K1955" s="13" t="str">
        <f aca="false">IF(ISNUMBER(B1955),YEAR(B1955),"")</f>
        <v/>
      </c>
      <c r="L1955" s="13" t="str">
        <f aca="false">IF(ISNUMBER(B1955),MONTH(B1955),"")</f>
        <v/>
      </c>
      <c r="M1955" s="13" t="str">
        <f aca="false">IF(AND(ISNUMBER(B1955),ISNUMBER(I1955)),B1955-I1955+1,"")</f>
        <v/>
      </c>
      <c r="N1955" s="14" t="str">
        <f aca="false">IF(B1955="","",IF(M1955="","시작일 미입력",IF(M1955&lt;1,"시작일 이전(확인)",IF(M1955=1,"1일째",IF(M1955=2,"2일째",IF(M1955=3,"3일째",IF(M1955&lt;=7,"일주일 이내",IF(M1955&lt;=14,"이주일 이내","15일 이후"))))))))</f>
        <v/>
      </c>
      <c r="O1955" s="0" t="str">
        <f aca="false">IF(AND(COUNTA($A1955:$J1955)&gt;0,OR(클레임조회!$C$4="",AND(ISNUMBER($B1955),$B1955&gt;=클레임조회!$C$4)),OR(클레임조회!$C$5="",AND(ISNUMBER($B1955),$B1955&lt;=클레임조회!$C$5)),OR(클레임조회!$C$6="",$C1955=클레임조회!$C$6),OR(클레임조회!$C$7="",$D1955=클레임조회!$C$7),OR(클레임조회!$C$8="",$E1955=클레임조회!$C$8),OR(클레임조회!$C$9="",$F1955=클레임조회!$C$9),OR(클레임조회!$C$10="",ISNUMBER(SEARCH(클레임조회!$C$10,$C1955&amp;" "&amp;$F1955&amp;" "&amp;$G1955&amp;" "&amp;$H1955)))),COUNT(O$1:O1954)+1,"")</f>
        <v/>
      </c>
      <c r="P1955" s="0" t="str">
        <f aca="false">IF(AND(TRIM(C1955)&lt;&gt;"",COUNTIF(C$2:C1955,C1955)=1),MAX(P$1:P1954)+1,"")</f>
        <v/>
      </c>
      <c r="Q1955" s="0" t="str">
        <f aca="false">IF(AND(TRIM(F1955)&lt;&gt;"",COUNTIF(F$2:F1955,F1955)=1),MAX(Q$1:Q1954)+1,"")</f>
        <v/>
      </c>
    </row>
    <row r="1956" customFormat="false" ht="15" hidden="false" customHeight="false" outlineLevel="0" collapsed="false">
      <c r="A1956" s="9"/>
      <c r="B1956" s="10"/>
      <c r="C1956" s="11"/>
      <c r="D1956" s="11"/>
      <c r="E1956" s="11"/>
      <c r="F1956" s="11"/>
      <c r="G1956" s="12"/>
      <c r="H1956" s="12"/>
      <c r="I1956" s="10"/>
      <c r="J1956" s="12"/>
      <c r="K1956" s="13" t="str">
        <f aca="false">IF(ISNUMBER(B1956),YEAR(B1956),"")</f>
        <v/>
      </c>
      <c r="L1956" s="13" t="str">
        <f aca="false">IF(ISNUMBER(B1956),MONTH(B1956),"")</f>
        <v/>
      </c>
      <c r="M1956" s="13" t="str">
        <f aca="false">IF(AND(ISNUMBER(B1956),ISNUMBER(I1956)),B1956-I1956+1,"")</f>
        <v/>
      </c>
      <c r="N1956" s="14" t="str">
        <f aca="false">IF(B1956="","",IF(M1956="","시작일 미입력",IF(M1956&lt;1,"시작일 이전(확인)",IF(M1956=1,"1일째",IF(M1956=2,"2일째",IF(M1956=3,"3일째",IF(M1956&lt;=7,"일주일 이내",IF(M1956&lt;=14,"이주일 이내","15일 이후"))))))))</f>
        <v/>
      </c>
      <c r="O1956" s="0" t="str">
        <f aca="false">IF(AND(COUNTA($A1956:$J1956)&gt;0,OR(클레임조회!$C$4="",AND(ISNUMBER($B1956),$B1956&gt;=클레임조회!$C$4)),OR(클레임조회!$C$5="",AND(ISNUMBER($B1956),$B1956&lt;=클레임조회!$C$5)),OR(클레임조회!$C$6="",$C1956=클레임조회!$C$6),OR(클레임조회!$C$7="",$D1956=클레임조회!$C$7),OR(클레임조회!$C$8="",$E1956=클레임조회!$C$8),OR(클레임조회!$C$9="",$F1956=클레임조회!$C$9),OR(클레임조회!$C$10="",ISNUMBER(SEARCH(클레임조회!$C$10,$C1956&amp;" "&amp;$F1956&amp;" "&amp;$G1956&amp;" "&amp;$H1956)))),COUNT(O$1:O1955)+1,"")</f>
        <v/>
      </c>
      <c r="P1956" s="0" t="str">
        <f aca="false">IF(AND(TRIM(C1956)&lt;&gt;"",COUNTIF(C$2:C1956,C1956)=1),MAX(P$1:P1955)+1,"")</f>
        <v/>
      </c>
      <c r="Q1956" s="0" t="str">
        <f aca="false">IF(AND(TRIM(F1956)&lt;&gt;"",COUNTIF(F$2:F1956,F1956)=1),MAX(Q$1:Q1955)+1,"")</f>
        <v/>
      </c>
    </row>
    <row r="1957" customFormat="false" ht="15" hidden="false" customHeight="false" outlineLevel="0" collapsed="false">
      <c r="A1957" s="9"/>
      <c r="B1957" s="10"/>
      <c r="C1957" s="11"/>
      <c r="D1957" s="11"/>
      <c r="E1957" s="11"/>
      <c r="F1957" s="11"/>
      <c r="G1957" s="12"/>
      <c r="H1957" s="12"/>
      <c r="I1957" s="10"/>
      <c r="J1957" s="12"/>
      <c r="K1957" s="13" t="str">
        <f aca="false">IF(ISNUMBER(B1957),YEAR(B1957),"")</f>
        <v/>
      </c>
      <c r="L1957" s="13" t="str">
        <f aca="false">IF(ISNUMBER(B1957),MONTH(B1957),"")</f>
        <v/>
      </c>
      <c r="M1957" s="13" t="str">
        <f aca="false">IF(AND(ISNUMBER(B1957),ISNUMBER(I1957)),B1957-I1957+1,"")</f>
        <v/>
      </c>
      <c r="N1957" s="14" t="str">
        <f aca="false">IF(B1957="","",IF(M1957="","시작일 미입력",IF(M1957&lt;1,"시작일 이전(확인)",IF(M1957=1,"1일째",IF(M1957=2,"2일째",IF(M1957=3,"3일째",IF(M1957&lt;=7,"일주일 이내",IF(M1957&lt;=14,"이주일 이내","15일 이후"))))))))</f>
        <v/>
      </c>
      <c r="O1957" s="0" t="str">
        <f aca="false">IF(AND(COUNTA($A1957:$J1957)&gt;0,OR(클레임조회!$C$4="",AND(ISNUMBER($B1957),$B1957&gt;=클레임조회!$C$4)),OR(클레임조회!$C$5="",AND(ISNUMBER($B1957),$B1957&lt;=클레임조회!$C$5)),OR(클레임조회!$C$6="",$C1957=클레임조회!$C$6),OR(클레임조회!$C$7="",$D1957=클레임조회!$C$7),OR(클레임조회!$C$8="",$E1957=클레임조회!$C$8),OR(클레임조회!$C$9="",$F1957=클레임조회!$C$9),OR(클레임조회!$C$10="",ISNUMBER(SEARCH(클레임조회!$C$10,$C1957&amp;" "&amp;$F1957&amp;" "&amp;$G1957&amp;" "&amp;$H1957)))),COUNT(O$1:O1956)+1,"")</f>
        <v/>
      </c>
      <c r="P1957" s="0" t="str">
        <f aca="false">IF(AND(TRIM(C1957)&lt;&gt;"",COUNTIF(C$2:C1957,C1957)=1),MAX(P$1:P1956)+1,"")</f>
        <v/>
      </c>
      <c r="Q1957" s="0" t="str">
        <f aca="false">IF(AND(TRIM(F1957)&lt;&gt;"",COUNTIF(F$2:F1957,F1957)=1),MAX(Q$1:Q1956)+1,"")</f>
        <v/>
      </c>
    </row>
    <row r="1958" customFormat="false" ht="15" hidden="false" customHeight="false" outlineLevel="0" collapsed="false">
      <c r="A1958" s="9"/>
      <c r="B1958" s="10"/>
      <c r="C1958" s="11"/>
      <c r="D1958" s="11"/>
      <c r="E1958" s="11"/>
      <c r="F1958" s="11"/>
      <c r="G1958" s="12"/>
      <c r="H1958" s="12"/>
      <c r="I1958" s="10"/>
      <c r="J1958" s="12"/>
      <c r="K1958" s="13" t="str">
        <f aca="false">IF(ISNUMBER(B1958),YEAR(B1958),"")</f>
        <v/>
      </c>
      <c r="L1958" s="13" t="str">
        <f aca="false">IF(ISNUMBER(B1958),MONTH(B1958),"")</f>
        <v/>
      </c>
      <c r="M1958" s="13" t="str">
        <f aca="false">IF(AND(ISNUMBER(B1958),ISNUMBER(I1958)),B1958-I1958+1,"")</f>
        <v/>
      </c>
      <c r="N1958" s="14" t="str">
        <f aca="false">IF(B1958="","",IF(M1958="","시작일 미입력",IF(M1958&lt;1,"시작일 이전(확인)",IF(M1958=1,"1일째",IF(M1958=2,"2일째",IF(M1958=3,"3일째",IF(M1958&lt;=7,"일주일 이내",IF(M1958&lt;=14,"이주일 이내","15일 이후"))))))))</f>
        <v/>
      </c>
      <c r="O1958" s="0" t="str">
        <f aca="false">IF(AND(COUNTA($A1958:$J1958)&gt;0,OR(클레임조회!$C$4="",AND(ISNUMBER($B1958),$B1958&gt;=클레임조회!$C$4)),OR(클레임조회!$C$5="",AND(ISNUMBER($B1958),$B1958&lt;=클레임조회!$C$5)),OR(클레임조회!$C$6="",$C1958=클레임조회!$C$6),OR(클레임조회!$C$7="",$D1958=클레임조회!$C$7),OR(클레임조회!$C$8="",$E1958=클레임조회!$C$8),OR(클레임조회!$C$9="",$F1958=클레임조회!$C$9),OR(클레임조회!$C$10="",ISNUMBER(SEARCH(클레임조회!$C$10,$C1958&amp;" "&amp;$F1958&amp;" "&amp;$G1958&amp;" "&amp;$H1958)))),COUNT(O$1:O1957)+1,"")</f>
        <v/>
      </c>
      <c r="P1958" s="0" t="str">
        <f aca="false">IF(AND(TRIM(C1958)&lt;&gt;"",COUNTIF(C$2:C1958,C1958)=1),MAX(P$1:P1957)+1,"")</f>
        <v/>
      </c>
      <c r="Q1958" s="0" t="str">
        <f aca="false">IF(AND(TRIM(F1958)&lt;&gt;"",COUNTIF(F$2:F1958,F1958)=1),MAX(Q$1:Q1957)+1,"")</f>
        <v/>
      </c>
    </row>
    <row r="1959" customFormat="false" ht="15" hidden="false" customHeight="false" outlineLevel="0" collapsed="false">
      <c r="A1959" s="9"/>
      <c r="B1959" s="10"/>
      <c r="C1959" s="11"/>
      <c r="D1959" s="11"/>
      <c r="E1959" s="11"/>
      <c r="F1959" s="11"/>
      <c r="G1959" s="12"/>
      <c r="H1959" s="12"/>
      <c r="I1959" s="10"/>
      <c r="J1959" s="12"/>
      <c r="K1959" s="13" t="str">
        <f aca="false">IF(ISNUMBER(B1959),YEAR(B1959),"")</f>
        <v/>
      </c>
      <c r="L1959" s="13" t="str">
        <f aca="false">IF(ISNUMBER(B1959),MONTH(B1959),"")</f>
        <v/>
      </c>
      <c r="M1959" s="13" t="str">
        <f aca="false">IF(AND(ISNUMBER(B1959),ISNUMBER(I1959)),B1959-I1959+1,"")</f>
        <v/>
      </c>
      <c r="N1959" s="14" t="str">
        <f aca="false">IF(B1959="","",IF(M1959="","시작일 미입력",IF(M1959&lt;1,"시작일 이전(확인)",IF(M1959=1,"1일째",IF(M1959=2,"2일째",IF(M1959=3,"3일째",IF(M1959&lt;=7,"일주일 이내",IF(M1959&lt;=14,"이주일 이내","15일 이후"))))))))</f>
        <v/>
      </c>
      <c r="O1959" s="0" t="str">
        <f aca="false">IF(AND(COUNTA($A1959:$J1959)&gt;0,OR(클레임조회!$C$4="",AND(ISNUMBER($B1959),$B1959&gt;=클레임조회!$C$4)),OR(클레임조회!$C$5="",AND(ISNUMBER($B1959),$B1959&lt;=클레임조회!$C$5)),OR(클레임조회!$C$6="",$C1959=클레임조회!$C$6),OR(클레임조회!$C$7="",$D1959=클레임조회!$C$7),OR(클레임조회!$C$8="",$E1959=클레임조회!$C$8),OR(클레임조회!$C$9="",$F1959=클레임조회!$C$9),OR(클레임조회!$C$10="",ISNUMBER(SEARCH(클레임조회!$C$10,$C1959&amp;" "&amp;$F1959&amp;" "&amp;$G1959&amp;" "&amp;$H1959)))),COUNT(O$1:O1958)+1,"")</f>
        <v/>
      </c>
      <c r="P1959" s="0" t="str">
        <f aca="false">IF(AND(TRIM(C1959)&lt;&gt;"",COUNTIF(C$2:C1959,C1959)=1),MAX(P$1:P1958)+1,"")</f>
        <v/>
      </c>
      <c r="Q1959" s="0" t="str">
        <f aca="false">IF(AND(TRIM(F1959)&lt;&gt;"",COUNTIF(F$2:F1959,F1959)=1),MAX(Q$1:Q1958)+1,"")</f>
        <v/>
      </c>
    </row>
    <row r="1960" customFormat="false" ht="15" hidden="false" customHeight="false" outlineLevel="0" collapsed="false">
      <c r="A1960" s="9"/>
      <c r="B1960" s="10"/>
      <c r="C1960" s="11"/>
      <c r="D1960" s="11"/>
      <c r="E1960" s="11"/>
      <c r="F1960" s="11"/>
      <c r="G1960" s="12"/>
      <c r="H1960" s="12"/>
      <c r="I1960" s="10"/>
      <c r="J1960" s="12"/>
      <c r="K1960" s="13" t="str">
        <f aca="false">IF(ISNUMBER(B1960),YEAR(B1960),"")</f>
        <v/>
      </c>
      <c r="L1960" s="13" t="str">
        <f aca="false">IF(ISNUMBER(B1960),MONTH(B1960),"")</f>
        <v/>
      </c>
      <c r="M1960" s="13" t="str">
        <f aca="false">IF(AND(ISNUMBER(B1960),ISNUMBER(I1960)),B1960-I1960+1,"")</f>
        <v/>
      </c>
      <c r="N1960" s="14" t="str">
        <f aca="false">IF(B1960="","",IF(M1960="","시작일 미입력",IF(M1960&lt;1,"시작일 이전(확인)",IF(M1960=1,"1일째",IF(M1960=2,"2일째",IF(M1960=3,"3일째",IF(M1960&lt;=7,"일주일 이내",IF(M1960&lt;=14,"이주일 이내","15일 이후"))))))))</f>
        <v/>
      </c>
      <c r="O1960" s="0" t="str">
        <f aca="false">IF(AND(COUNTA($A1960:$J1960)&gt;0,OR(클레임조회!$C$4="",AND(ISNUMBER($B1960),$B1960&gt;=클레임조회!$C$4)),OR(클레임조회!$C$5="",AND(ISNUMBER($B1960),$B1960&lt;=클레임조회!$C$5)),OR(클레임조회!$C$6="",$C1960=클레임조회!$C$6),OR(클레임조회!$C$7="",$D1960=클레임조회!$C$7),OR(클레임조회!$C$8="",$E1960=클레임조회!$C$8),OR(클레임조회!$C$9="",$F1960=클레임조회!$C$9),OR(클레임조회!$C$10="",ISNUMBER(SEARCH(클레임조회!$C$10,$C1960&amp;" "&amp;$F1960&amp;" "&amp;$G1960&amp;" "&amp;$H1960)))),COUNT(O$1:O1959)+1,"")</f>
        <v/>
      </c>
      <c r="P1960" s="0" t="str">
        <f aca="false">IF(AND(TRIM(C1960)&lt;&gt;"",COUNTIF(C$2:C1960,C1960)=1),MAX(P$1:P1959)+1,"")</f>
        <v/>
      </c>
      <c r="Q1960" s="0" t="str">
        <f aca="false">IF(AND(TRIM(F1960)&lt;&gt;"",COUNTIF(F$2:F1960,F1960)=1),MAX(Q$1:Q1959)+1,"")</f>
        <v/>
      </c>
    </row>
    <row r="1961" customFormat="false" ht="15" hidden="false" customHeight="false" outlineLevel="0" collapsed="false">
      <c r="A1961" s="9"/>
      <c r="B1961" s="10"/>
      <c r="C1961" s="11"/>
      <c r="D1961" s="11"/>
      <c r="E1961" s="11"/>
      <c r="F1961" s="11"/>
      <c r="G1961" s="12"/>
      <c r="H1961" s="12"/>
      <c r="I1961" s="10"/>
      <c r="J1961" s="12"/>
      <c r="K1961" s="13" t="str">
        <f aca="false">IF(ISNUMBER(B1961),YEAR(B1961),"")</f>
        <v/>
      </c>
      <c r="L1961" s="13" t="str">
        <f aca="false">IF(ISNUMBER(B1961),MONTH(B1961),"")</f>
        <v/>
      </c>
      <c r="M1961" s="13" t="str">
        <f aca="false">IF(AND(ISNUMBER(B1961),ISNUMBER(I1961)),B1961-I1961+1,"")</f>
        <v/>
      </c>
      <c r="N1961" s="14" t="str">
        <f aca="false">IF(B1961="","",IF(M1961="","시작일 미입력",IF(M1961&lt;1,"시작일 이전(확인)",IF(M1961=1,"1일째",IF(M1961=2,"2일째",IF(M1961=3,"3일째",IF(M1961&lt;=7,"일주일 이내",IF(M1961&lt;=14,"이주일 이내","15일 이후"))))))))</f>
        <v/>
      </c>
      <c r="O1961" s="0" t="str">
        <f aca="false">IF(AND(COUNTA($A1961:$J1961)&gt;0,OR(클레임조회!$C$4="",AND(ISNUMBER($B1961),$B1961&gt;=클레임조회!$C$4)),OR(클레임조회!$C$5="",AND(ISNUMBER($B1961),$B1961&lt;=클레임조회!$C$5)),OR(클레임조회!$C$6="",$C1961=클레임조회!$C$6),OR(클레임조회!$C$7="",$D1961=클레임조회!$C$7),OR(클레임조회!$C$8="",$E1961=클레임조회!$C$8),OR(클레임조회!$C$9="",$F1961=클레임조회!$C$9),OR(클레임조회!$C$10="",ISNUMBER(SEARCH(클레임조회!$C$10,$C1961&amp;" "&amp;$F1961&amp;" "&amp;$G1961&amp;" "&amp;$H1961)))),COUNT(O$1:O1960)+1,"")</f>
        <v/>
      </c>
      <c r="P1961" s="0" t="str">
        <f aca="false">IF(AND(TRIM(C1961)&lt;&gt;"",COUNTIF(C$2:C1961,C1961)=1),MAX(P$1:P1960)+1,"")</f>
        <v/>
      </c>
      <c r="Q1961" s="0" t="str">
        <f aca="false">IF(AND(TRIM(F1961)&lt;&gt;"",COUNTIF(F$2:F1961,F1961)=1),MAX(Q$1:Q1960)+1,"")</f>
        <v/>
      </c>
    </row>
    <row r="1962" customFormat="false" ht="15" hidden="false" customHeight="false" outlineLevel="0" collapsed="false">
      <c r="A1962" s="9"/>
      <c r="B1962" s="10"/>
      <c r="C1962" s="11"/>
      <c r="D1962" s="11"/>
      <c r="E1962" s="11"/>
      <c r="F1962" s="11"/>
      <c r="G1962" s="12"/>
      <c r="H1962" s="12"/>
      <c r="I1962" s="10"/>
      <c r="J1962" s="12"/>
      <c r="K1962" s="13" t="str">
        <f aca="false">IF(ISNUMBER(B1962),YEAR(B1962),"")</f>
        <v/>
      </c>
      <c r="L1962" s="13" t="str">
        <f aca="false">IF(ISNUMBER(B1962),MONTH(B1962),"")</f>
        <v/>
      </c>
      <c r="M1962" s="13" t="str">
        <f aca="false">IF(AND(ISNUMBER(B1962),ISNUMBER(I1962)),B1962-I1962+1,"")</f>
        <v/>
      </c>
      <c r="N1962" s="14" t="str">
        <f aca="false">IF(B1962="","",IF(M1962="","시작일 미입력",IF(M1962&lt;1,"시작일 이전(확인)",IF(M1962=1,"1일째",IF(M1962=2,"2일째",IF(M1962=3,"3일째",IF(M1962&lt;=7,"일주일 이내",IF(M1962&lt;=14,"이주일 이내","15일 이후"))))))))</f>
        <v/>
      </c>
      <c r="O1962" s="0" t="str">
        <f aca="false">IF(AND(COUNTA($A1962:$J1962)&gt;0,OR(클레임조회!$C$4="",AND(ISNUMBER($B1962),$B1962&gt;=클레임조회!$C$4)),OR(클레임조회!$C$5="",AND(ISNUMBER($B1962),$B1962&lt;=클레임조회!$C$5)),OR(클레임조회!$C$6="",$C1962=클레임조회!$C$6),OR(클레임조회!$C$7="",$D1962=클레임조회!$C$7),OR(클레임조회!$C$8="",$E1962=클레임조회!$C$8),OR(클레임조회!$C$9="",$F1962=클레임조회!$C$9),OR(클레임조회!$C$10="",ISNUMBER(SEARCH(클레임조회!$C$10,$C1962&amp;" "&amp;$F1962&amp;" "&amp;$G1962&amp;" "&amp;$H1962)))),COUNT(O$1:O1961)+1,"")</f>
        <v/>
      </c>
      <c r="P1962" s="0" t="str">
        <f aca="false">IF(AND(TRIM(C1962)&lt;&gt;"",COUNTIF(C$2:C1962,C1962)=1),MAX(P$1:P1961)+1,"")</f>
        <v/>
      </c>
      <c r="Q1962" s="0" t="str">
        <f aca="false">IF(AND(TRIM(F1962)&lt;&gt;"",COUNTIF(F$2:F1962,F1962)=1),MAX(Q$1:Q1961)+1,"")</f>
        <v/>
      </c>
    </row>
    <row r="1963" customFormat="false" ht="15" hidden="false" customHeight="false" outlineLevel="0" collapsed="false">
      <c r="A1963" s="9"/>
      <c r="B1963" s="10"/>
      <c r="C1963" s="11"/>
      <c r="D1963" s="11"/>
      <c r="E1963" s="11"/>
      <c r="F1963" s="11"/>
      <c r="G1963" s="12"/>
      <c r="H1963" s="12"/>
      <c r="I1963" s="10"/>
      <c r="J1963" s="12"/>
      <c r="K1963" s="13" t="str">
        <f aca="false">IF(ISNUMBER(B1963),YEAR(B1963),"")</f>
        <v/>
      </c>
      <c r="L1963" s="13" t="str">
        <f aca="false">IF(ISNUMBER(B1963),MONTH(B1963),"")</f>
        <v/>
      </c>
      <c r="M1963" s="13" t="str">
        <f aca="false">IF(AND(ISNUMBER(B1963),ISNUMBER(I1963)),B1963-I1963+1,"")</f>
        <v/>
      </c>
      <c r="N1963" s="14" t="str">
        <f aca="false">IF(B1963="","",IF(M1963="","시작일 미입력",IF(M1963&lt;1,"시작일 이전(확인)",IF(M1963=1,"1일째",IF(M1963=2,"2일째",IF(M1963=3,"3일째",IF(M1963&lt;=7,"일주일 이내",IF(M1963&lt;=14,"이주일 이내","15일 이후"))))))))</f>
        <v/>
      </c>
      <c r="O1963" s="0" t="str">
        <f aca="false">IF(AND(COUNTA($A1963:$J1963)&gt;0,OR(클레임조회!$C$4="",AND(ISNUMBER($B1963),$B1963&gt;=클레임조회!$C$4)),OR(클레임조회!$C$5="",AND(ISNUMBER($B1963),$B1963&lt;=클레임조회!$C$5)),OR(클레임조회!$C$6="",$C1963=클레임조회!$C$6),OR(클레임조회!$C$7="",$D1963=클레임조회!$C$7),OR(클레임조회!$C$8="",$E1963=클레임조회!$C$8),OR(클레임조회!$C$9="",$F1963=클레임조회!$C$9),OR(클레임조회!$C$10="",ISNUMBER(SEARCH(클레임조회!$C$10,$C1963&amp;" "&amp;$F1963&amp;" "&amp;$G1963&amp;" "&amp;$H1963)))),COUNT(O$1:O1962)+1,"")</f>
        <v/>
      </c>
      <c r="P1963" s="0" t="str">
        <f aca="false">IF(AND(TRIM(C1963)&lt;&gt;"",COUNTIF(C$2:C1963,C1963)=1),MAX(P$1:P1962)+1,"")</f>
        <v/>
      </c>
      <c r="Q1963" s="0" t="str">
        <f aca="false">IF(AND(TRIM(F1963)&lt;&gt;"",COUNTIF(F$2:F1963,F1963)=1),MAX(Q$1:Q1962)+1,"")</f>
        <v/>
      </c>
    </row>
    <row r="1964" customFormat="false" ht="15" hidden="false" customHeight="false" outlineLevel="0" collapsed="false">
      <c r="A1964" s="9"/>
      <c r="B1964" s="10"/>
      <c r="C1964" s="11"/>
      <c r="D1964" s="11"/>
      <c r="E1964" s="11"/>
      <c r="F1964" s="11"/>
      <c r="G1964" s="12"/>
      <c r="H1964" s="12"/>
      <c r="I1964" s="10"/>
      <c r="J1964" s="12"/>
      <c r="K1964" s="13" t="str">
        <f aca="false">IF(ISNUMBER(B1964),YEAR(B1964),"")</f>
        <v/>
      </c>
      <c r="L1964" s="13" t="str">
        <f aca="false">IF(ISNUMBER(B1964),MONTH(B1964),"")</f>
        <v/>
      </c>
      <c r="M1964" s="13" t="str">
        <f aca="false">IF(AND(ISNUMBER(B1964),ISNUMBER(I1964)),B1964-I1964+1,"")</f>
        <v/>
      </c>
      <c r="N1964" s="14" t="str">
        <f aca="false">IF(B1964="","",IF(M1964="","시작일 미입력",IF(M1964&lt;1,"시작일 이전(확인)",IF(M1964=1,"1일째",IF(M1964=2,"2일째",IF(M1964=3,"3일째",IF(M1964&lt;=7,"일주일 이내",IF(M1964&lt;=14,"이주일 이내","15일 이후"))))))))</f>
        <v/>
      </c>
      <c r="O1964" s="0" t="str">
        <f aca="false">IF(AND(COUNTA($A1964:$J1964)&gt;0,OR(클레임조회!$C$4="",AND(ISNUMBER($B1964),$B1964&gt;=클레임조회!$C$4)),OR(클레임조회!$C$5="",AND(ISNUMBER($B1964),$B1964&lt;=클레임조회!$C$5)),OR(클레임조회!$C$6="",$C1964=클레임조회!$C$6),OR(클레임조회!$C$7="",$D1964=클레임조회!$C$7),OR(클레임조회!$C$8="",$E1964=클레임조회!$C$8),OR(클레임조회!$C$9="",$F1964=클레임조회!$C$9),OR(클레임조회!$C$10="",ISNUMBER(SEARCH(클레임조회!$C$10,$C1964&amp;" "&amp;$F1964&amp;" "&amp;$G1964&amp;" "&amp;$H1964)))),COUNT(O$1:O1963)+1,"")</f>
        <v/>
      </c>
      <c r="P1964" s="0" t="str">
        <f aca="false">IF(AND(TRIM(C1964)&lt;&gt;"",COUNTIF(C$2:C1964,C1964)=1),MAX(P$1:P1963)+1,"")</f>
        <v/>
      </c>
      <c r="Q1964" s="0" t="str">
        <f aca="false">IF(AND(TRIM(F1964)&lt;&gt;"",COUNTIF(F$2:F1964,F1964)=1),MAX(Q$1:Q1963)+1,"")</f>
        <v/>
      </c>
    </row>
    <row r="1965" customFormat="false" ht="15" hidden="false" customHeight="false" outlineLevel="0" collapsed="false">
      <c r="A1965" s="9"/>
      <c r="B1965" s="10"/>
      <c r="C1965" s="11"/>
      <c r="D1965" s="11"/>
      <c r="E1965" s="11"/>
      <c r="F1965" s="11"/>
      <c r="G1965" s="12"/>
      <c r="H1965" s="12"/>
      <c r="I1965" s="10"/>
      <c r="J1965" s="12"/>
      <c r="K1965" s="13" t="str">
        <f aca="false">IF(ISNUMBER(B1965),YEAR(B1965),"")</f>
        <v/>
      </c>
      <c r="L1965" s="13" t="str">
        <f aca="false">IF(ISNUMBER(B1965),MONTH(B1965),"")</f>
        <v/>
      </c>
      <c r="M1965" s="13" t="str">
        <f aca="false">IF(AND(ISNUMBER(B1965),ISNUMBER(I1965)),B1965-I1965+1,"")</f>
        <v/>
      </c>
      <c r="N1965" s="14" t="str">
        <f aca="false">IF(B1965="","",IF(M1965="","시작일 미입력",IF(M1965&lt;1,"시작일 이전(확인)",IF(M1965=1,"1일째",IF(M1965=2,"2일째",IF(M1965=3,"3일째",IF(M1965&lt;=7,"일주일 이내",IF(M1965&lt;=14,"이주일 이내","15일 이후"))))))))</f>
        <v/>
      </c>
      <c r="O1965" s="0" t="str">
        <f aca="false">IF(AND(COUNTA($A1965:$J1965)&gt;0,OR(클레임조회!$C$4="",AND(ISNUMBER($B1965),$B1965&gt;=클레임조회!$C$4)),OR(클레임조회!$C$5="",AND(ISNUMBER($B1965),$B1965&lt;=클레임조회!$C$5)),OR(클레임조회!$C$6="",$C1965=클레임조회!$C$6),OR(클레임조회!$C$7="",$D1965=클레임조회!$C$7),OR(클레임조회!$C$8="",$E1965=클레임조회!$C$8),OR(클레임조회!$C$9="",$F1965=클레임조회!$C$9),OR(클레임조회!$C$10="",ISNUMBER(SEARCH(클레임조회!$C$10,$C1965&amp;" "&amp;$F1965&amp;" "&amp;$G1965&amp;" "&amp;$H1965)))),COUNT(O$1:O1964)+1,"")</f>
        <v/>
      </c>
      <c r="P1965" s="0" t="str">
        <f aca="false">IF(AND(TRIM(C1965)&lt;&gt;"",COUNTIF(C$2:C1965,C1965)=1),MAX(P$1:P1964)+1,"")</f>
        <v/>
      </c>
      <c r="Q1965" s="0" t="str">
        <f aca="false">IF(AND(TRIM(F1965)&lt;&gt;"",COUNTIF(F$2:F1965,F1965)=1),MAX(Q$1:Q1964)+1,"")</f>
        <v/>
      </c>
    </row>
    <row r="1966" customFormat="false" ht="15" hidden="false" customHeight="false" outlineLevel="0" collapsed="false">
      <c r="A1966" s="9"/>
      <c r="B1966" s="10"/>
      <c r="C1966" s="11"/>
      <c r="D1966" s="11"/>
      <c r="E1966" s="11"/>
      <c r="F1966" s="11"/>
      <c r="G1966" s="12"/>
      <c r="H1966" s="12"/>
      <c r="I1966" s="10"/>
      <c r="J1966" s="12"/>
      <c r="K1966" s="13" t="str">
        <f aca="false">IF(ISNUMBER(B1966),YEAR(B1966),"")</f>
        <v/>
      </c>
      <c r="L1966" s="13" t="str">
        <f aca="false">IF(ISNUMBER(B1966),MONTH(B1966),"")</f>
        <v/>
      </c>
      <c r="M1966" s="13" t="str">
        <f aca="false">IF(AND(ISNUMBER(B1966),ISNUMBER(I1966)),B1966-I1966+1,"")</f>
        <v/>
      </c>
      <c r="N1966" s="14" t="str">
        <f aca="false">IF(B1966="","",IF(M1966="","시작일 미입력",IF(M1966&lt;1,"시작일 이전(확인)",IF(M1966=1,"1일째",IF(M1966=2,"2일째",IF(M1966=3,"3일째",IF(M1966&lt;=7,"일주일 이내",IF(M1966&lt;=14,"이주일 이내","15일 이후"))))))))</f>
        <v/>
      </c>
      <c r="O1966" s="0" t="str">
        <f aca="false">IF(AND(COUNTA($A1966:$J1966)&gt;0,OR(클레임조회!$C$4="",AND(ISNUMBER($B1966),$B1966&gt;=클레임조회!$C$4)),OR(클레임조회!$C$5="",AND(ISNUMBER($B1966),$B1966&lt;=클레임조회!$C$5)),OR(클레임조회!$C$6="",$C1966=클레임조회!$C$6),OR(클레임조회!$C$7="",$D1966=클레임조회!$C$7),OR(클레임조회!$C$8="",$E1966=클레임조회!$C$8),OR(클레임조회!$C$9="",$F1966=클레임조회!$C$9),OR(클레임조회!$C$10="",ISNUMBER(SEARCH(클레임조회!$C$10,$C1966&amp;" "&amp;$F1966&amp;" "&amp;$G1966&amp;" "&amp;$H1966)))),COUNT(O$1:O1965)+1,"")</f>
        <v/>
      </c>
      <c r="P1966" s="0" t="str">
        <f aca="false">IF(AND(TRIM(C1966)&lt;&gt;"",COUNTIF(C$2:C1966,C1966)=1),MAX(P$1:P1965)+1,"")</f>
        <v/>
      </c>
      <c r="Q1966" s="0" t="str">
        <f aca="false">IF(AND(TRIM(F1966)&lt;&gt;"",COUNTIF(F$2:F1966,F1966)=1),MAX(Q$1:Q1965)+1,"")</f>
        <v/>
      </c>
    </row>
    <row r="1967" customFormat="false" ht="15" hidden="false" customHeight="false" outlineLevel="0" collapsed="false">
      <c r="A1967" s="9"/>
      <c r="B1967" s="10"/>
      <c r="C1967" s="11"/>
      <c r="D1967" s="11"/>
      <c r="E1967" s="11"/>
      <c r="F1967" s="11"/>
      <c r="G1967" s="12"/>
      <c r="H1967" s="12"/>
      <c r="I1967" s="10"/>
      <c r="J1967" s="12"/>
      <c r="K1967" s="13" t="str">
        <f aca="false">IF(ISNUMBER(B1967),YEAR(B1967),"")</f>
        <v/>
      </c>
      <c r="L1967" s="13" t="str">
        <f aca="false">IF(ISNUMBER(B1967),MONTH(B1967),"")</f>
        <v/>
      </c>
      <c r="M1967" s="13" t="str">
        <f aca="false">IF(AND(ISNUMBER(B1967),ISNUMBER(I1967)),B1967-I1967+1,"")</f>
        <v/>
      </c>
      <c r="N1967" s="14" t="str">
        <f aca="false">IF(B1967="","",IF(M1967="","시작일 미입력",IF(M1967&lt;1,"시작일 이전(확인)",IF(M1967=1,"1일째",IF(M1967=2,"2일째",IF(M1967=3,"3일째",IF(M1967&lt;=7,"일주일 이내",IF(M1967&lt;=14,"이주일 이내","15일 이후"))))))))</f>
        <v/>
      </c>
      <c r="O1967" s="0" t="str">
        <f aca="false">IF(AND(COUNTA($A1967:$J1967)&gt;0,OR(클레임조회!$C$4="",AND(ISNUMBER($B1967),$B1967&gt;=클레임조회!$C$4)),OR(클레임조회!$C$5="",AND(ISNUMBER($B1967),$B1967&lt;=클레임조회!$C$5)),OR(클레임조회!$C$6="",$C1967=클레임조회!$C$6),OR(클레임조회!$C$7="",$D1967=클레임조회!$C$7),OR(클레임조회!$C$8="",$E1967=클레임조회!$C$8),OR(클레임조회!$C$9="",$F1967=클레임조회!$C$9),OR(클레임조회!$C$10="",ISNUMBER(SEARCH(클레임조회!$C$10,$C1967&amp;" "&amp;$F1967&amp;" "&amp;$G1967&amp;" "&amp;$H1967)))),COUNT(O$1:O1966)+1,"")</f>
        <v/>
      </c>
      <c r="P1967" s="0" t="str">
        <f aca="false">IF(AND(TRIM(C1967)&lt;&gt;"",COUNTIF(C$2:C1967,C1967)=1),MAX(P$1:P1966)+1,"")</f>
        <v/>
      </c>
      <c r="Q1967" s="0" t="str">
        <f aca="false">IF(AND(TRIM(F1967)&lt;&gt;"",COUNTIF(F$2:F1967,F1967)=1),MAX(Q$1:Q1966)+1,"")</f>
        <v/>
      </c>
    </row>
    <row r="1968" customFormat="false" ht="15" hidden="false" customHeight="false" outlineLevel="0" collapsed="false">
      <c r="A1968" s="9"/>
      <c r="B1968" s="10"/>
      <c r="C1968" s="11"/>
      <c r="D1968" s="11"/>
      <c r="E1968" s="11"/>
      <c r="F1968" s="11"/>
      <c r="G1968" s="12"/>
      <c r="H1968" s="12"/>
      <c r="I1968" s="10"/>
      <c r="J1968" s="12"/>
      <c r="K1968" s="13" t="str">
        <f aca="false">IF(ISNUMBER(B1968),YEAR(B1968),"")</f>
        <v/>
      </c>
      <c r="L1968" s="13" t="str">
        <f aca="false">IF(ISNUMBER(B1968),MONTH(B1968),"")</f>
        <v/>
      </c>
      <c r="M1968" s="13" t="str">
        <f aca="false">IF(AND(ISNUMBER(B1968),ISNUMBER(I1968)),B1968-I1968+1,"")</f>
        <v/>
      </c>
      <c r="N1968" s="14" t="str">
        <f aca="false">IF(B1968="","",IF(M1968="","시작일 미입력",IF(M1968&lt;1,"시작일 이전(확인)",IF(M1968=1,"1일째",IF(M1968=2,"2일째",IF(M1968=3,"3일째",IF(M1968&lt;=7,"일주일 이내",IF(M1968&lt;=14,"이주일 이내","15일 이후"))))))))</f>
        <v/>
      </c>
      <c r="O1968" s="0" t="str">
        <f aca="false">IF(AND(COUNTA($A1968:$J1968)&gt;0,OR(클레임조회!$C$4="",AND(ISNUMBER($B1968),$B1968&gt;=클레임조회!$C$4)),OR(클레임조회!$C$5="",AND(ISNUMBER($B1968),$B1968&lt;=클레임조회!$C$5)),OR(클레임조회!$C$6="",$C1968=클레임조회!$C$6),OR(클레임조회!$C$7="",$D1968=클레임조회!$C$7),OR(클레임조회!$C$8="",$E1968=클레임조회!$C$8),OR(클레임조회!$C$9="",$F1968=클레임조회!$C$9),OR(클레임조회!$C$10="",ISNUMBER(SEARCH(클레임조회!$C$10,$C1968&amp;" "&amp;$F1968&amp;" "&amp;$G1968&amp;" "&amp;$H1968)))),COUNT(O$1:O1967)+1,"")</f>
        <v/>
      </c>
      <c r="P1968" s="0" t="str">
        <f aca="false">IF(AND(TRIM(C1968)&lt;&gt;"",COUNTIF(C$2:C1968,C1968)=1),MAX(P$1:P1967)+1,"")</f>
        <v/>
      </c>
      <c r="Q1968" s="0" t="str">
        <f aca="false">IF(AND(TRIM(F1968)&lt;&gt;"",COUNTIF(F$2:F1968,F1968)=1),MAX(Q$1:Q1967)+1,"")</f>
        <v/>
      </c>
    </row>
    <row r="1969" customFormat="false" ht="15" hidden="false" customHeight="false" outlineLevel="0" collapsed="false">
      <c r="A1969" s="9"/>
      <c r="B1969" s="10"/>
      <c r="C1969" s="11"/>
      <c r="D1969" s="11"/>
      <c r="E1969" s="11"/>
      <c r="F1969" s="11"/>
      <c r="G1969" s="12"/>
      <c r="H1969" s="12"/>
      <c r="I1969" s="10"/>
      <c r="J1969" s="12"/>
      <c r="K1969" s="13" t="str">
        <f aca="false">IF(ISNUMBER(B1969),YEAR(B1969),"")</f>
        <v/>
      </c>
      <c r="L1969" s="13" t="str">
        <f aca="false">IF(ISNUMBER(B1969),MONTH(B1969),"")</f>
        <v/>
      </c>
      <c r="M1969" s="13" t="str">
        <f aca="false">IF(AND(ISNUMBER(B1969),ISNUMBER(I1969)),B1969-I1969+1,"")</f>
        <v/>
      </c>
      <c r="N1969" s="14" t="str">
        <f aca="false">IF(B1969="","",IF(M1969="","시작일 미입력",IF(M1969&lt;1,"시작일 이전(확인)",IF(M1969=1,"1일째",IF(M1969=2,"2일째",IF(M1969=3,"3일째",IF(M1969&lt;=7,"일주일 이내",IF(M1969&lt;=14,"이주일 이내","15일 이후"))))))))</f>
        <v/>
      </c>
      <c r="O1969" s="0" t="str">
        <f aca="false">IF(AND(COUNTA($A1969:$J1969)&gt;0,OR(클레임조회!$C$4="",AND(ISNUMBER($B1969),$B1969&gt;=클레임조회!$C$4)),OR(클레임조회!$C$5="",AND(ISNUMBER($B1969),$B1969&lt;=클레임조회!$C$5)),OR(클레임조회!$C$6="",$C1969=클레임조회!$C$6),OR(클레임조회!$C$7="",$D1969=클레임조회!$C$7),OR(클레임조회!$C$8="",$E1969=클레임조회!$C$8),OR(클레임조회!$C$9="",$F1969=클레임조회!$C$9),OR(클레임조회!$C$10="",ISNUMBER(SEARCH(클레임조회!$C$10,$C1969&amp;" "&amp;$F1969&amp;" "&amp;$G1969&amp;" "&amp;$H1969)))),COUNT(O$1:O1968)+1,"")</f>
        <v/>
      </c>
      <c r="P1969" s="0" t="str">
        <f aca="false">IF(AND(TRIM(C1969)&lt;&gt;"",COUNTIF(C$2:C1969,C1969)=1),MAX(P$1:P1968)+1,"")</f>
        <v/>
      </c>
      <c r="Q1969" s="0" t="str">
        <f aca="false">IF(AND(TRIM(F1969)&lt;&gt;"",COUNTIF(F$2:F1969,F1969)=1),MAX(Q$1:Q1968)+1,"")</f>
        <v/>
      </c>
    </row>
    <row r="1970" customFormat="false" ht="15" hidden="false" customHeight="false" outlineLevel="0" collapsed="false">
      <c r="A1970" s="9"/>
      <c r="B1970" s="10"/>
      <c r="C1970" s="11"/>
      <c r="D1970" s="11"/>
      <c r="E1970" s="11"/>
      <c r="F1970" s="11"/>
      <c r="G1970" s="12"/>
      <c r="H1970" s="12"/>
      <c r="I1970" s="10"/>
      <c r="J1970" s="12"/>
      <c r="K1970" s="13" t="str">
        <f aca="false">IF(ISNUMBER(B1970),YEAR(B1970),"")</f>
        <v/>
      </c>
      <c r="L1970" s="13" t="str">
        <f aca="false">IF(ISNUMBER(B1970),MONTH(B1970),"")</f>
        <v/>
      </c>
      <c r="M1970" s="13" t="str">
        <f aca="false">IF(AND(ISNUMBER(B1970),ISNUMBER(I1970)),B1970-I1970+1,"")</f>
        <v/>
      </c>
      <c r="N1970" s="14" t="str">
        <f aca="false">IF(B1970="","",IF(M1970="","시작일 미입력",IF(M1970&lt;1,"시작일 이전(확인)",IF(M1970=1,"1일째",IF(M1970=2,"2일째",IF(M1970=3,"3일째",IF(M1970&lt;=7,"일주일 이내",IF(M1970&lt;=14,"이주일 이내","15일 이후"))))))))</f>
        <v/>
      </c>
      <c r="O1970" s="0" t="str">
        <f aca="false">IF(AND(COUNTA($A1970:$J1970)&gt;0,OR(클레임조회!$C$4="",AND(ISNUMBER($B1970),$B1970&gt;=클레임조회!$C$4)),OR(클레임조회!$C$5="",AND(ISNUMBER($B1970),$B1970&lt;=클레임조회!$C$5)),OR(클레임조회!$C$6="",$C1970=클레임조회!$C$6),OR(클레임조회!$C$7="",$D1970=클레임조회!$C$7),OR(클레임조회!$C$8="",$E1970=클레임조회!$C$8),OR(클레임조회!$C$9="",$F1970=클레임조회!$C$9),OR(클레임조회!$C$10="",ISNUMBER(SEARCH(클레임조회!$C$10,$C1970&amp;" "&amp;$F1970&amp;" "&amp;$G1970&amp;" "&amp;$H1970)))),COUNT(O$1:O1969)+1,"")</f>
        <v/>
      </c>
      <c r="P1970" s="0" t="str">
        <f aca="false">IF(AND(TRIM(C1970)&lt;&gt;"",COUNTIF(C$2:C1970,C1970)=1),MAX(P$1:P1969)+1,"")</f>
        <v/>
      </c>
      <c r="Q1970" s="0" t="str">
        <f aca="false">IF(AND(TRIM(F1970)&lt;&gt;"",COUNTIF(F$2:F1970,F1970)=1),MAX(Q$1:Q1969)+1,"")</f>
        <v/>
      </c>
    </row>
    <row r="1971" customFormat="false" ht="15" hidden="false" customHeight="false" outlineLevel="0" collapsed="false">
      <c r="A1971" s="9"/>
      <c r="B1971" s="10"/>
      <c r="C1971" s="11"/>
      <c r="D1971" s="11"/>
      <c r="E1971" s="11"/>
      <c r="F1971" s="11"/>
      <c r="G1971" s="12"/>
      <c r="H1971" s="12"/>
      <c r="I1971" s="10"/>
      <c r="J1971" s="12"/>
      <c r="K1971" s="13" t="str">
        <f aca="false">IF(ISNUMBER(B1971),YEAR(B1971),"")</f>
        <v/>
      </c>
      <c r="L1971" s="13" t="str">
        <f aca="false">IF(ISNUMBER(B1971),MONTH(B1971),"")</f>
        <v/>
      </c>
      <c r="M1971" s="13" t="str">
        <f aca="false">IF(AND(ISNUMBER(B1971),ISNUMBER(I1971)),B1971-I1971+1,"")</f>
        <v/>
      </c>
      <c r="N1971" s="14" t="str">
        <f aca="false">IF(B1971="","",IF(M1971="","시작일 미입력",IF(M1971&lt;1,"시작일 이전(확인)",IF(M1971=1,"1일째",IF(M1971=2,"2일째",IF(M1971=3,"3일째",IF(M1971&lt;=7,"일주일 이내",IF(M1971&lt;=14,"이주일 이내","15일 이후"))))))))</f>
        <v/>
      </c>
      <c r="O1971" s="0" t="str">
        <f aca="false">IF(AND(COUNTA($A1971:$J1971)&gt;0,OR(클레임조회!$C$4="",AND(ISNUMBER($B1971),$B1971&gt;=클레임조회!$C$4)),OR(클레임조회!$C$5="",AND(ISNUMBER($B1971),$B1971&lt;=클레임조회!$C$5)),OR(클레임조회!$C$6="",$C1971=클레임조회!$C$6),OR(클레임조회!$C$7="",$D1971=클레임조회!$C$7),OR(클레임조회!$C$8="",$E1971=클레임조회!$C$8),OR(클레임조회!$C$9="",$F1971=클레임조회!$C$9),OR(클레임조회!$C$10="",ISNUMBER(SEARCH(클레임조회!$C$10,$C1971&amp;" "&amp;$F1971&amp;" "&amp;$G1971&amp;" "&amp;$H1971)))),COUNT(O$1:O1970)+1,"")</f>
        <v/>
      </c>
      <c r="P1971" s="0" t="str">
        <f aca="false">IF(AND(TRIM(C1971)&lt;&gt;"",COUNTIF(C$2:C1971,C1971)=1),MAX(P$1:P1970)+1,"")</f>
        <v/>
      </c>
      <c r="Q1971" s="0" t="str">
        <f aca="false">IF(AND(TRIM(F1971)&lt;&gt;"",COUNTIF(F$2:F1971,F1971)=1),MAX(Q$1:Q1970)+1,"")</f>
        <v/>
      </c>
    </row>
    <row r="1972" customFormat="false" ht="15" hidden="false" customHeight="false" outlineLevel="0" collapsed="false">
      <c r="A1972" s="9"/>
      <c r="B1972" s="10"/>
      <c r="C1972" s="11"/>
      <c r="D1972" s="11"/>
      <c r="E1972" s="11"/>
      <c r="F1972" s="11"/>
      <c r="G1972" s="12"/>
      <c r="H1972" s="12"/>
      <c r="I1972" s="10"/>
      <c r="J1972" s="12"/>
      <c r="K1972" s="13" t="str">
        <f aca="false">IF(ISNUMBER(B1972),YEAR(B1972),"")</f>
        <v/>
      </c>
      <c r="L1972" s="13" t="str">
        <f aca="false">IF(ISNUMBER(B1972),MONTH(B1972),"")</f>
        <v/>
      </c>
      <c r="M1972" s="13" t="str">
        <f aca="false">IF(AND(ISNUMBER(B1972),ISNUMBER(I1972)),B1972-I1972+1,"")</f>
        <v/>
      </c>
      <c r="N1972" s="14" t="str">
        <f aca="false">IF(B1972="","",IF(M1972="","시작일 미입력",IF(M1972&lt;1,"시작일 이전(확인)",IF(M1972=1,"1일째",IF(M1972=2,"2일째",IF(M1972=3,"3일째",IF(M1972&lt;=7,"일주일 이내",IF(M1972&lt;=14,"이주일 이내","15일 이후"))))))))</f>
        <v/>
      </c>
      <c r="O1972" s="0" t="str">
        <f aca="false">IF(AND(COUNTA($A1972:$J1972)&gt;0,OR(클레임조회!$C$4="",AND(ISNUMBER($B1972),$B1972&gt;=클레임조회!$C$4)),OR(클레임조회!$C$5="",AND(ISNUMBER($B1972),$B1972&lt;=클레임조회!$C$5)),OR(클레임조회!$C$6="",$C1972=클레임조회!$C$6),OR(클레임조회!$C$7="",$D1972=클레임조회!$C$7),OR(클레임조회!$C$8="",$E1972=클레임조회!$C$8),OR(클레임조회!$C$9="",$F1972=클레임조회!$C$9),OR(클레임조회!$C$10="",ISNUMBER(SEARCH(클레임조회!$C$10,$C1972&amp;" "&amp;$F1972&amp;" "&amp;$G1972&amp;" "&amp;$H1972)))),COUNT(O$1:O1971)+1,"")</f>
        <v/>
      </c>
      <c r="P1972" s="0" t="str">
        <f aca="false">IF(AND(TRIM(C1972)&lt;&gt;"",COUNTIF(C$2:C1972,C1972)=1),MAX(P$1:P1971)+1,"")</f>
        <v/>
      </c>
      <c r="Q1972" s="0" t="str">
        <f aca="false">IF(AND(TRIM(F1972)&lt;&gt;"",COUNTIF(F$2:F1972,F1972)=1),MAX(Q$1:Q1971)+1,"")</f>
        <v/>
      </c>
    </row>
    <row r="1973" customFormat="false" ht="15" hidden="false" customHeight="false" outlineLevel="0" collapsed="false">
      <c r="A1973" s="9"/>
      <c r="B1973" s="10"/>
      <c r="C1973" s="11"/>
      <c r="D1973" s="11"/>
      <c r="E1973" s="11"/>
      <c r="F1973" s="11"/>
      <c r="G1973" s="12"/>
      <c r="H1973" s="12"/>
      <c r="I1973" s="10"/>
      <c r="J1973" s="12"/>
      <c r="K1973" s="13" t="str">
        <f aca="false">IF(ISNUMBER(B1973),YEAR(B1973),"")</f>
        <v/>
      </c>
      <c r="L1973" s="13" t="str">
        <f aca="false">IF(ISNUMBER(B1973),MONTH(B1973),"")</f>
        <v/>
      </c>
      <c r="M1973" s="13" t="str">
        <f aca="false">IF(AND(ISNUMBER(B1973),ISNUMBER(I1973)),B1973-I1973+1,"")</f>
        <v/>
      </c>
      <c r="N1973" s="14" t="str">
        <f aca="false">IF(B1973="","",IF(M1973="","시작일 미입력",IF(M1973&lt;1,"시작일 이전(확인)",IF(M1973=1,"1일째",IF(M1973=2,"2일째",IF(M1973=3,"3일째",IF(M1973&lt;=7,"일주일 이내",IF(M1973&lt;=14,"이주일 이내","15일 이후"))))))))</f>
        <v/>
      </c>
      <c r="O1973" s="0" t="str">
        <f aca="false">IF(AND(COUNTA($A1973:$J1973)&gt;0,OR(클레임조회!$C$4="",AND(ISNUMBER($B1973),$B1973&gt;=클레임조회!$C$4)),OR(클레임조회!$C$5="",AND(ISNUMBER($B1973),$B1973&lt;=클레임조회!$C$5)),OR(클레임조회!$C$6="",$C1973=클레임조회!$C$6),OR(클레임조회!$C$7="",$D1973=클레임조회!$C$7),OR(클레임조회!$C$8="",$E1973=클레임조회!$C$8),OR(클레임조회!$C$9="",$F1973=클레임조회!$C$9),OR(클레임조회!$C$10="",ISNUMBER(SEARCH(클레임조회!$C$10,$C1973&amp;" "&amp;$F1973&amp;" "&amp;$G1973&amp;" "&amp;$H1973)))),COUNT(O$1:O1972)+1,"")</f>
        <v/>
      </c>
      <c r="P1973" s="0" t="str">
        <f aca="false">IF(AND(TRIM(C1973)&lt;&gt;"",COUNTIF(C$2:C1973,C1973)=1),MAX(P$1:P1972)+1,"")</f>
        <v/>
      </c>
      <c r="Q1973" s="0" t="str">
        <f aca="false">IF(AND(TRIM(F1973)&lt;&gt;"",COUNTIF(F$2:F1973,F1973)=1),MAX(Q$1:Q1972)+1,"")</f>
        <v/>
      </c>
    </row>
    <row r="1974" customFormat="false" ht="15" hidden="false" customHeight="false" outlineLevel="0" collapsed="false">
      <c r="A1974" s="9"/>
      <c r="B1974" s="10"/>
      <c r="C1974" s="11"/>
      <c r="D1974" s="11"/>
      <c r="E1974" s="11"/>
      <c r="F1974" s="11"/>
      <c r="G1974" s="12"/>
      <c r="H1974" s="12"/>
      <c r="I1974" s="10"/>
      <c r="J1974" s="12"/>
      <c r="K1974" s="13" t="str">
        <f aca="false">IF(ISNUMBER(B1974),YEAR(B1974),"")</f>
        <v/>
      </c>
      <c r="L1974" s="13" t="str">
        <f aca="false">IF(ISNUMBER(B1974),MONTH(B1974),"")</f>
        <v/>
      </c>
      <c r="M1974" s="13" t="str">
        <f aca="false">IF(AND(ISNUMBER(B1974),ISNUMBER(I1974)),B1974-I1974+1,"")</f>
        <v/>
      </c>
      <c r="N1974" s="14" t="str">
        <f aca="false">IF(B1974="","",IF(M1974="","시작일 미입력",IF(M1974&lt;1,"시작일 이전(확인)",IF(M1974=1,"1일째",IF(M1974=2,"2일째",IF(M1974=3,"3일째",IF(M1974&lt;=7,"일주일 이내",IF(M1974&lt;=14,"이주일 이내","15일 이후"))))))))</f>
        <v/>
      </c>
      <c r="O1974" s="0" t="str">
        <f aca="false">IF(AND(COUNTA($A1974:$J1974)&gt;0,OR(클레임조회!$C$4="",AND(ISNUMBER($B1974),$B1974&gt;=클레임조회!$C$4)),OR(클레임조회!$C$5="",AND(ISNUMBER($B1974),$B1974&lt;=클레임조회!$C$5)),OR(클레임조회!$C$6="",$C1974=클레임조회!$C$6),OR(클레임조회!$C$7="",$D1974=클레임조회!$C$7),OR(클레임조회!$C$8="",$E1974=클레임조회!$C$8),OR(클레임조회!$C$9="",$F1974=클레임조회!$C$9),OR(클레임조회!$C$10="",ISNUMBER(SEARCH(클레임조회!$C$10,$C1974&amp;" "&amp;$F1974&amp;" "&amp;$G1974&amp;" "&amp;$H1974)))),COUNT(O$1:O1973)+1,"")</f>
        <v/>
      </c>
      <c r="P1974" s="0" t="str">
        <f aca="false">IF(AND(TRIM(C1974)&lt;&gt;"",COUNTIF(C$2:C1974,C1974)=1),MAX(P$1:P1973)+1,"")</f>
        <v/>
      </c>
      <c r="Q1974" s="0" t="str">
        <f aca="false">IF(AND(TRIM(F1974)&lt;&gt;"",COUNTIF(F$2:F1974,F1974)=1),MAX(Q$1:Q1973)+1,"")</f>
        <v/>
      </c>
    </row>
    <row r="1975" customFormat="false" ht="15" hidden="false" customHeight="false" outlineLevel="0" collapsed="false">
      <c r="A1975" s="9"/>
      <c r="B1975" s="10"/>
      <c r="C1975" s="11"/>
      <c r="D1975" s="11"/>
      <c r="E1975" s="11"/>
      <c r="F1975" s="11"/>
      <c r="G1975" s="12"/>
      <c r="H1975" s="12"/>
      <c r="I1975" s="10"/>
      <c r="J1975" s="12"/>
      <c r="K1975" s="13" t="str">
        <f aca="false">IF(ISNUMBER(B1975),YEAR(B1975),"")</f>
        <v/>
      </c>
      <c r="L1975" s="13" t="str">
        <f aca="false">IF(ISNUMBER(B1975),MONTH(B1975),"")</f>
        <v/>
      </c>
      <c r="M1975" s="13" t="str">
        <f aca="false">IF(AND(ISNUMBER(B1975),ISNUMBER(I1975)),B1975-I1975+1,"")</f>
        <v/>
      </c>
      <c r="N1975" s="14" t="str">
        <f aca="false">IF(B1975="","",IF(M1975="","시작일 미입력",IF(M1975&lt;1,"시작일 이전(확인)",IF(M1975=1,"1일째",IF(M1975=2,"2일째",IF(M1975=3,"3일째",IF(M1975&lt;=7,"일주일 이내",IF(M1975&lt;=14,"이주일 이내","15일 이후"))))))))</f>
        <v/>
      </c>
      <c r="O1975" s="0" t="str">
        <f aca="false">IF(AND(COUNTA($A1975:$J1975)&gt;0,OR(클레임조회!$C$4="",AND(ISNUMBER($B1975),$B1975&gt;=클레임조회!$C$4)),OR(클레임조회!$C$5="",AND(ISNUMBER($B1975),$B1975&lt;=클레임조회!$C$5)),OR(클레임조회!$C$6="",$C1975=클레임조회!$C$6),OR(클레임조회!$C$7="",$D1975=클레임조회!$C$7),OR(클레임조회!$C$8="",$E1975=클레임조회!$C$8),OR(클레임조회!$C$9="",$F1975=클레임조회!$C$9),OR(클레임조회!$C$10="",ISNUMBER(SEARCH(클레임조회!$C$10,$C1975&amp;" "&amp;$F1975&amp;" "&amp;$G1975&amp;" "&amp;$H1975)))),COUNT(O$1:O1974)+1,"")</f>
        <v/>
      </c>
      <c r="P1975" s="0" t="str">
        <f aca="false">IF(AND(TRIM(C1975)&lt;&gt;"",COUNTIF(C$2:C1975,C1975)=1),MAX(P$1:P1974)+1,"")</f>
        <v/>
      </c>
      <c r="Q1975" s="0" t="str">
        <f aca="false">IF(AND(TRIM(F1975)&lt;&gt;"",COUNTIF(F$2:F1975,F1975)=1),MAX(Q$1:Q1974)+1,"")</f>
        <v/>
      </c>
    </row>
    <row r="1976" customFormat="false" ht="15" hidden="false" customHeight="false" outlineLevel="0" collapsed="false">
      <c r="A1976" s="9"/>
      <c r="B1976" s="10"/>
      <c r="C1976" s="11"/>
      <c r="D1976" s="11"/>
      <c r="E1976" s="11"/>
      <c r="F1976" s="11"/>
      <c r="G1976" s="12"/>
      <c r="H1976" s="12"/>
      <c r="I1976" s="10"/>
      <c r="J1976" s="12"/>
      <c r="K1976" s="13" t="str">
        <f aca="false">IF(ISNUMBER(B1976),YEAR(B1976),"")</f>
        <v/>
      </c>
      <c r="L1976" s="13" t="str">
        <f aca="false">IF(ISNUMBER(B1976),MONTH(B1976),"")</f>
        <v/>
      </c>
      <c r="M1976" s="13" t="str">
        <f aca="false">IF(AND(ISNUMBER(B1976),ISNUMBER(I1976)),B1976-I1976+1,"")</f>
        <v/>
      </c>
      <c r="N1976" s="14" t="str">
        <f aca="false">IF(B1976="","",IF(M1976="","시작일 미입력",IF(M1976&lt;1,"시작일 이전(확인)",IF(M1976=1,"1일째",IF(M1976=2,"2일째",IF(M1976=3,"3일째",IF(M1976&lt;=7,"일주일 이내",IF(M1976&lt;=14,"이주일 이내","15일 이후"))))))))</f>
        <v/>
      </c>
      <c r="O1976" s="0" t="str">
        <f aca="false">IF(AND(COUNTA($A1976:$J1976)&gt;0,OR(클레임조회!$C$4="",AND(ISNUMBER($B1976),$B1976&gt;=클레임조회!$C$4)),OR(클레임조회!$C$5="",AND(ISNUMBER($B1976),$B1976&lt;=클레임조회!$C$5)),OR(클레임조회!$C$6="",$C1976=클레임조회!$C$6),OR(클레임조회!$C$7="",$D1976=클레임조회!$C$7),OR(클레임조회!$C$8="",$E1976=클레임조회!$C$8),OR(클레임조회!$C$9="",$F1976=클레임조회!$C$9),OR(클레임조회!$C$10="",ISNUMBER(SEARCH(클레임조회!$C$10,$C1976&amp;" "&amp;$F1976&amp;" "&amp;$G1976&amp;" "&amp;$H1976)))),COUNT(O$1:O1975)+1,"")</f>
        <v/>
      </c>
      <c r="P1976" s="0" t="str">
        <f aca="false">IF(AND(TRIM(C1976)&lt;&gt;"",COUNTIF(C$2:C1976,C1976)=1),MAX(P$1:P1975)+1,"")</f>
        <v/>
      </c>
      <c r="Q1976" s="0" t="str">
        <f aca="false">IF(AND(TRIM(F1976)&lt;&gt;"",COUNTIF(F$2:F1976,F1976)=1),MAX(Q$1:Q1975)+1,"")</f>
        <v/>
      </c>
    </row>
    <row r="1977" customFormat="false" ht="15" hidden="false" customHeight="false" outlineLevel="0" collapsed="false">
      <c r="A1977" s="9"/>
      <c r="B1977" s="10"/>
      <c r="C1977" s="11"/>
      <c r="D1977" s="11"/>
      <c r="E1977" s="11"/>
      <c r="F1977" s="11"/>
      <c r="G1977" s="12"/>
      <c r="H1977" s="12"/>
      <c r="I1977" s="10"/>
      <c r="J1977" s="12"/>
      <c r="K1977" s="13" t="str">
        <f aca="false">IF(ISNUMBER(B1977),YEAR(B1977),"")</f>
        <v/>
      </c>
      <c r="L1977" s="13" t="str">
        <f aca="false">IF(ISNUMBER(B1977),MONTH(B1977),"")</f>
        <v/>
      </c>
      <c r="M1977" s="13" t="str">
        <f aca="false">IF(AND(ISNUMBER(B1977),ISNUMBER(I1977)),B1977-I1977+1,"")</f>
        <v/>
      </c>
      <c r="N1977" s="14" t="str">
        <f aca="false">IF(B1977="","",IF(M1977="","시작일 미입력",IF(M1977&lt;1,"시작일 이전(확인)",IF(M1977=1,"1일째",IF(M1977=2,"2일째",IF(M1977=3,"3일째",IF(M1977&lt;=7,"일주일 이내",IF(M1977&lt;=14,"이주일 이내","15일 이후"))))))))</f>
        <v/>
      </c>
      <c r="O1977" s="0" t="str">
        <f aca="false">IF(AND(COUNTA($A1977:$J1977)&gt;0,OR(클레임조회!$C$4="",AND(ISNUMBER($B1977),$B1977&gt;=클레임조회!$C$4)),OR(클레임조회!$C$5="",AND(ISNUMBER($B1977),$B1977&lt;=클레임조회!$C$5)),OR(클레임조회!$C$6="",$C1977=클레임조회!$C$6),OR(클레임조회!$C$7="",$D1977=클레임조회!$C$7),OR(클레임조회!$C$8="",$E1977=클레임조회!$C$8),OR(클레임조회!$C$9="",$F1977=클레임조회!$C$9),OR(클레임조회!$C$10="",ISNUMBER(SEARCH(클레임조회!$C$10,$C1977&amp;" "&amp;$F1977&amp;" "&amp;$G1977&amp;" "&amp;$H1977)))),COUNT(O$1:O1976)+1,"")</f>
        <v/>
      </c>
      <c r="P1977" s="0" t="str">
        <f aca="false">IF(AND(TRIM(C1977)&lt;&gt;"",COUNTIF(C$2:C1977,C1977)=1),MAX(P$1:P1976)+1,"")</f>
        <v/>
      </c>
      <c r="Q1977" s="0" t="str">
        <f aca="false">IF(AND(TRIM(F1977)&lt;&gt;"",COUNTIF(F$2:F1977,F1977)=1),MAX(Q$1:Q1976)+1,"")</f>
        <v/>
      </c>
    </row>
    <row r="1978" customFormat="false" ht="15" hidden="false" customHeight="false" outlineLevel="0" collapsed="false">
      <c r="A1978" s="9"/>
      <c r="B1978" s="10"/>
      <c r="C1978" s="11"/>
      <c r="D1978" s="11"/>
      <c r="E1978" s="11"/>
      <c r="F1978" s="11"/>
      <c r="G1978" s="12"/>
      <c r="H1978" s="12"/>
      <c r="I1978" s="10"/>
      <c r="J1978" s="12"/>
      <c r="K1978" s="13" t="str">
        <f aca="false">IF(ISNUMBER(B1978),YEAR(B1978),"")</f>
        <v/>
      </c>
      <c r="L1978" s="13" t="str">
        <f aca="false">IF(ISNUMBER(B1978),MONTH(B1978),"")</f>
        <v/>
      </c>
      <c r="M1978" s="13" t="str">
        <f aca="false">IF(AND(ISNUMBER(B1978),ISNUMBER(I1978)),B1978-I1978+1,"")</f>
        <v/>
      </c>
      <c r="N1978" s="14" t="str">
        <f aca="false">IF(B1978="","",IF(M1978="","시작일 미입력",IF(M1978&lt;1,"시작일 이전(확인)",IF(M1978=1,"1일째",IF(M1978=2,"2일째",IF(M1978=3,"3일째",IF(M1978&lt;=7,"일주일 이내",IF(M1978&lt;=14,"이주일 이내","15일 이후"))))))))</f>
        <v/>
      </c>
      <c r="O1978" s="0" t="str">
        <f aca="false">IF(AND(COUNTA($A1978:$J1978)&gt;0,OR(클레임조회!$C$4="",AND(ISNUMBER($B1978),$B1978&gt;=클레임조회!$C$4)),OR(클레임조회!$C$5="",AND(ISNUMBER($B1978),$B1978&lt;=클레임조회!$C$5)),OR(클레임조회!$C$6="",$C1978=클레임조회!$C$6),OR(클레임조회!$C$7="",$D1978=클레임조회!$C$7),OR(클레임조회!$C$8="",$E1978=클레임조회!$C$8),OR(클레임조회!$C$9="",$F1978=클레임조회!$C$9),OR(클레임조회!$C$10="",ISNUMBER(SEARCH(클레임조회!$C$10,$C1978&amp;" "&amp;$F1978&amp;" "&amp;$G1978&amp;" "&amp;$H1978)))),COUNT(O$1:O1977)+1,"")</f>
        <v/>
      </c>
      <c r="P1978" s="0" t="str">
        <f aca="false">IF(AND(TRIM(C1978)&lt;&gt;"",COUNTIF(C$2:C1978,C1978)=1),MAX(P$1:P1977)+1,"")</f>
        <v/>
      </c>
      <c r="Q1978" s="0" t="str">
        <f aca="false">IF(AND(TRIM(F1978)&lt;&gt;"",COUNTIF(F$2:F1978,F1978)=1),MAX(Q$1:Q1977)+1,"")</f>
        <v/>
      </c>
    </row>
    <row r="1979" customFormat="false" ht="15" hidden="false" customHeight="false" outlineLevel="0" collapsed="false">
      <c r="A1979" s="9"/>
      <c r="B1979" s="10"/>
      <c r="C1979" s="11"/>
      <c r="D1979" s="11"/>
      <c r="E1979" s="11"/>
      <c r="F1979" s="11"/>
      <c r="G1979" s="12"/>
      <c r="H1979" s="12"/>
      <c r="I1979" s="10"/>
      <c r="J1979" s="12"/>
      <c r="K1979" s="13" t="str">
        <f aca="false">IF(ISNUMBER(B1979),YEAR(B1979),"")</f>
        <v/>
      </c>
      <c r="L1979" s="13" t="str">
        <f aca="false">IF(ISNUMBER(B1979),MONTH(B1979),"")</f>
        <v/>
      </c>
      <c r="M1979" s="13" t="str">
        <f aca="false">IF(AND(ISNUMBER(B1979),ISNUMBER(I1979)),B1979-I1979+1,"")</f>
        <v/>
      </c>
      <c r="N1979" s="14" t="str">
        <f aca="false">IF(B1979="","",IF(M1979="","시작일 미입력",IF(M1979&lt;1,"시작일 이전(확인)",IF(M1979=1,"1일째",IF(M1979=2,"2일째",IF(M1979=3,"3일째",IF(M1979&lt;=7,"일주일 이내",IF(M1979&lt;=14,"이주일 이내","15일 이후"))))))))</f>
        <v/>
      </c>
      <c r="O1979" s="0" t="str">
        <f aca="false">IF(AND(COUNTA($A1979:$J1979)&gt;0,OR(클레임조회!$C$4="",AND(ISNUMBER($B1979),$B1979&gt;=클레임조회!$C$4)),OR(클레임조회!$C$5="",AND(ISNUMBER($B1979),$B1979&lt;=클레임조회!$C$5)),OR(클레임조회!$C$6="",$C1979=클레임조회!$C$6),OR(클레임조회!$C$7="",$D1979=클레임조회!$C$7),OR(클레임조회!$C$8="",$E1979=클레임조회!$C$8),OR(클레임조회!$C$9="",$F1979=클레임조회!$C$9),OR(클레임조회!$C$10="",ISNUMBER(SEARCH(클레임조회!$C$10,$C1979&amp;" "&amp;$F1979&amp;" "&amp;$G1979&amp;" "&amp;$H1979)))),COUNT(O$1:O1978)+1,"")</f>
        <v/>
      </c>
      <c r="P1979" s="0" t="str">
        <f aca="false">IF(AND(TRIM(C1979)&lt;&gt;"",COUNTIF(C$2:C1979,C1979)=1),MAX(P$1:P1978)+1,"")</f>
        <v/>
      </c>
      <c r="Q1979" s="0" t="str">
        <f aca="false">IF(AND(TRIM(F1979)&lt;&gt;"",COUNTIF(F$2:F1979,F1979)=1),MAX(Q$1:Q1978)+1,"")</f>
        <v/>
      </c>
    </row>
    <row r="1980" customFormat="false" ht="15" hidden="false" customHeight="false" outlineLevel="0" collapsed="false">
      <c r="A1980" s="9"/>
      <c r="B1980" s="10"/>
      <c r="C1980" s="11"/>
      <c r="D1980" s="11"/>
      <c r="E1980" s="11"/>
      <c r="F1980" s="11"/>
      <c r="G1980" s="12"/>
      <c r="H1980" s="12"/>
      <c r="I1980" s="10"/>
      <c r="J1980" s="12"/>
      <c r="K1980" s="13" t="str">
        <f aca="false">IF(ISNUMBER(B1980),YEAR(B1980),"")</f>
        <v/>
      </c>
      <c r="L1980" s="13" t="str">
        <f aca="false">IF(ISNUMBER(B1980),MONTH(B1980),"")</f>
        <v/>
      </c>
      <c r="M1980" s="13" t="str">
        <f aca="false">IF(AND(ISNUMBER(B1980),ISNUMBER(I1980)),B1980-I1980+1,"")</f>
        <v/>
      </c>
      <c r="N1980" s="14" t="str">
        <f aca="false">IF(B1980="","",IF(M1980="","시작일 미입력",IF(M1980&lt;1,"시작일 이전(확인)",IF(M1980=1,"1일째",IF(M1980=2,"2일째",IF(M1980=3,"3일째",IF(M1980&lt;=7,"일주일 이내",IF(M1980&lt;=14,"이주일 이내","15일 이후"))))))))</f>
        <v/>
      </c>
      <c r="O1980" s="0" t="str">
        <f aca="false">IF(AND(COUNTA($A1980:$J1980)&gt;0,OR(클레임조회!$C$4="",AND(ISNUMBER($B1980),$B1980&gt;=클레임조회!$C$4)),OR(클레임조회!$C$5="",AND(ISNUMBER($B1980),$B1980&lt;=클레임조회!$C$5)),OR(클레임조회!$C$6="",$C1980=클레임조회!$C$6),OR(클레임조회!$C$7="",$D1980=클레임조회!$C$7),OR(클레임조회!$C$8="",$E1980=클레임조회!$C$8),OR(클레임조회!$C$9="",$F1980=클레임조회!$C$9),OR(클레임조회!$C$10="",ISNUMBER(SEARCH(클레임조회!$C$10,$C1980&amp;" "&amp;$F1980&amp;" "&amp;$G1980&amp;" "&amp;$H1980)))),COUNT(O$1:O1979)+1,"")</f>
        <v/>
      </c>
      <c r="P1980" s="0" t="str">
        <f aca="false">IF(AND(TRIM(C1980)&lt;&gt;"",COUNTIF(C$2:C1980,C1980)=1),MAX(P$1:P1979)+1,"")</f>
        <v/>
      </c>
      <c r="Q1980" s="0" t="str">
        <f aca="false">IF(AND(TRIM(F1980)&lt;&gt;"",COUNTIF(F$2:F1980,F1980)=1),MAX(Q$1:Q1979)+1,"")</f>
        <v/>
      </c>
    </row>
    <row r="1981" customFormat="false" ht="15" hidden="false" customHeight="false" outlineLevel="0" collapsed="false">
      <c r="A1981" s="9"/>
      <c r="B1981" s="10"/>
      <c r="C1981" s="11"/>
      <c r="D1981" s="11"/>
      <c r="E1981" s="11"/>
      <c r="F1981" s="11"/>
      <c r="G1981" s="12"/>
      <c r="H1981" s="12"/>
      <c r="I1981" s="10"/>
      <c r="J1981" s="12"/>
      <c r="K1981" s="13" t="str">
        <f aca="false">IF(ISNUMBER(B1981),YEAR(B1981),"")</f>
        <v/>
      </c>
      <c r="L1981" s="13" t="str">
        <f aca="false">IF(ISNUMBER(B1981),MONTH(B1981),"")</f>
        <v/>
      </c>
      <c r="M1981" s="13" t="str">
        <f aca="false">IF(AND(ISNUMBER(B1981),ISNUMBER(I1981)),B1981-I1981+1,"")</f>
        <v/>
      </c>
      <c r="N1981" s="14" t="str">
        <f aca="false">IF(B1981="","",IF(M1981="","시작일 미입력",IF(M1981&lt;1,"시작일 이전(확인)",IF(M1981=1,"1일째",IF(M1981=2,"2일째",IF(M1981=3,"3일째",IF(M1981&lt;=7,"일주일 이내",IF(M1981&lt;=14,"이주일 이내","15일 이후"))))))))</f>
        <v/>
      </c>
      <c r="O1981" s="0" t="str">
        <f aca="false">IF(AND(COUNTA($A1981:$J1981)&gt;0,OR(클레임조회!$C$4="",AND(ISNUMBER($B1981),$B1981&gt;=클레임조회!$C$4)),OR(클레임조회!$C$5="",AND(ISNUMBER($B1981),$B1981&lt;=클레임조회!$C$5)),OR(클레임조회!$C$6="",$C1981=클레임조회!$C$6),OR(클레임조회!$C$7="",$D1981=클레임조회!$C$7),OR(클레임조회!$C$8="",$E1981=클레임조회!$C$8),OR(클레임조회!$C$9="",$F1981=클레임조회!$C$9),OR(클레임조회!$C$10="",ISNUMBER(SEARCH(클레임조회!$C$10,$C1981&amp;" "&amp;$F1981&amp;" "&amp;$G1981&amp;" "&amp;$H1981)))),COUNT(O$1:O1980)+1,"")</f>
        <v/>
      </c>
      <c r="P1981" s="0" t="str">
        <f aca="false">IF(AND(TRIM(C1981)&lt;&gt;"",COUNTIF(C$2:C1981,C1981)=1),MAX(P$1:P1980)+1,"")</f>
        <v/>
      </c>
      <c r="Q1981" s="0" t="str">
        <f aca="false">IF(AND(TRIM(F1981)&lt;&gt;"",COUNTIF(F$2:F1981,F1981)=1),MAX(Q$1:Q1980)+1,"")</f>
        <v/>
      </c>
    </row>
    <row r="1982" customFormat="false" ht="15" hidden="false" customHeight="false" outlineLevel="0" collapsed="false">
      <c r="A1982" s="9"/>
      <c r="B1982" s="10"/>
      <c r="C1982" s="11"/>
      <c r="D1982" s="11"/>
      <c r="E1982" s="11"/>
      <c r="F1982" s="11"/>
      <c r="G1982" s="12"/>
      <c r="H1982" s="12"/>
      <c r="I1982" s="10"/>
      <c r="J1982" s="12"/>
      <c r="K1982" s="13" t="str">
        <f aca="false">IF(ISNUMBER(B1982),YEAR(B1982),"")</f>
        <v/>
      </c>
      <c r="L1982" s="13" t="str">
        <f aca="false">IF(ISNUMBER(B1982),MONTH(B1982),"")</f>
        <v/>
      </c>
      <c r="M1982" s="13" t="str">
        <f aca="false">IF(AND(ISNUMBER(B1982),ISNUMBER(I1982)),B1982-I1982+1,"")</f>
        <v/>
      </c>
      <c r="N1982" s="14" t="str">
        <f aca="false">IF(B1982="","",IF(M1982="","시작일 미입력",IF(M1982&lt;1,"시작일 이전(확인)",IF(M1982=1,"1일째",IF(M1982=2,"2일째",IF(M1982=3,"3일째",IF(M1982&lt;=7,"일주일 이내",IF(M1982&lt;=14,"이주일 이내","15일 이후"))))))))</f>
        <v/>
      </c>
      <c r="O1982" s="0" t="str">
        <f aca="false">IF(AND(COUNTA($A1982:$J1982)&gt;0,OR(클레임조회!$C$4="",AND(ISNUMBER($B1982),$B1982&gt;=클레임조회!$C$4)),OR(클레임조회!$C$5="",AND(ISNUMBER($B1982),$B1982&lt;=클레임조회!$C$5)),OR(클레임조회!$C$6="",$C1982=클레임조회!$C$6),OR(클레임조회!$C$7="",$D1982=클레임조회!$C$7),OR(클레임조회!$C$8="",$E1982=클레임조회!$C$8),OR(클레임조회!$C$9="",$F1982=클레임조회!$C$9),OR(클레임조회!$C$10="",ISNUMBER(SEARCH(클레임조회!$C$10,$C1982&amp;" "&amp;$F1982&amp;" "&amp;$G1982&amp;" "&amp;$H1982)))),COUNT(O$1:O1981)+1,"")</f>
        <v/>
      </c>
      <c r="P1982" s="0" t="str">
        <f aca="false">IF(AND(TRIM(C1982)&lt;&gt;"",COUNTIF(C$2:C1982,C1982)=1),MAX(P$1:P1981)+1,"")</f>
        <v/>
      </c>
      <c r="Q1982" s="0" t="str">
        <f aca="false">IF(AND(TRIM(F1982)&lt;&gt;"",COUNTIF(F$2:F1982,F1982)=1),MAX(Q$1:Q1981)+1,"")</f>
        <v/>
      </c>
    </row>
    <row r="1983" customFormat="false" ht="15" hidden="false" customHeight="false" outlineLevel="0" collapsed="false">
      <c r="A1983" s="9"/>
      <c r="B1983" s="10"/>
      <c r="C1983" s="11"/>
      <c r="D1983" s="11"/>
      <c r="E1983" s="11"/>
      <c r="F1983" s="11"/>
      <c r="G1983" s="12"/>
      <c r="H1983" s="12"/>
      <c r="I1983" s="10"/>
      <c r="J1983" s="12"/>
      <c r="K1983" s="13" t="str">
        <f aca="false">IF(ISNUMBER(B1983),YEAR(B1983),"")</f>
        <v/>
      </c>
      <c r="L1983" s="13" t="str">
        <f aca="false">IF(ISNUMBER(B1983),MONTH(B1983),"")</f>
        <v/>
      </c>
      <c r="M1983" s="13" t="str">
        <f aca="false">IF(AND(ISNUMBER(B1983),ISNUMBER(I1983)),B1983-I1983+1,"")</f>
        <v/>
      </c>
      <c r="N1983" s="14" t="str">
        <f aca="false">IF(B1983="","",IF(M1983="","시작일 미입력",IF(M1983&lt;1,"시작일 이전(확인)",IF(M1983=1,"1일째",IF(M1983=2,"2일째",IF(M1983=3,"3일째",IF(M1983&lt;=7,"일주일 이내",IF(M1983&lt;=14,"이주일 이내","15일 이후"))))))))</f>
        <v/>
      </c>
      <c r="O1983" s="0" t="str">
        <f aca="false">IF(AND(COUNTA($A1983:$J1983)&gt;0,OR(클레임조회!$C$4="",AND(ISNUMBER($B1983),$B1983&gt;=클레임조회!$C$4)),OR(클레임조회!$C$5="",AND(ISNUMBER($B1983),$B1983&lt;=클레임조회!$C$5)),OR(클레임조회!$C$6="",$C1983=클레임조회!$C$6),OR(클레임조회!$C$7="",$D1983=클레임조회!$C$7),OR(클레임조회!$C$8="",$E1983=클레임조회!$C$8),OR(클레임조회!$C$9="",$F1983=클레임조회!$C$9),OR(클레임조회!$C$10="",ISNUMBER(SEARCH(클레임조회!$C$10,$C1983&amp;" "&amp;$F1983&amp;" "&amp;$G1983&amp;" "&amp;$H1983)))),COUNT(O$1:O1982)+1,"")</f>
        <v/>
      </c>
      <c r="P1983" s="0" t="str">
        <f aca="false">IF(AND(TRIM(C1983)&lt;&gt;"",COUNTIF(C$2:C1983,C1983)=1),MAX(P$1:P1982)+1,"")</f>
        <v/>
      </c>
      <c r="Q1983" s="0" t="str">
        <f aca="false">IF(AND(TRIM(F1983)&lt;&gt;"",COUNTIF(F$2:F1983,F1983)=1),MAX(Q$1:Q1982)+1,"")</f>
        <v/>
      </c>
    </row>
    <row r="1984" customFormat="false" ht="15" hidden="false" customHeight="false" outlineLevel="0" collapsed="false">
      <c r="A1984" s="9"/>
      <c r="B1984" s="10"/>
      <c r="C1984" s="11"/>
      <c r="D1984" s="11"/>
      <c r="E1984" s="11"/>
      <c r="F1984" s="11"/>
      <c r="G1984" s="12"/>
      <c r="H1984" s="12"/>
      <c r="I1984" s="10"/>
      <c r="J1984" s="12"/>
      <c r="K1984" s="13" t="str">
        <f aca="false">IF(ISNUMBER(B1984),YEAR(B1984),"")</f>
        <v/>
      </c>
      <c r="L1984" s="13" t="str">
        <f aca="false">IF(ISNUMBER(B1984),MONTH(B1984),"")</f>
        <v/>
      </c>
      <c r="M1984" s="13" t="str">
        <f aca="false">IF(AND(ISNUMBER(B1984),ISNUMBER(I1984)),B1984-I1984+1,"")</f>
        <v/>
      </c>
      <c r="N1984" s="14" t="str">
        <f aca="false">IF(B1984="","",IF(M1984="","시작일 미입력",IF(M1984&lt;1,"시작일 이전(확인)",IF(M1984=1,"1일째",IF(M1984=2,"2일째",IF(M1984=3,"3일째",IF(M1984&lt;=7,"일주일 이내",IF(M1984&lt;=14,"이주일 이내","15일 이후"))))))))</f>
        <v/>
      </c>
      <c r="O1984" s="0" t="str">
        <f aca="false">IF(AND(COUNTA($A1984:$J1984)&gt;0,OR(클레임조회!$C$4="",AND(ISNUMBER($B1984),$B1984&gt;=클레임조회!$C$4)),OR(클레임조회!$C$5="",AND(ISNUMBER($B1984),$B1984&lt;=클레임조회!$C$5)),OR(클레임조회!$C$6="",$C1984=클레임조회!$C$6),OR(클레임조회!$C$7="",$D1984=클레임조회!$C$7),OR(클레임조회!$C$8="",$E1984=클레임조회!$C$8),OR(클레임조회!$C$9="",$F1984=클레임조회!$C$9),OR(클레임조회!$C$10="",ISNUMBER(SEARCH(클레임조회!$C$10,$C1984&amp;" "&amp;$F1984&amp;" "&amp;$G1984&amp;" "&amp;$H1984)))),COUNT(O$1:O1983)+1,"")</f>
        <v/>
      </c>
      <c r="P1984" s="0" t="str">
        <f aca="false">IF(AND(TRIM(C1984)&lt;&gt;"",COUNTIF(C$2:C1984,C1984)=1),MAX(P$1:P1983)+1,"")</f>
        <v/>
      </c>
      <c r="Q1984" s="0" t="str">
        <f aca="false">IF(AND(TRIM(F1984)&lt;&gt;"",COUNTIF(F$2:F1984,F1984)=1),MAX(Q$1:Q1983)+1,"")</f>
        <v/>
      </c>
    </row>
    <row r="1985" customFormat="false" ht="15" hidden="false" customHeight="false" outlineLevel="0" collapsed="false">
      <c r="A1985" s="9"/>
      <c r="B1985" s="10"/>
      <c r="C1985" s="11"/>
      <c r="D1985" s="11"/>
      <c r="E1985" s="11"/>
      <c r="F1985" s="11"/>
      <c r="G1985" s="12"/>
      <c r="H1985" s="12"/>
      <c r="I1985" s="10"/>
      <c r="J1985" s="12"/>
      <c r="K1985" s="13" t="str">
        <f aca="false">IF(ISNUMBER(B1985),YEAR(B1985),"")</f>
        <v/>
      </c>
      <c r="L1985" s="13" t="str">
        <f aca="false">IF(ISNUMBER(B1985),MONTH(B1985),"")</f>
        <v/>
      </c>
      <c r="M1985" s="13" t="str">
        <f aca="false">IF(AND(ISNUMBER(B1985),ISNUMBER(I1985)),B1985-I1985+1,"")</f>
        <v/>
      </c>
      <c r="N1985" s="14" t="str">
        <f aca="false">IF(B1985="","",IF(M1985="","시작일 미입력",IF(M1985&lt;1,"시작일 이전(확인)",IF(M1985=1,"1일째",IF(M1985=2,"2일째",IF(M1985=3,"3일째",IF(M1985&lt;=7,"일주일 이내",IF(M1985&lt;=14,"이주일 이내","15일 이후"))))))))</f>
        <v/>
      </c>
      <c r="O1985" s="0" t="str">
        <f aca="false">IF(AND(COUNTA($A1985:$J1985)&gt;0,OR(클레임조회!$C$4="",AND(ISNUMBER($B1985),$B1985&gt;=클레임조회!$C$4)),OR(클레임조회!$C$5="",AND(ISNUMBER($B1985),$B1985&lt;=클레임조회!$C$5)),OR(클레임조회!$C$6="",$C1985=클레임조회!$C$6),OR(클레임조회!$C$7="",$D1985=클레임조회!$C$7),OR(클레임조회!$C$8="",$E1985=클레임조회!$C$8),OR(클레임조회!$C$9="",$F1985=클레임조회!$C$9),OR(클레임조회!$C$10="",ISNUMBER(SEARCH(클레임조회!$C$10,$C1985&amp;" "&amp;$F1985&amp;" "&amp;$G1985&amp;" "&amp;$H1985)))),COUNT(O$1:O1984)+1,"")</f>
        <v/>
      </c>
      <c r="P1985" s="0" t="str">
        <f aca="false">IF(AND(TRIM(C1985)&lt;&gt;"",COUNTIF(C$2:C1985,C1985)=1),MAX(P$1:P1984)+1,"")</f>
        <v/>
      </c>
      <c r="Q1985" s="0" t="str">
        <f aca="false">IF(AND(TRIM(F1985)&lt;&gt;"",COUNTIF(F$2:F1985,F1985)=1),MAX(Q$1:Q1984)+1,"")</f>
        <v/>
      </c>
    </row>
    <row r="1986" customFormat="false" ht="15" hidden="false" customHeight="false" outlineLevel="0" collapsed="false">
      <c r="A1986" s="9"/>
      <c r="B1986" s="10"/>
      <c r="C1986" s="11"/>
      <c r="D1986" s="11"/>
      <c r="E1986" s="11"/>
      <c r="F1986" s="11"/>
      <c r="G1986" s="12"/>
      <c r="H1986" s="12"/>
      <c r="I1986" s="10"/>
      <c r="J1986" s="12"/>
      <c r="K1986" s="13" t="str">
        <f aca="false">IF(ISNUMBER(B1986),YEAR(B1986),"")</f>
        <v/>
      </c>
      <c r="L1986" s="13" t="str">
        <f aca="false">IF(ISNUMBER(B1986),MONTH(B1986),"")</f>
        <v/>
      </c>
      <c r="M1986" s="13" t="str">
        <f aca="false">IF(AND(ISNUMBER(B1986),ISNUMBER(I1986)),B1986-I1986+1,"")</f>
        <v/>
      </c>
      <c r="N1986" s="14" t="str">
        <f aca="false">IF(B1986="","",IF(M1986="","시작일 미입력",IF(M1986&lt;1,"시작일 이전(확인)",IF(M1986=1,"1일째",IF(M1986=2,"2일째",IF(M1986=3,"3일째",IF(M1986&lt;=7,"일주일 이내",IF(M1986&lt;=14,"이주일 이내","15일 이후"))))))))</f>
        <v/>
      </c>
      <c r="O1986" s="0" t="str">
        <f aca="false">IF(AND(COUNTA($A1986:$J1986)&gt;0,OR(클레임조회!$C$4="",AND(ISNUMBER($B1986),$B1986&gt;=클레임조회!$C$4)),OR(클레임조회!$C$5="",AND(ISNUMBER($B1986),$B1986&lt;=클레임조회!$C$5)),OR(클레임조회!$C$6="",$C1986=클레임조회!$C$6),OR(클레임조회!$C$7="",$D1986=클레임조회!$C$7),OR(클레임조회!$C$8="",$E1986=클레임조회!$C$8),OR(클레임조회!$C$9="",$F1986=클레임조회!$C$9),OR(클레임조회!$C$10="",ISNUMBER(SEARCH(클레임조회!$C$10,$C1986&amp;" "&amp;$F1986&amp;" "&amp;$G1986&amp;" "&amp;$H1986)))),COUNT(O$1:O1985)+1,"")</f>
        <v/>
      </c>
      <c r="P1986" s="0" t="str">
        <f aca="false">IF(AND(TRIM(C1986)&lt;&gt;"",COUNTIF(C$2:C1986,C1986)=1),MAX(P$1:P1985)+1,"")</f>
        <v/>
      </c>
      <c r="Q1986" s="0" t="str">
        <f aca="false">IF(AND(TRIM(F1986)&lt;&gt;"",COUNTIF(F$2:F1986,F1986)=1),MAX(Q$1:Q1985)+1,"")</f>
        <v/>
      </c>
    </row>
    <row r="1987" customFormat="false" ht="15" hidden="false" customHeight="false" outlineLevel="0" collapsed="false">
      <c r="A1987" s="9"/>
      <c r="B1987" s="10"/>
      <c r="C1987" s="11"/>
      <c r="D1987" s="11"/>
      <c r="E1987" s="11"/>
      <c r="F1987" s="11"/>
      <c r="G1987" s="12"/>
      <c r="H1987" s="12"/>
      <c r="I1987" s="10"/>
      <c r="J1987" s="12"/>
      <c r="K1987" s="13" t="str">
        <f aca="false">IF(ISNUMBER(B1987),YEAR(B1987),"")</f>
        <v/>
      </c>
      <c r="L1987" s="13" t="str">
        <f aca="false">IF(ISNUMBER(B1987),MONTH(B1987),"")</f>
        <v/>
      </c>
      <c r="M1987" s="13" t="str">
        <f aca="false">IF(AND(ISNUMBER(B1987),ISNUMBER(I1987)),B1987-I1987+1,"")</f>
        <v/>
      </c>
      <c r="N1987" s="14" t="str">
        <f aca="false">IF(B1987="","",IF(M1987="","시작일 미입력",IF(M1987&lt;1,"시작일 이전(확인)",IF(M1987=1,"1일째",IF(M1987=2,"2일째",IF(M1987=3,"3일째",IF(M1987&lt;=7,"일주일 이내",IF(M1987&lt;=14,"이주일 이내","15일 이후"))))))))</f>
        <v/>
      </c>
      <c r="O1987" s="0" t="str">
        <f aca="false">IF(AND(COUNTA($A1987:$J1987)&gt;0,OR(클레임조회!$C$4="",AND(ISNUMBER($B1987),$B1987&gt;=클레임조회!$C$4)),OR(클레임조회!$C$5="",AND(ISNUMBER($B1987),$B1987&lt;=클레임조회!$C$5)),OR(클레임조회!$C$6="",$C1987=클레임조회!$C$6),OR(클레임조회!$C$7="",$D1987=클레임조회!$C$7),OR(클레임조회!$C$8="",$E1987=클레임조회!$C$8),OR(클레임조회!$C$9="",$F1987=클레임조회!$C$9),OR(클레임조회!$C$10="",ISNUMBER(SEARCH(클레임조회!$C$10,$C1987&amp;" "&amp;$F1987&amp;" "&amp;$G1987&amp;" "&amp;$H1987)))),COUNT(O$1:O1986)+1,"")</f>
        <v/>
      </c>
      <c r="P1987" s="0" t="str">
        <f aca="false">IF(AND(TRIM(C1987)&lt;&gt;"",COUNTIF(C$2:C1987,C1987)=1),MAX(P$1:P1986)+1,"")</f>
        <v/>
      </c>
      <c r="Q1987" s="0" t="str">
        <f aca="false">IF(AND(TRIM(F1987)&lt;&gt;"",COUNTIF(F$2:F1987,F1987)=1),MAX(Q$1:Q1986)+1,"")</f>
        <v/>
      </c>
    </row>
    <row r="1988" customFormat="false" ht="15" hidden="false" customHeight="false" outlineLevel="0" collapsed="false">
      <c r="A1988" s="9"/>
      <c r="B1988" s="10"/>
      <c r="C1988" s="11"/>
      <c r="D1988" s="11"/>
      <c r="E1988" s="11"/>
      <c r="F1988" s="11"/>
      <c r="G1988" s="12"/>
      <c r="H1988" s="12"/>
      <c r="I1988" s="10"/>
      <c r="J1988" s="12"/>
      <c r="K1988" s="13" t="str">
        <f aca="false">IF(ISNUMBER(B1988),YEAR(B1988),"")</f>
        <v/>
      </c>
      <c r="L1988" s="13" t="str">
        <f aca="false">IF(ISNUMBER(B1988),MONTH(B1988),"")</f>
        <v/>
      </c>
      <c r="M1988" s="13" t="str">
        <f aca="false">IF(AND(ISNUMBER(B1988),ISNUMBER(I1988)),B1988-I1988+1,"")</f>
        <v/>
      </c>
      <c r="N1988" s="14" t="str">
        <f aca="false">IF(B1988="","",IF(M1988="","시작일 미입력",IF(M1988&lt;1,"시작일 이전(확인)",IF(M1988=1,"1일째",IF(M1988=2,"2일째",IF(M1988=3,"3일째",IF(M1988&lt;=7,"일주일 이내",IF(M1988&lt;=14,"이주일 이내","15일 이후"))))))))</f>
        <v/>
      </c>
      <c r="O1988" s="0" t="str">
        <f aca="false">IF(AND(COUNTA($A1988:$J1988)&gt;0,OR(클레임조회!$C$4="",AND(ISNUMBER($B1988),$B1988&gt;=클레임조회!$C$4)),OR(클레임조회!$C$5="",AND(ISNUMBER($B1988),$B1988&lt;=클레임조회!$C$5)),OR(클레임조회!$C$6="",$C1988=클레임조회!$C$6),OR(클레임조회!$C$7="",$D1988=클레임조회!$C$7),OR(클레임조회!$C$8="",$E1988=클레임조회!$C$8),OR(클레임조회!$C$9="",$F1988=클레임조회!$C$9),OR(클레임조회!$C$10="",ISNUMBER(SEARCH(클레임조회!$C$10,$C1988&amp;" "&amp;$F1988&amp;" "&amp;$G1988&amp;" "&amp;$H1988)))),COUNT(O$1:O1987)+1,"")</f>
        <v/>
      </c>
      <c r="P1988" s="0" t="str">
        <f aca="false">IF(AND(TRIM(C1988)&lt;&gt;"",COUNTIF(C$2:C1988,C1988)=1),MAX(P$1:P1987)+1,"")</f>
        <v/>
      </c>
      <c r="Q1988" s="0" t="str">
        <f aca="false">IF(AND(TRIM(F1988)&lt;&gt;"",COUNTIF(F$2:F1988,F1988)=1),MAX(Q$1:Q1987)+1,"")</f>
        <v/>
      </c>
    </row>
    <row r="1989" customFormat="false" ht="15" hidden="false" customHeight="false" outlineLevel="0" collapsed="false">
      <c r="A1989" s="9"/>
      <c r="B1989" s="10"/>
      <c r="C1989" s="11"/>
      <c r="D1989" s="11"/>
      <c r="E1989" s="11"/>
      <c r="F1989" s="11"/>
      <c r="G1989" s="12"/>
      <c r="H1989" s="12"/>
      <c r="I1989" s="10"/>
      <c r="J1989" s="12"/>
      <c r="K1989" s="13" t="str">
        <f aca="false">IF(ISNUMBER(B1989),YEAR(B1989),"")</f>
        <v/>
      </c>
      <c r="L1989" s="13" t="str">
        <f aca="false">IF(ISNUMBER(B1989),MONTH(B1989),"")</f>
        <v/>
      </c>
      <c r="M1989" s="13" t="str">
        <f aca="false">IF(AND(ISNUMBER(B1989),ISNUMBER(I1989)),B1989-I1989+1,"")</f>
        <v/>
      </c>
      <c r="N1989" s="14" t="str">
        <f aca="false">IF(B1989="","",IF(M1989="","시작일 미입력",IF(M1989&lt;1,"시작일 이전(확인)",IF(M1989=1,"1일째",IF(M1989=2,"2일째",IF(M1989=3,"3일째",IF(M1989&lt;=7,"일주일 이내",IF(M1989&lt;=14,"이주일 이내","15일 이후"))))))))</f>
        <v/>
      </c>
      <c r="O1989" s="0" t="str">
        <f aca="false">IF(AND(COUNTA($A1989:$J1989)&gt;0,OR(클레임조회!$C$4="",AND(ISNUMBER($B1989),$B1989&gt;=클레임조회!$C$4)),OR(클레임조회!$C$5="",AND(ISNUMBER($B1989),$B1989&lt;=클레임조회!$C$5)),OR(클레임조회!$C$6="",$C1989=클레임조회!$C$6),OR(클레임조회!$C$7="",$D1989=클레임조회!$C$7),OR(클레임조회!$C$8="",$E1989=클레임조회!$C$8),OR(클레임조회!$C$9="",$F1989=클레임조회!$C$9),OR(클레임조회!$C$10="",ISNUMBER(SEARCH(클레임조회!$C$10,$C1989&amp;" "&amp;$F1989&amp;" "&amp;$G1989&amp;" "&amp;$H1989)))),COUNT(O$1:O1988)+1,"")</f>
        <v/>
      </c>
      <c r="P1989" s="0" t="str">
        <f aca="false">IF(AND(TRIM(C1989)&lt;&gt;"",COUNTIF(C$2:C1989,C1989)=1),MAX(P$1:P1988)+1,"")</f>
        <v/>
      </c>
      <c r="Q1989" s="0" t="str">
        <f aca="false">IF(AND(TRIM(F1989)&lt;&gt;"",COUNTIF(F$2:F1989,F1989)=1),MAX(Q$1:Q1988)+1,"")</f>
        <v/>
      </c>
    </row>
    <row r="1990" customFormat="false" ht="15" hidden="false" customHeight="false" outlineLevel="0" collapsed="false">
      <c r="A1990" s="9"/>
      <c r="B1990" s="10"/>
      <c r="C1990" s="11"/>
      <c r="D1990" s="11"/>
      <c r="E1990" s="11"/>
      <c r="F1990" s="11"/>
      <c r="G1990" s="12"/>
      <c r="H1990" s="12"/>
      <c r="I1990" s="10"/>
      <c r="J1990" s="12"/>
      <c r="K1990" s="13" t="str">
        <f aca="false">IF(ISNUMBER(B1990),YEAR(B1990),"")</f>
        <v/>
      </c>
      <c r="L1990" s="13" t="str">
        <f aca="false">IF(ISNUMBER(B1990),MONTH(B1990),"")</f>
        <v/>
      </c>
      <c r="M1990" s="13" t="str">
        <f aca="false">IF(AND(ISNUMBER(B1990),ISNUMBER(I1990)),B1990-I1990+1,"")</f>
        <v/>
      </c>
      <c r="N1990" s="14" t="str">
        <f aca="false">IF(B1990="","",IF(M1990="","시작일 미입력",IF(M1990&lt;1,"시작일 이전(확인)",IF(M1990=1,"1일째",IF(M1990=2,"2일째",IF(M1990=3,"3일째",IF(M1990&lt;=7,"일주일 이내",IF(M1990&lt;=14,"이주일 이내","15일 이후"))))))))</f>
        <v/>
      </c>
      <c r="O1990" s="0" t="str">
        <f aca="false">IF(AND(COUNTA($A1990:$J1990)&gt;0,OR(클레임조회!$C$4="",AND(ISNUMBER($B1990),$B1990&gt;=클레임조회!$C$4)),OR(클레임조회!$C$5="",AND(ISNUMBER($B1990),$B1990&lt;=클레임조회!$C$5)),OR(클레임조회!$C$6="",$C1990=클레임조회!$C$6),OR(클레임조회!$C$7="",$D1990=클레임조회!$C$7),OR(클레임조회!$C$8="",$E1990=클레임조회!$C$8),OR(클레임조회!$C$9="",$F1990=클레임조회!$C$9),OR(클레임조회!$C$10="",ISNUMBER(SEARCH(클레임조회!$C$10,$C1990&amp;" "&amp;$F1990&amp;" "&amp;$G1990&amp;" "&amp;$H1990)))),COUNT(O$1:O1989)+1,"")</f>
        <v/>
      </c>
      <c r="P1990" s="0" t="str">
        <f aca="false">IF(AND(TRIM(C1990)&lt;&gt;"",COUNTIF(C$2:C1990,C1990)=1),MAX(P$1:P1989)+1,"")</f>
        <v/>
      </c>
      <c r="Q1990" s="0" t="str">
        <f aca="false">IF(AND(TRIM(F1990)&lt;&gt;"",COUNTIF(F$2:F1990,F1990)=1),MAX(Q$1:Q1989)+1,"")</f>
        <v/>
      </c>
    </row>
    <row r="1991" customFormat="false" ht="15" hidden="false" customHeight="false" outlineLevel="0" collapsed="false">
      <c r="A1991" s="9"/>
      <c r="B1991" s="10"/>
      <c r="C1991" s="11"/>
      <c r="D1991" s="11"/>
      <c r="E1991" s="11"/>
      <c r="F1991" s="11"/>
      <c r="G1991" s="12"/>
      <c r="H1991" s="12"/>
      <c r="I1991" s="10"/>
      <c r="J1991" s="12"/>
      <c r="K1991" s="13" t="str">
        <f aca="false">IF(ISNUMBER(B1991),YEAR(B1991),"")</f>
        <v/>
      </c>
      <c r="L1991" s="13" t="str">
        <f aca="false">IF(ISNUMBER(B1991),MONTH(B1991),"")</f>
        <v/>
      </c>
      <c r="M1991" s="13" t="str">
        <f aca="false">IF(AND(ISNUMBER(B1991),ISNUMBER(I1991)),B1991-I1991+1,"")</f>
        <v/>
      </c>
      <c r="N1991" s="14" t="str">
        <f aca="false">IF(B1991="","",IF(M1991="","시작일 미입력",IF(M1991&lt;1,"시작일 이전(확인)",IF(M1991=1,"1일째",IF(M1991=2,"2일째",IF(M1991=3,"3일째",IF(M1991&lt;=7,"일주일 이내",IF(M1991&lt;=14,"이주일 이내","15일 이후"))))))))</f>
        <v/>
      </c>
      <c r="O1991" s="0" t="str">
        <f aca="false">IF(AND(COUNTA($A1991:$J1991)&gt;0,OR(클레임조회!$C$4="",AND(ISNUMBER($B1991),$B1991&gt;=클레임조회!$C$4)),OR(클레임조회!$C$5="",AND(ISNUMBER($B1991),$B1991&lt;=클레임조회!$C$5)),OR(클레임조회!$C$6="",$C1991=클레임조회!$C$6),OR(클레임조회!$C$7="",$D1991=클레임조회!$C$7),OR(클레임조회!$C$8="",$E1991=클레임조회!$C$8),OR(클레임조회!$C$9="",$F1991=클레임조회!$C$9),OR(클레임조회!$C$10="",ISNUMBER(SEARCH(클레임조회!$C$10,$C1991&amp;" "&amp;$F1991&amp;" "&amp;$G1991&amp;" "&amp;$H1991)))),COUNT(O$1:O1990)+1,"")</f>
        <v/>
      </c>
      <c r="P1991" s="0" t="str">
        <f aca="false">IF(AND(TRIM(C1991)&lt;&gt;"",COUNTIF(C$2:C1991,C1991)=1),MAX(P$1:P1990)+1,"")</f>
        <v/>
      </c>
      <c r="Q1991" s="0" t="str">
        <f aca="false">IF(AND(TRIM(F1991)&lt;&gt;"",COUNTIF(F$2:F1991,F1991)=1),MAX(Q$1:Q1990)+1,"")</f>
        <v/>
      </c>
    </row>
    <row r="1992" customFormat="false" ht="15" hidden="false" customHeight="false" outlineLevel="0" collapsed="false">
      <c r="A1992" s="9"/>
      <c r="B1992" s="10"/>
      <c r="C1992" s="11"/>
      <c r="D1992" s="11"/>
      <c r="E1992" s="11"/>
      <c r="F1992" s="11"/>
      <c r="G1992" s="12"/>
      <c r="H1992" s="12"/>
      <c r="I1992" s="10"/>
      <c r="J1992" s="12"/>
      <c r="K1992" s="13" t="str">
        <f aca="false">IF(ISNUMBER(B1992),YEAR(B1992),"")</f>
        <v/>
      </c>
      <c r="L1992" s="13" t="str">
        <f aca="false">IF(ISNUMBER(B1992),MONTH(B1992),"")</f>
        <v/>
      </c>
      <c r="M1992" s="13" t="str">
        <f aca="false">IF(AND(ISNUMBER(B1992),ISNUMBER(I1992)),B1992-I1992+1,"")</f>
        <v/>
      </c>
      <c r="N1992" s="14" t="str">
        <f aca="false">IF(B1992="","",IF(M1992="","시작일 미입력",IF(M1992&lt;1,"시작일 이전(확인)",IF(M1992=1,"1일째",IF(M1992=2,"2일째",IF(M1992=3,"3일째",IF(M1992&lt;=7,"일주일 이내",IF(M1992&lt;=14,"이주일 이내","15일 이후"))))))))</f>
        <v/>
      </c>
      <c r="O1992" s="0" t="str">
        <f aca="false">IF(AND(COUNTA($A1992:$J1992)&gt;0,OR(클레임조회!$C$4="",AND(ISNUMBER($B1992),$B1992&gt;=클레임조회!$C$4)),OR(클레임조회!$C$5="",AND(ISNUMBER($B1992),$B1992&lt;=클레임조회!$C$5)),OR(클레임조회!$C$6="",$C1992=클레임조회!$C$6),OR(클레임조회!$C$7="",$D1992=클레임조회!$C$7),OR(클레임조회!$C$8="",$E1992=클레임조회!$C$8),OR(클레임조회!$C$9="",$F1992=클레임조회!$C$9),OR(클레임조회!$C$10="",ISNUMBER(SEARCH(클레임조회!$C$10,$C1992&amp;" "&amp;$F1992&amp;" "&amp;$G1992&amp;" "&amp;$H1992)))),COUNT(O$1:O1991)+1,"")</f>
        <v/>
      </c>
      <c r="P1992" s="0" t="str">
        <f aca="false">IF(AND(TRIM(C1992)&lt;&gt;"",COUNTIF(C$2:C1992,C1992)=1),MAX(P$1:P1991)+1,"")</f>
        <v/>
      </c>
      <c r="Q1992" s="0" t="str">
        <f aca="false">IF(AND(TRIM(F1992)&lt;&gt;"",COUNTIF(F$2:F1992,F1992)=1),MAX(Q$1:Q1991)+1,"")</f>
        <v/>
      </c>
    </row>
    <row r="1993" customFormat="false" ht="15" hidden="false" customHeight="false" outlineLevel="0" collapsed="false">
      <c r="A1993" s="9"/>
      <c r="B1993" s="10"/>
      <c r="C1993" s="11"/>
      <c r="D1993" s="11"/>
      <c r="E1993" s="11"/>
      <c r="F1993" s="11"/>
      <c r="G1993" s="12"/>
      <c r="H1993" s="12"/>
      <c r="I1993" s="10"/>
      <c r="J1993" s="12"/>
      <c r="K1993" s="13" t="str">
        <f aca="false">IF(ISNUMBER(B1993),YEAR(B1993),"")</f>
        <v/>
      </c>
      <c r="L1993" s="13" t="str">
        <f aca="false">IF(ISNUMBER(B1993),MONTH(B1993),"")</f>
        <v/>
      </c>
      <c r="M1993" s="13" t="str">
        <f aca="false">IF(AND(ISNUMBER(B1993),ISNUMBER(I1993)),B1993-I1993+1,"")</f>
        <v/>
      </c>
      <c r="N1993" s="14" t="str">
        <f aca="false">IF(B1993="","",IF(M1993="","시작일 미입력",IF(M1993&lt;1,"시작일 이전(확인)",IF(M1993=1,"1일째",IF(M1993=2,"2일째",IF(M1993=3,"3일째",IF(M1993&lt;=7,"일주일 이내",IF(M1993&lt;=14,"이주일 이내","15일 이후"))))))))</f>
        <v/>
      </c>
      <c r="O1993" s="0" t="str">
        <f aca="false">IF(AND(COUNTA($A1993:$J1993)&gt;0,OR(클레임조회!$C$4="",AND(ISNUMBER($B1993),$B1993&gt;=클레임조회!$C$4)),OR(클레임조회!$C$5="",AND(ISNUMBER($B1993),$B1993&lt;=클레임조회!$C$5)),OR(클레임조회!$C$6="",$C1993=클레임조회!$C$6),OR(클레임조회!$C$7="",$D1993=클레임조회!$C$7),OR(클레임조회!$C$8="",$E1993=클레임조회!$C$8),OR(클레임조회!$C$9="",$F1993=클레임조회!$C$9),OR(클레임조회!$C$10="",ISNUMBER(SEARCH(클레임조회!$C$10,$C1993&amp;" "&amp;$F1993&amp;" "&amp;$G1993&amp;" "&amp;$H1993)))),COUNT(O$1:O1992)+1,"")</f>
        <v/>
      </c>
      <c r="P1993" s="0" t="str">
        <f aca="false">IF(AND(TRIM(C1993)&lt;&gt;"",COUNTIF(C$2:C1993,C1993)=1),MAX(P$1:P1992)+1,"")</f>
        <v/>
      </c>
      <c r="Q1993" s="0" t="str">
        <f aca="false">IF(AND(TRIM(F1993)&lt;&gt;"",COUNTIF(F$2:F1993,F1993)=1),MAX(Q$1:Q1992)+1,"")</f>
        <v/>
      </c>
    </row>
    <row r="1994" customFormat="false" ht="15" hidden="false" customHeight="false" outlineLevel="0" collapsed="false">
      <c r="A1994" s="9"/>
      <c r="B1994" s="10"/>
      <c r="C1994" s="11"/>
      <c r="D1994" s="11"/>
      <c r="E1994" s="11"/>
      <c r="F1994" s="11"/>
      <c r="G1994" s="12"/>
      <c r="H1994" s="12"/>
      <c r="I1994" s="10"/>
      <c r="J1994" s="12"/>
      <c r="K1994" s="13" t="str">
        <f aca="false">IF(ISNUMBER(B1994),YEAR(B1994),"")</f>
        <v/>
      </c>
      <c r="L1994" s="13" t="str">
        <f aca="false">IF(ISNUMBER(B1994),MONTH(B1994),"")</f>
        <v/>
      </c>
      <c r="M1994" s="13" t="str">
        <f aca="false">IF(AND(ISNUMBER(B1994),ISNUMBER(I1994)),B1994-I1994+1,"")</f>
        <v/>
      </c>
      <c r="N1994" s="14" t="str">
        <f aca="false">IF(B1994="","",IF(M1994="","시작일 미입력",IF(M1994&lt;1,"시작일 이전(확인)",IF(M1994=1,"1일째",IF(M1994=2,"2일째",IF(M1994=3,"3일째",IF(M1994&lt;=7,"일주일 이내",IF(M1994&lt;=14,"이주일 이내","15일 이후"))))))))</f>
        <v/>
      </c>
      <c r="O1994" s="0" t="str">
        <f aca="false">IF(AND(COUNTA($A1994:$J1994)&gt;0,OR(클레임조회!$C$4="",AND(ISNUMBER($B1994),$B1994&gt;=클레임조회!$C$4)),OR(클레임조회!$C$5="",AND(ISNUMBER($B1994),$B1994&lt;=클레임조회!$C$5)),OR(클레임조회!$C$6="",$C1994=클레임조회!$C$6),OR(클레임조회!$C$7="",$D1994=클레임조회!$C$7),OR(클레임조회!$C$8="",$E1994=클레임조회!$C$8),OR(클레임조회!$C$9="",$F1994=클레임조회!$C$9),OR(클레임조회!$C$10="",ISNUMBER(SEARCH(클레임조회!$C$10,$C1994&amp;" "&amp;$F1994&amp;" "&amp;$G1994&amp;" "&amp;$H1994)))),COUNT(O$1:O1993)+1,"")</f>
        <v/>
      </c>
      <c r="P1994" s="0" t="str">
        <f aca="false">IF(AND(TRIM(C1994)&lt;&gt;"",COUNTIF(C$2:C1994,C1994)=1),MAX(P$1:P1993)+1,"")</f>
        <v/>
      </c>
      <c r="Q1994" s="0" t="str">
        <f aca="false">IF(AND(TRIM(F1994)&lt;&gt;"",COUNTIF(F$2:F1994,F1994)=1),MAX(Q$1:Q1993)+1,"")</f>
        <v/>
      </c>
    </row>
    <row r="1995" customFormat="false" ht="15" hidden="false" customHeight="false" outlineLevel="0" collapsed="false">
      <c r="A1995" s="9"/>
      <c r="B1995" s="10"/>
      <c r="C1995" s="11"/>
      <c r="D1995" s="11"/>
      <c r="E1995" s="11"/>
      <c r="F1995" s="11"/>
      <c r="G1995" s="12"/>
      <c r="H1995" s="12"/>
      <c r="I1995" s="10"/>
      <c r="J1995" s="12"/>
      <c r="K1995" s="13" t="str">
        <f aca="false">IF(ISNUMBER(B1995),YEAR(B1995),"")</f>
        <v/>
      </c>
      <c r="L1995" s="13" t="str">
        <f aca="false">IF(ISNUMBER(B1995),MONTH(B1995),"")</f>
        <v/>
      </c>
      <c r="M1995" s="13" t="str">
        <f aca="false">IF(AND(ISNUMBER(B1995),ISNUMBER(I1995)),B1995-I1995+1,"")</f>
        <v/>
      </c>
      <c r="N1995" s="14" t="str">
        <f aca="false">IF(B1995="","",IF(M1995="","시작일 미입력",IF(M1995&lt;1,"시작일 이전(확인)",IF(M1995=1,"1일째",IF(M1995=2,"2일째",IF(M1995=3,"3일째",IF(M1995&lt;=7,"일주일 이내",IF(M1995&lt;=14,"이주일 이내","15일 이후"))))))))</f>
        <v/>
      </c>
      <c r="O1995" s="0" t="str">
        <f aca="false">IF(AND(COUNTA($A1995:$J1995)&gt;0,OR(클레임조회!$C$4="",AND(ISNUMBER($B1995),$B1995&gt;=클레임조회!$C$4)),OR(클레임조회!$C$5="",AND(ISNUMBER($B1995),$B1995&lt;=클레임조회!$C$5)),OR(클레임조회!$C$6="",$C1995=클레임조회!$C$6),OR(클레임조회!$C$7="",$D1995=클레임조회!$C$7),OR(클레임조회!$C$8="",$E1995=클레임조회!$C$8),OR(클레임조회!$C$9="",$F1995=클레임조회!$C$9),OR(클레임조회!$C$10="",ISNUMBER(SEARCH(클레임조회!$C$10,$C1995&amp;" "&amp;$F1995&amp;" "&amp;$G1995&amp;" "&amp;$H1995)))),COUNT(O$1:O1994)+1,"")</f>
        <v/>
      </c>
      <c r="P1995" s="0" t="str">
        <f aca="false">IF(AND(TRIM(C1995)&lt;&gt;"",COUNTIF(C$2:C1995,C1995)=1),MAX(P$1:P1994)+1,"")</f>
        <v/>
      </c>
      <c r="Q1995" s="0" t="str">
        <f aca="false">IF(AND(TRIM(F1995)&lt;&gt;"",COUNTIF(F$2:F1995,F1995)=1),MAX(Q$1:Q1994)+1,"")</f>
        <v/>
      </c>
    </row>
    <row r="1996" customFormat="false" ht="15" hidden="false" customHeight="false" outlineLevel="0" collapsed="false">
      <c r="A1996" s="9"/>
      <c r="B1996" s="10"/>
      <c r="C1996" s="11"/>
      <c r="D1996" s="11"/>
      <c r="E1996" s="11"/>
      <c r="F1996" s="11"/>
      <c r="G1996" s="12"/>
      <c r="H1996" s="12"/>
      <c r="I1996" s="10"/>
      <c r="J1996" s="12"/>
      <c r="K1996" s="13" t="str">
        <f aca="false">IF(ISNUMBER(B1996),YEAR(B1996),"")</f>
        <v/>
      </c>
      <c r="L1996" s="13" t="str">
        <f aca="false">IF(ISNUMBER(B1996),MONTH(B1996),"")</f>
        <v/>
      </c>
      <c r="M1996" s="13" t="str">
        <f aca="false">IF(AND(ISNUMBER(B1996),ISNUMBER(I1996)),B1996-I1996+1,"")</f>
        <v/>
      </c>
      <c r="N1996" s="14" t="str">
        <f aca="false">IF(B1996="","",IF(M1996="","시작일 미입력",IF(M1996&lt;1,"시작일 이전(확인)",IF(M1996=1,"1일째",IF(M1996=2,"2일째",IF(M1996=3,"3일째",IF(M1996&lt;=7,"일주일 이내",IF(M1996&lt;=14,"이주일 이내","15일 이후"))))))))</f>
        <v/>
      </c>
      <c r="O1996" s="0" t="str">
        <f aca="false">IF(AND(COUNTA($A1996:$J1996)&gt;0,OR(클레임조회!$C$4="",AND(ISNUMBER($B1996),$B1996&gt;=클레임조회!$C$4)),OR(클레임조회!$C$5="",AND(ISNUMBER($B1996),$B1996&lt;=클레임조회!$C$5)),OR(클레임조회!$C$6="",$C1996=클레임조회!$C$6),OR(클레임조회!$C$7="",$D1996=클레임조회!$C$7),OR(클레임조회!$C$8="",$E1996=클레임조회!$C$8),OR(클레임조회!$C$9="",$F1996=클레임조회!$C$9),OR(클레임조회!$C$10="",ISNUMBER(SEARCH(클레임조회!$C$10,$C1996&amp;" "&amp;$F1996&amp;" "&amp;$G1996&amp;" "&amp;$H1996)))),COUNT(O$1:O1995)+1,"")</f>
        <v/>
      </c>
      <c r="P1996" s="0" t="str">
        <f aca="false">IF(AND(TRIM(C1996)&lt;&gt;"",COUNTIF(C$2:C1996,C1996)=1),MAX(P$1:P1995)+1,"")</f>
        <v/>
      </c>
      <c r="Q1996" s="0" t="str">
        <f aca="false">IF(AND(TRIM(F1996)&lt;&gt;"",COUNTIF(F$2:F1996,F1996)=1),MAX(Q$1:Q1995)+1,"")</f>
        <v/>
      </c>
    </row>
    <row r="1997" customFormat="false" ht="15" hidden="false" customHeight="false" outlineLevel="0" collapsed="false">
      <c r="A1997" s="9"/>
      <c r="B1997" s="10"/>
      <c r="C1997" s="11"/>
      <c r="D1997" s="11"/>
      <c r="E1997" s="11"/>
      <c r="F1997" s="11"/>
      <c r="G1997" s="12"/>
      <c r="H1997" s="12"/>
      <c r="I1997" s="10"/>
      <c r="J1997" s="12"/>
      <c r="K1997" s="13" t="str">
        <f aca="false">IF(ISNUMBER(B1997),YEAR(B1997),"")</f>
        <v/>
      </c>
      <c r="L1997" s="13" t="str">
        <f aca="false">IF(ISNUMBER(B1997),MONTH(B1997),"")</f>
        <v/>
      </c>
      <c r="M1997" s="13" t="str">
        <f aca="false">IF(AND(ISNUMBER(B1997),ISNUMBER(I1997)),B1997-I1997+1,"")</f>
        <v/>
      </c>
      <c r="N1997" s="14" t="str">
        <f aca="false">IF(B1997="","",IF(M1997="","시작일 미입력",IF(M1997&lt;1,"시작일 이전(확인)",IF(M1997=1,"1일째",IF(M1997=2,"2일째",IF(M1997=3,"3일째",IF(M1997&lt;=7,"일주일 이내",IF(M1997&lt;=14,"이주일 이내","15일 이후"))))))))</f>
        <v/>
      </c>
      <c r="O1997" s="0" t="str">
        <f aca="false">IF(AND(COUNTA($A1997:$J1997)&gt;0,OR(클레임조회!$C$4="",AND(ISNUMBER($B1997),$B1997&gt;=클레임조회!$C$4)),OR(클레임조회!$C$5="",AND(ISNUMBER($B1997),$B1997&lt;=클레임조회!$C$5)),OR(클레임조회!$C$6="",$C1997=클레임조회!$C$6),OR(클레임조회!$C$7="",$D1997=클레임조회!$C$7),OR(클레임조회!$C$8="",$E1997=클레임조회!$C$8),OR(클레임조회!$C$9="",$F1997=클레임조회!$C$9),OR(클레임조회!$C$10="",ISNUMBER(SEARCH(클레임조회!$C$10,$C1997&amp;" "&amp;$F1997&amp;" "&amp;$G1997&amp;" "&amp;$H1997)))),COUNT(O$1:O1996)+1,"")</f>
        <v/>
      </c>
      <c r="P1997" s="0" t="str">
        <f aca="false">IF(AND(TRIM(C1997)&lt;&gt;"",COUNTIF(C$2:C1997,C1997)=1),MAX(P$1:P1996)+1,"")</f>
        <v/>
      </c>
      <c r="Q1997" s="0" t="str">
        <f aca="false">IF(AND(TRIM(F1997)&lt;&gt;"",COUNTIF(F$2:F1997,F1997)=1),MAX(Q$1:Q1996)+1,"")</f>
        <v/>
      </c>
    </row>
    <row r="1998" customFormat="false" ht="15" hidden="false" customHeight="false" outlineLevel="0" collapsed="false">
      <c r="A1998" s="9"/>
      <c r="B1998" s="10"/>
      <c r="C1998" s="11"/>
      <c r="D1998" s="11"/>
      <c r="E1998" s="11"/>
      <c r="F1998" s="11"/>
      <c r="G1998" s="12"/>
      <c r="H1998" s="12"/>
      <c r="I1998" s="10"/>
      <c r="J1998" s="12"/>
      <c r="K1998" s="13" t="str">
        <f aca="false">IF(ISNUMBER(B1998),YEAR(B1998),"")</f>
        <v/>
      </c>
      <c r="L1998" s="13" t="str">
        <f aca="false">IF(ISNUMBER(B1998),MONTH(B1998),"")</f>
        <v/>
      </c>
      <c r="M1998" s="13" t="str">
        <f aca="false">IF(AND(ISNUMBER(B1998),ISNUMBER(I1998)),B1998-I1998+1,"")</f>
        <v/>
      </c>
      <c r="N1998" s="14" t="str">
        <f aca="false">IF(B1998="","",IF(M1998="","시작일 미입력",IF(M1998&lt;1,"시작일 이전(확인)",IF(M1998=1,"1일째",IF(M1998=2,"2일째",IF(M1998=3,"3일째",IF(M1998&lt;=7,"일주일 이내",IF(M1998&lt;=14,"이주일 이내","15일 이후"))))))))</f>
        <v/>
      </c>
      <c r="O1998" s="0" t="str">
        <f aca="false">IF(AND(COUNTA($A1998:$J1998)&gt;0,OR(클레임조회!$C$4="",AND(ISNUMBER($B1998),$B1998&gt;=클레임조회!$C$4)),OR(클레임조회!$C$5="",AND(ISNUMBER($B1998),$B1998&lt;=클레임조회!$C$5)),OR(클레임조회!$C$6="",$C1998=클레임조회!$C$6),OR(클레임조회!$C$7="",$D1998=클레임조회!$C$7),OR(클레임조회!$C$8="",$E1998=클레임조회!$C$8),OR(클레임조회!$C$9="",$F1998=클레임조회!$C$9),OR(클레임조회!$C$10="",ISNUMBER(SEARCH(클레임조회!$C$10,$C1998&amp;" "&amp;$F1998&amp;" "&amp;$G1998&amp;" "&amp;$H1998)))),COUNT(O$1:O1997)+1,"")</f>
        <v/>
      </c>
      <c r="P1998" s="0" t="str">
        <f aca="false">IF(AND(TRIM(C1998)&lt;&gt;"",COUNTIF(C$2:C1998,C1998)=1),MAX(P$1:P1997)+1,"")</f>
        <v/>
      </c>
      <c r="Q1998" s="0" t="str">
        <f aca="false">IF(AND(TRIM(F1998)&lt;&gt;"",COUNTIF(F$2:F1998,F1998)=1),MAX(Q$1:Q1997)+1,"")</f>
        <v/>
      </c>
    </row>
    <row r="1999" customFormat="false" ht="15" hidden="false" customHeight="false" outlineLevel="0" collapsed="false">
      <c r="A1999" s="9"/>
      <c r="B1999" s="10"/>
      <c r="C1999" s="11"/>
      <c r="D1999" s="11"/>
      <c r="E1999" s="11"/>
      <c r="F1999" s="11"/>
      <c r="G1999" s="12"/>
      <c r="H1999" s="12"/>
      <c r="I1999" s="10"/>
      <c r="J1999" s="12"/>
      <c r="K1999" s="13" t="str">
        <f aca="false">IF(ISNUMBER(B1999),YEAR(B1999),"")</f>
        <v/>
      </c>
      <c r="L1999" s="13" t="str">
        <f aca="false">IF(ISNUMBER(B1999),MONTH(B1999),"")</f>
        <v/>
      </c>
      <c r="M1999" s="13" t="str">
        <f aca="false">IF(AND(ISNUMBER(B1999),ISNUMBER(I1999)),B1999-I1999+1,"")</f>
        <v/>
      </c>
      <c r="N1999" s="14" t="str">
        <f aca="false">IF(B1999="","",IF(M1999="","시작일 미입력",IF(M1999&lt;1,"시작일 이전(확인)",IF(M1999=1,"1일째",IF(M1999=2,"2일째",IF(M1999=3,"3일째",IF(M1999&lt;=7,"일주일 이내",IF(M1999&lt;=14,"이주일 이내","15일 이후"))))))))</f>
        <v/>
      </c>
      <c r="O1999" s="0" t="str">
        <f aca="false">IF(AND(COUNTA($A1999:$J1999)&gt;0,OR(클레임조회!$C$4="",AND(ISNUMBER($B1999),$B1999&gt;=클레임조회!$C$4)),OR(클레임조회!$C$5="",AND(ISNUMBER($B1999),$B1999&lt;=클레임조회!$C$5)),OR(클레임조회!$C$6="",$C1999=클레임조회!$C$6),OR(클레임조회!$C$7="",$D1999=클레임조회!$C$7),OR(클레임조회!$C$8="",$E1999=클레임조회!$C$8),OR(클레임조회!$C$9="",$F1999=클레임조회!$C$9),OR(클레임조회!$C$10="",ISNUMBER(SEARCH(클레임조회!$C$10,$C1999&amp;" "&amp;$F1999&amp;" "&amp;$G1999&amp;" "&amp;$H1999)))),COUNT(O$1:O1998)+1,"")</f>
        <v/>
      </c>
      <c r="P1999" s="0" t="str">
        <f aca="false">IF(AND(TRIM(C1999)&lt;&gt;"",COUNTIF(C$2:C1999,C1999)=1),MAX(P$1:P1998)+1,"")</f>
        <v/>
      </c>
      <c r="Q1999" s="0" t="str">
        <f aca="false">IF(AND(TRIM(F1999)&lt;&gt;"",COUNTIF(F$2:F1999,F1999)=1),MAX(Q$1:Q1998)+1,"")</f>
        <v/>
      </c>
    </row>
    <row r="2000" customFormat="false" ht="15" hidden="false" customHeight="false" outlineLevel="0" collapsed="false">
      <c r="A2000" s="9"/>
      <c r="B2000" s="10"/>
      <c r="C2000" s="11"/>
      <c r="D2000" s="11"/>
      <c r="E2000" s="11"/>
      <c r="F2000" s="11"/>
      <c r="G2000" s="12"/>
      <c r="H2000" s="12"/>
      <c r="I2000" s="10"/>
      <c r="J2000" s="12"/>
      <c r="K2000" s="13" t="str">
        <f aca="false">IF(ISNUMBER(B2000),YEAR(B2000),"")</f>
        <v/>
      </c>
      <c r="L2000" s="13" t="str">
        <f aca="false">IF(ISNUMBER(B2000),MONTH(B2000),"")</f>
        <v/>
      </c>
      <c r="M2000" s="13" t="str">
        <f aca="false">IF(AND(ISNUMBER(B2000),ISNUMBER(I2000)),B2000-I2000+1,"")</f>
        <v/>
      </c>
      <c r="N2000" s="14" t="str">
        <f aca="false">IF(B2000="","",IF(M2000="","시작일 미입력",IF(M2000&lt;1,"시작일 이전(확인)",IF(M2000=1,"1일째",IF(M2000=2,"2일째",IF(M2000=3,"3일째",IF(M2000&lt;=7,"일주일 이내",IF(M2000&lt;=14,"이주일 이내","15일 이후"))))))))</f>
        <v/>
      </c>
      <c r="O2000" s="0" t="str">
        <f aca="false">IF(AND(COUNTA($A2000:$J2000)&gt;0,OR(클레임조회!$C$4="",AND(ISNUMBER($B2000),$B2000&gt;=클레임조회!$C$4)),OR(클레임조회!$C$5="",AND(ISNUMBER($B2000),$B2000&lt;=클레임조회!$C$5)),OR(클레임조회!$C$6="",$C2000=클레임조회!$C$6),OR(클레임조회!$C$7="",$D2000=클레임조회!$C$7),OR(클레임조회!$C$8="",$E2000=클레임조회!$C$8),OR(클레임조회!$C$9="",$F2000=클레임조회!$C$9),OR(클레임조회!$C$10="",ISNUMBER(SEARCH(클레임조회!$C$10,$C2000&amp;" "&amp;$F2000&amp;" "&amp;$G2000&amp;" "&amp;$H2000)))),COUNT(O$1:O1999)+1,"")</f>
        <v/>
      </c>
      <c r="P2000" s="0" t="str">
        <f aca="false">IF(AND(TRIM(C2000)&lt;&gt;"",COUNTIF(C$2:C2000,C2000)=1),MAX(P$1:P1999)+1,"")</f>
        <v/>
      </c>
      <c r="Q2000" s="0" t="str">
        <f aca="false">IF(AND(TRIM(F2000)&lt;&gt;"",COUNTIF(F$2:F2000,F2000)=1),MAX(Q$1:Q1999)+1,"")</f>
        <v/>
      </c>
    </row>
  </sheetData>
  <autoFilter ref="A1:N2000"/>
  <dataValidations count="6">
    <dataValidation allowBlank="true" error="목록에 없는 이름입니다. 그대로 입력하면 자동으로 목록에 추가됩니다." errorStyle="information" errorTitle="새 제공인력" operator="between" showDropDown="false" showErrorMessage="true" showInputMessage="false" sqref="C2:C2000" type="list">
      <formula1>제공인력목록</formula1>
      <formula2>0</formula2>
    </dataValidation>
    <dataValidation allowBlank="true" error="기준정보 시트에 등록된 품목류만 선택할 수 있습니다. 새 품목류는 기준정보에 먼저 추가하세요." errorStyle="stop" errorTitle="품목류 확인" operator="between" showDropDown="false" showErrorMessage="true" showInputMessage="false" sqref="D2:D2000" type="list">
      <formula1>품목류목록</formula1>
      <formula2>0</formula2>
    </dataValidation>
    <dataValidation allowBlank="true" error="기준정보 시트에 등록된 분류만 선택할 수 있습니다. 새 분류는 기준정보에 먼저 추가하세요." errorStyle="stop" errorTitle="클레임분류 확인" operator="between" showDropDown="false" showErrorMessage="true" showInputMessage="false" sqref="E2:E2000" type="list">
      <formula1>분류목록</formula1>
      <formula2>0</formula2>
    </dataValidation>
    <dataValidation allowBlank="true" error="목록에 없는 내용입니다. 그대로 입력하면 자동으로 목록에 추가됩니다." errorStyle="information" errorTitle="새 내용" operator="between" showDropDown="false" showErrorMessage="true" showInputMessage="false" sqref="F2:F2000" type="list">
      <formula1>내용목록</formula1>
      <formula2>0</formula2>
    </dataValidation>
    <dataValidation allowBlank="true" error="기준정보 시트에 등록된 조치만 선택할 수 있습니다." errorStyle="stop" errorTitle="조치 확인" operator="between" showDropDown="false" showErrorMessage="true" showInputMessage="false" sqref="J2:J2000" type="list">
      <formula1>조치목록</formula1>
      <formula2>0</formula2>
    </dataValidation>
    <dataValidation allowBlank="true" error="날짜(예: 2026-03-15)를 입력하세요." errorStyle="stop" errorTitle="날짜 형식" operator="greaterThan" showDropDown="false" showErrorMessage="true" showInputMessage="false" sqref="B2:B2000 I2:I20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13" min="4" style="0" width="11"/>
  </cols>
  <sheetData>
    <row r="2" customFormat="false" ht="33.75" hidden="false" customHeight="true" outlineLevel="0" collapsed="false">
      <c r="B2" s="1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16" t="s">
        <v>61</v>
      </c>
      <c r="C3" s="17" t="n">
        <v>2026</v>
      </c>
      <c r="D3" s="16" t="s">
        <v>62</v>
      </c>
      <c r="E3" s="16" t="n">
        <f aca="false">C3-1</f>
        <v>2025</v>
      </c>
      <c r="F3" s="18" t="s">
        <v>63</v>
      </c>
    </row>
    <row r="5" customFormat="false" ht="15" hidden="false" customHeight="true" outlineLevel="0" collapsed="false">
      <c r="B5" s="19" t="s">
        <v>64</v>
      </c>
      <c r="C5" s="19"/>
      <c r="D5" s="19" t="s">
        <v>65</v>
      </c>
      <c r="E5" s="19"/>
      <c r="F5" s="19" t="s">
        <v>66</v>
      </c>
      <c r="G5" s="19"/>
      <c r="H5" s="19" t="s">
        <v>67</v>
      </c>
      <c r="I5" s="19"/>
      <c r="J5" s="19" t="s">
        <v>68</v>
      </c>
      <c r="K5" s="19"/>
      <c r="L5" s="19" t="s">
        <v>69</v>
      </c>
      <c r="M5" s="19"/>
    </row>
    <row r="6" customFormat="false" ht="33.75" hidden="false" customHeight="true" outlineLevel="0" collapsed="false">
      <c r="B6" s="20" t="n">
        <f aca="false">COUNTIF(데이터_연도,기준연도)</f>
        <v>2</v>
      </c>
      <c r="C6" s="20"/>
      <c r="D6" s="20" t="n">
        <f aca="false">COUNTIF(데이터_연도,비교연도)</f>
        <v>0</v>
      </c>
      <c r="E6" s="20"/>
      <c r="F6" s="21" t="str">
        <f aca="false">IF(D6=0,"-",(B6-D6)/D6)</f>
        <v>-</v>
      </c>
      <c r="G6" s="21"/>
      <c r="H6" s="22" t="str">
        <f aca="false">IF(MAX(D10:D21)=0,"-",INDEX(B10:B21,MATCH(MAX(D10:D21),D10:D21,0)))</f>
        <v>전문성</v>
      </c>
      <c r="I6" s="22"/>
      <c r="J6" s="22" t="str">
        <f aca="false">IF(C42="","-",C42)</f>
        <v>유은영</v>
      </c>
      <c r="K6" s="22"/>
      <c r="L6" s="23" t="n">
        <f aca="false">COUNTIF(자동목록!B4:B203,"&gt;=2")</f>
        <v>0</v>
      </c>
      <c r="M6" s="23"/>
    </row>
    <row r="7" customFormat="false" ht="15" hidden="false" customHeight="false" outlineLevel="0" collapsed="false">
      <c r="B7" s="24" t="str">
        <f aca="false">IF(AND(B6=SUM(D10:D21),B6=C65),"✔ 기준연도 모든 클레임이 분류·품목류에 집계되었습니다.","⚠ 집계 누락: 분류 "&amp;(B6-SUM(D10:D21))&amp;"건 / 품목류 "&amp;(B6-C65)&amp;"건 — 분류·품목류 미입력이거나 기준정보에 없는 항목입니다.")</f>
        <v>✔ 기준연도 모든 클레임이 분류·품목류에 집계되었습니다.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customFormat="false" ht="16.4" hidden="false" customHeight="false" outlineLevel="0" collapsed="false">
      <c r="B8" s="25" t="s">
        <v>70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customFormat="false" ht="15" hidden="false" customHeight="false" outlineLevel="0" collapsed="false">
      <c r="B9" s="7" t="s">
        <v>71</v>
      </c>
      <c r="C9" s="7" t="str">
        <f aca="false">비교연도&amp;"년"</f>
        <v>2025년</v>
      </c>
      <c r="D9" s="7" t="str">
        <f aca="false">기준연도&amp;"년"</f>
        <v>2026년</v>
      </c>
      <c r="E9" s="7" t="s">
        <v>72</v>
      </c>
      <c r="F9" s="7" t="s">
        <v>73</v>
      </c>
    </row>
    <row r="10" customFormat="false" ht="15" hidden="false" customHeight="false" outlineLevel="0" collapsed="false">
      <c r="B10" s="26" t="str">
        <f aca="false">IF(기준정보!B4="","",기준정보!B4)</f>
        <v>전문성</v>
      </c>
      <c r="C10" s="27" t="n">
        <f aca="false">IF($B10="","",COUNTIFS(데이터_분류,$B10,데이터_연도,비교연도))</f>
        <v>0</v>
      </c>
      <c r="D10" s="27" t="n">
        <f aca="false">IF($B10="","",COUNTIFS(데이터_분류,$B10,데이터_연도,기준연도))</f>
        <v>1</v>
      </c>
      <c r="E10" s="28" t="n">
        <f aca="false">IF($B10="","",D10-C10)</f>
        <v>1</v>
      </c>
      <c r="F10" s="29" t="str">
        <f aca="false">IF($B10="","",IF(C10=0,IF(D10=0,"-","신규"),E10/C10))</f>
        <v>신규</v>
      </c>
    </row>
    <row r="11" customFormat="false" ht="15" hidden="false" customHeight="false" outlineLevel="0" collapsed="false">
      <c r="B11" s="26" t="str">
        <f aca="false">IF(기준정보!B5="","",기준정보!B5)</f>
        <v>성실성</v>
      </c>
      <c r="C11" s="27" t="n">
        <f aca="false">IF($B11="","",COUNTIFS(데이터_분류,$B11,데이터_연도,비교연도))</f>
        <v>0</v>
      </c>
      <c r="D11" s="27" t="n">
        <f aca="false">IF($B11="","",COUNTIFS(데이터_분류,$B11,데이터_연도,기준연도))</f>
        <v>1</v>
      </c>
      <c r="E11" s="28" t="n">
        <f aca="false">IF($B11="","",D11-C11)</f>
        <v>1</v>
      </c>
      <c r="F11" s="29" t="str">
        <f aca="false">IF($B11="","",IF(C11=0,IF(D11=0,"-","신규"),E11/C11))</f>
        <v>신규</v>
      </c>
    </row>
    <row r="12" customFormat="false" ht="15" hidden="false" customHeight="false" outlineLevel="0" collapsed="false">
      <c r="B12" s="26" t="str">
        <f aca="false">IF(기준정보!B6="","",기준정보!B6)</f>
        <v>책임감</v>
      </c>
      <c r="C12" s="27" t="n">
        <f aca="false">IF($B12="","",COUNTIFS(데이터_분류,$B12,데이터_연도,비교연도))</f>
        <v>0</v>
      </c>
      <c r="D12" s="27" t="n">
        <f aca="false">IF($B12="","",COUNTIFS(데이터_분류,$B12,데이터_연도,기준연도))</f>
        <v>0</v>
      </c>
      <c r="E12" s="28" t="n">
        <f aca="false">IF($B12="","",D12-C12)</f>
        <v>0</v>
      </c>
      <c r="F12" s="29" t="str">
        <f aca="false">IF($B12="","",IF(C12=0,IF(D12=0,"-","신규"),E12/C12))</f>
        <v>-</v>
      </c>
    </row>
    <row r="13" customFormat="false" ht="15" hidden="false" customHeight="false" outlineLevel="0" collapsed="false">
      <c r="B13" s="26" t="str">
        <f aca="false">IF(기준정보!B7="","",기준정보!B7)</f>
        <v>청결성</v>
      </c>
      <c r="C13" s="27" t="n">
        <f aca="false">IF($B13="","",COUNTIFS(데이터_분류,$B13,데이터_연도,비교연도))</f>
        <v>0</v>
      </c>
      <c r="D13" s="27" t="n">
        <f aca="false">IF($B13="","",COUNTIFS(데이터_분류,$B13,데이터_연도,기준연도))</f>
        <v>0</v>
      </c>
      <c r="E13" s="28" t="n">
        <f aca="false">IF($B13="","",D13-C13)</f>
        <v>0</v>
      </c>
      <c r="F13" s="29" t="str">
        <f aca="false">IF($B13="","",IF(C13=0,IF(D13=0,"-","신규"),E13/C13))</f>
        <v>-</v>
      </c>
    </row>
    <row r="14" customFormat="false" ht="15" hidden="false" customHeight="false" outlineLevel="0" collapsed="false">
      <c r="B14" s="26" t="str">
        <f aca="false">IF(기준정보!B8="","",기준정보!B8)</f>
        <v>배려·존중</v>
      </c>
      <c r="C14" s="27" t="n">
        <f aca="false">IF($B14="","",COUNTIFS(데이터_분류,$B14,데이터_연도,비교연도))</f>
        <v>0</v>
      </c>
      <c r="D14" s="27" t="n">
        <f aca="false">IF($B14="","",COUNTIFS(데이터_분류,$B14,데이터_연도,기준연도))</f>
        <v>0</v>
      </c>
      <c r="E14" s="28" t="n">
        <f aca="false">IF($B14="","",D14-C14)</f>
        <v>0</v>
      </c>
      <c r="F14" s="29" t="str">
        <f aca="false">IF($B14="","",IF(C14=0,IF(D14=0,"-","신규"),E14/C14))</f>
        <v>-</v>
      </c>
    </row>
    <row r="15" customFormat="false" ht="15" hidden="false" customHeight="false" outlineLevel="0" collapsed="false">
      <c r="B15" s="26" t="str">
        <f aca="false">IF(기준정보!B9="","",기준정보!B9)</f>
        <v>기타</v>
      </c>
      <c r="C15" s="27" t="n">
        <f aca="false">IF($B15="","",COUNTIFS(데이터_분류,$B15,데이터_연도,비교연도))</f>
        <v>0</v>
      </c>
      <c r="D15" s="27" t="n">
        <f aca="false">IF($B15="","",COUNTIFS(데이터_분류,$B15,데이터_연도,기준연도))</f>
        <v>0</v>
      </c>
      <c r="E15" s="28" t="n">
        <f aca="false">IF($B15="","",D15-C15)</f>
        <v>0</v>
      </c>
      <c r="F15" s="29" t="str">
        <f aca="false">IF($B15="","",IF(C15=0,IF(D15=0,"-","신규"),E15/C15))</f>
        <v>-</v>
      </c>
    </row>
    <row r="16" customFormat="false" ht="15" hidden="false" customHeight="false" outlineLevel="0" collapsed="false">
      <c r="B16" s="26" t="str">
        <f aca="false">IF(기준정보!B10="","",기준정보!B10)</f>
        <v/>
      </c>
      <c r="C16" s="27" t="str">
        <f aca="false">IF($B16="","",COUNTIFS(데이터_분류,$B16,데이터_연도,비교연도))</f>
        <v/>
      </c>
      <c r="D16" s="27" t="str">
        <f aca="false">IF($B16="","",COUNTIFS(데이터_분류,$B16,데이터_연도,기준연도))</f>
        <v/>
      </c>
      <c r="E16" s="28" t="str">
        <f aca="false">IF($B16="","",D16-C16)</f>
        <v/>
      </c>
      <c r="F16" s="29" t="str">
        <f aca="false">IF($B16="","",IF(C16=0,IF(D16=0,"-","신규"),E16/C16))</f>
        <v/>
      </c>
    </row>
    <row r="17" customFormat="false" ht="15" hidden="false" customHeight="false" outlineLevel="0" collapsed="false">
      <c r="B17" s="26" t="str">
        <f aca="false">IF(기준정보!B11="","",기준정보!B11)</f>
        <v/>
      </c>
      <c r="C17" s="27" t="str">
        <f aca="false">IF($B17="","",COUNTIFS(데이터_분류,$B17,데이터_연도,비교연도))</f>
        <v/>
      </c>
      <c r="D17" s="27" t="str">
        <f aca="false">IF($B17="","",COUNTIFS(데이터_분류,$B17,데이터_연도,기준연도))</f>
        <v/>
      </c>
      <c r="E17" s="28" t="str">
        <f aca="false">IF($B17="","",D17-C17)</f>
        <v/>
      </c>
      <c r="F17" s="29" t="str">
        <f aca="false">IF($B17="","",IF(C17=0,IF(D17=0,"-","신규"),E17/C17))</f>
        <v/>
      </c>
    </row>
    <row r="18" customFormat="false" ht="15" hidden="false" customHeight="false" outlineLevel="0" collapsed="false">
      <c r="B18" s="26" t="str">
        <f aca="false">IF(기준정보!B12="","",기준정보!B12)</f>
        <v/>
      </c>
      <c r="C18" s="27" t="str">
        <f aca="false">IF($B18="","",COUNTIFS(데이터_분류,$B18,데이터_연도,비교연도))</f>
        <v/>
      </c>
      <c r="D18" s="27" t="str">
        <f aca="false">IF($B18="","",COUNTIFS(데이터_분류,$B18,데이터_연도,기준연도))</f>
        <v/>
      </c>
      <c r="E18" s="28" t="str">
        <f aca="false">IF($B18="","",D18-C18)</f>
        <v/>
      </c>
      <c r="F18" s="29" t="str">
        <f aca="false">IF($B18="","",IF(C18=0,IF(D18=0,"-","신규"),E18/C18))</f>
        <v/>
      </c>
    </row>
    <row r="19" customFormat="false" ht="15" hidden="false" customHeight="false" outlineLevel="0" collapsed="false">
      <c r="B19" s="26" t="str">
        <f aca="false">IF(기준정보!B13="","",기준정보!B13)</f>
        <v/>
      </c>
      <c r="C19" s="27" t="str">
        <f aca="false">IF($B19="","",COUNTIFS(데이터_분류,$B19,데이터_연도,비교연도))</f>
        <v/>
      </c>
      <c r="D19" s="27" t="str">
        <f aca="false">IF($B19="","",COUNTIFS(데이터_분류,$B19,데이터_연도,기준연도))</f>
        <v/>
      </c>
      <c r="E19" s="28" t="str">
        <f aca="false">IF($B19="","",D19-C19)</f>
        <v/>
      </c>
      <c r="F19" s="29" t="str">
        <f aca="false">IF($B19="","",IF(C19=0,IF(D19=0,"-","신규"),E19/C19))</f>
        <v/>
      </c>
    </row>
    <row r="20" customFormat="false" ht="15" hidden="false" customHeight="false" outlineLevel="0" collapsed="false">
      <c r="B20" s="26" t="str">
        <f aca="false">IF(기준정보!B14="","",기준정보!B14)</f>
        <v/>
      </c>
      <c r="C20" s="27" t="str">
        <f aca="false">IF($B20="","",COUNTIFS(데이터_분류,$B20,데이터_연도,비교연도))</f>
        <v/>
      </c>
      <c r="D20" s="27" t="str">
        <f aca="false">IF($B20="","",COUNTIFS(데이터_분류,$B20,데이터_연도,기준연도))</f>
        <v/>
      </c>
      <c r="E20" s="28" t="str">
        <f aca="false">IF($B20="","",D20-C20)</f>
        <v/>
      </c>
      <c r="F20" s="29" t="str">
        <f aca="false">IF($B20="","",IF(C20=0,IF(D20=0,"-","신규"),E20/C20))</f>
        <v/>
      </c>
    </row>
    <row r="21" customFormat="false" ht="15" hidden="false" customHeight="false" outlineLevel="0" collapsed="false">
      <c r="B21" s="26" t="str">
        <f aca="false">IF(기준정보!B15="","",기준정보!B15)</f>
        <v/>
      </c>
      <c r="C21" s="27" t="str">
        <f aca="false">IF($B21="","",COUNTIFS(데이터_분류,$B21,데이터_연도,비교연도))</f>
        <v/>
      </c>
      <c r="D21" s="27" t="str">
        <f aca="false">IF($B21="","",COUNTIFS(데이터_분류,$B21,데이터_연도,기준연도))</f>
        <v/>
      </c>
      <c r="E21" s="28" t="str">
        <f aca="false">IF($B21="","",D21-C21)</f>
        <v/>
      </c>
      <c r="F21" s="29" t="str">
        <f aca="false">IF($B21="","",IF(C21=0,IF(D21=0,"-","신규"),E21/C21))</f>
        <v/>
      </c>
    </row>
    <row r="22" customFormat="false" ht="15" hidden="false" customHeight="false" outlineLevel="0" collapsed="false">
      <c r="B22" s="30" t="s">
        <v>74</v>
      </c>
      <c r="C22" s="31" t="n">
        <f aca="false">SUM(C10:C21)</f>
        <v>0</v>
      </c>
      <c r="D22" s="31" t="n">
        <f aca="false">SUM(D10:D21)</f>
        <v>2</v>
      </c>
      <c r="E22" s="32" t="n">
        <f aca="false">D22-C22</f>
        <v>2</v>
      </c>
      <c r="F22" s="33" t="str">
        <f aca="false">IF(C22=0,IF(D22=0,"-","신규"),E22/C22)</f>
        <v>신규</v>
      </c>
    </row>
    <row r="24" customFormat="false" ht="16.4" hidden="false" customHeight="false" outlineLevel="0" collapsed="false">
      <c r="B24" s="25" t="s">
        <v>75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customFormat="false" ht="15" hidden="false" customHeight="false" outlineLevel="0" collapsed="false">
      <c r="B25" s="7" t="s">
        <v>44</v>
      </c>
      <c r="C25" s="7" t="str">
        <f aca="false">비교연도&amp;"년"</f>
        <v>2025년</v>
      </c>
      <c r="D25" s="7" t="str">
        <f aca="false">기준연도&amp;"년"</f>
        <v>2026년</v>
      </c>
      <c r="E25" s="7" t="s">
        <v>72</v>
      </c>
    </row>
    <row r="26" customFormat="false" ht="15" hidden="false" customHeight="false" outlineLevel="0" collapsed="false">
      <c r="B26" s="34" t="n">
        <v>1</v>
      </c>
      <c r="C26" s="27" t="n">
        <f aca="false">COUNTIFS(데이터_월,$B26,데이터_연도,비교연도)</f>
        <v>0</v>
      </c>
      <c r="D26" s="27" t="n">
        <f aca="false">COUNTIFS(데이터_월,$B26,데이터_연도,기준연도)</f>
        <v>2</v>
      </c>
      <c r="E26" s="28" t="n">
        <f aca="false">D26-C26</f>
        <v>2</v>
      </c>
    </row>
    <row r="27" customFormat="false" ht="15" hidden="false" customHeight="false" outlineLevel="0" collapsed="false">
      <c r="B27" s="34" t="n">
        <v>2</v>
      </c>
      <c r="C27" s="27" t="n">
        <f aca="false">COUNTIFS(데이터_월,$B27,데이터_연도,비교연도)</f>
        <v>0</v>
      </c>
      <c r="D27" s="27" t="n">
        <f aca="false">COUNTIFS(데이터_월,$B27,데이터_연도,기준연도)</f>
        <v>0</v>
      </c>
      <c r="E27" s="28" t="n">
        <f aca="false">D27-C27</f>
        <v>0</v>
      </c>
    </row>
    <row r="28" customFormat="false" ht="15" hidden="false" customHeight="false" outlineLevel="0" collapsed="false">
      <c r="B28" s="34" t="n">
        <v>3</v>
      </c>
      <c r="C28" s="27" t="n">
        <f aca="false">COUNTIFS(데이터_월,$B28,데이터_연도,비교연도)</f>
        <v>0</v>
      </c>
      <c r="D28" s="27" t="n">
        <f aca="false">COUNTIFS(데이터_월,$B28,데이터_연도,기준연도)</f>
        <v>0</v>
      </c>
      <c r="E28" s="28" t="n">
        <f aca="false">D28-C28</f>
        <v>0</v>
      </c>
    </row>
    <row r="29" customFormat="false" ht="15" hidden="false" customHeight="false" outlineLevel="0" collapsed="false">
      <c r="B29" s="34" t="n">
        <v>4</v>
      </c>
      <c r="C29" s="27" t="n">
        <f aca="false">COUNTIFS(데이터_월,$B29,데이터_연도,비교연도)</f>
        <v>0</v>
      </c>
      <c r="D29" s="27" t="n">
        <f aca="false">COUNTIFS(데이터_월,$B29,데이터_연도,기준연도)</f>
        <v>0</v>
      </c>
      <c r="E29" s="28" t="n">
        <f aca="false">D29-C29</f>
        <v>0</v>
      </c>
    </row>
    <row r="30" customFormat="false" ht="15" hidden="false" customHeight="false" outlineLevel="0" collapsed="false">
      <c r="B30" s="34" t="n">
        <v>5</v>
      </c>
      <c r="C30" s="27" t="n">
        <f aca="false">COUNTIFS(데이터_월,$B30,데이터_연도,비교연도)</f>
        <v>0</v>
      </c>
      <c r="D30" s="27" t="n">
        <f aca="false">COUNTIFS(데이터_월,$B30,데이터_연도,기준연도)</f>
        <v>0</v>
      </c>
      <c r="E30" s="28" t="n">
        <f aca="false">D30-C30</f>
        <v>0</v>
      </c>
    </row>
    <row r="31" customFormat="false" ht="15" hidden="false" customHeight="false" outlineLevel="0" collapsed="false">
      <c r="B31" s="34" t="n">
        <v>6</v>
      </c>
      <c r="C31" s="27" t="n">
        <f aca="false">COUNTIFS(데이터_월,$B31,데이터_연도,비교연도)</f>
        <v>0</v>
      </c>
      <c r="D31" s="27" t="n">
        <f aca="false">COUNTIFS(데이터_월,$B31,데이터_연도,기준연도)</f>
        <v>0</v>
      </c>
      <c r="E31" s="28" t="n">
        <f aca="false">D31-C31</f>
        <v>0</v>
      </c>
    </row>
    <row r="32" customFormat="false" ht="15" hidden="false" customHeight="false" outlineLevel="0" collapsed="false">
      <c r="B32" s="34" t="n">
        <v>7</v>
      </c>
      <c r="C32" s="27" t="n">
        <f aca="false">COUNTIFS(데이터_월,$B32,데이터_연도,비교연도)</f>
        <v>0</v>
      </c>
      <c r="D32" s="27" t="n">
        <f aca="false">COUNTIFS(데이터_월,$B32,데이터_연도,기준연도)</f>
        <v>0</v>
      </c>
      <c r="E32" s="28" t="n">
        <f aca="false">D32-C32</f>
        <v>0</v>
      </c>
    </row>
    <row r="33" customFormat="false" ht="15" hidden="false" customHeight="false" outlineLevel="0" collapsed="false">
      <c r="B33" s="34" t="n">
        <v>8</v>
      </c>
      <c r="C33" s="27" t="n">
        <f aca="false">COUNTIFS(데이터_월,$B33,데이터_연도,비교연도)</f>
        <v>0</v>
      </c>
      <c r="D33" s="27" t="n">
        <f aca="false">COUNTIFS(데이터_월,$B33,데이터_연도,기준연도)</f>
        <v>0</v>
      </c>
      <c r="E33" s="28" t="n">
        <f aca="false">D33-C33</f>
        <v>0</v>
      </c>
    </row>
    <row r="34" customFormat="false" ht="15" hidden="false" customHeight="false" outlineLevel="0" collapsed="false">
      <c r="B34" s="34" t="n">
        <v>9</v>
      </c>
      <c r="C34" s="27" t="n">
        <f aca="false">COUNTIFS(데이터_월,$B34,데이터_연도,비교연도)</f>
        <v>0</v>
      </c>
      <c r="D34" s="27" t="n">
        <f aca="false">COUNTIFS(데이터_월,$B34,데이터_연도,기준연도)</f>
        <v>0</v>
      </c>
      <c r="E34" s="28" t="n">
        <f aca="false">D34-C34</f>
        <v>0</v>
      </c>
    </row>
    <row r="35" customFormat="false" ht="15" hidden="false" customHeight="false" outlineLevel="0" collapsed="false">
      <c r="B35" s="34" t="n">
        <v>10</v>
      </c>
      <c r="C35" s="27" t="n">
        <f aca="false">COUNTIFS(데이터_월,$B35,데이터_연도,비교연도)</f>
        <v>0</v>
      </c>
      <c r="D35" s="27" t="n">
        <f aca="false">COUNTIFS(데이터_월,$B35,데이터_연도,기준연도)</f>
        <v>0</v>
      </c>
      <c r="E35" s="28" t="n">
        <f aca="false">D35-C35</f>
        <v>0</v>
      </c>
    </row>
    <row r="36" customFormat="false" ht="15" hidden="false" customHeight="false" outlineLevel="0" collapsed="false">
      <c r="B36" s="34" t="n">
        <v>11</v>
      </c>
      <c r="C36" s="27" t="n">
        <f aca="false">COUNTIFS(데이터_월,$B36,데이터_연도,비교연도)</f>
        <v>0</v>
      </c>
      <c r="D36" s="27" t="n">
        <f aca="false">COUNTIFS(데이터_월,$B36,데이터_연도,기준연도)</f>
        <v>0</v>
      </c>
      <c r="E36" s="28" t="n">
        <f aca="false">D36-C36</f>
        <v>0</v>
      </c>
    </row>
    <row r="37" customFormat="false" ht="15" hidden="false" customHeight="false" outlineLevel="0" collapsed="false">
      <c r="B37" s="34" t="n">
        <v>12</v>
      </c>
      <c r="C37" s="27" t="n">
        <f aca="false">COUNTIFS(데이터_월,$B37,데이터_연도,비교연도)</f>
        <v>0</v>
      </c>
      <c r="D37" s="27" t="n">
        <f aca="false">COUNTIFS(데이터_월,$B37,데이터_연도,기준연도)</f>
        <v>0</v>
      </c>
      <c r="E37" s="28" t="n">
        <f aca="false">D37-C37</f>
        <v>0</v>
      </c>
    </row>
    <row r="38" customFormat="false" ht="15" hidden="false" customHeight="false" outlineLevel="0" collapsed="false">
      <c r="B38" s="30" t="s">
        <v>74</v>
      </c>
      <c r="C38" s="31" t="n">
        <f aca="false">SUM(C26:C37)</f>
        <v>0</v>
      </c>
      <c r="D38" s="31" t="n">
        <f aca="false">SUM(D26:D37)</f>
        <v>2</v>
      </c>
      <c r="E38" s="32" t="n">
        <f aca="false">D38-C38</f>
        <v>2</v>
      </c>
    </row>
    <row r="40" customFormat="false" ht="16.4" hidden="false" customHeight="false" outlineLevel="0" collapsed="false">
      <c r="B40" s="25" t="s">
        <v>76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customFormat="false" ht="15" hidden="false" customHeight="false" outlineLevel="0" collapsed="false">
      <c r="B41" s="7" t="s">
        <v>77</v>
      </c>
      <c r="C41" s="7" t="s">
        <v>35</v>
      </c>
      <c r="D41" s="7" t="str">
        <f aca="false">IF(기준정보!A4="","",기준정보!A4)</f>
        <v>산모신생아</v>
      </c>
      <c r="E41" s="7" t="str">
        <f aca="false">IF(기준정보!A5="","",기준정보!A5)</f>
        <v>영유아</v>
      </c>
      <c r="F41" s="7" t="str">
        <f aca="false">IF(기준정보!A6="","",기준정보!A6)</f>
        <v>가사서비스</v>
      </c>
      <c r="G41" s="7" t="str">
        <f aca="false">IF(기준정보!A7="","",기준정보!A7)</f>
        <v>정리수납</v>
      </c>
      <c r="H41" s="7" t="str">
        <f aca="false">IF(기준정보!A8="","",기준정보!A8)</f>
        <v>이유식전문가</v>
      </c>
      <c r="I41" s="7" t="str">
        <f aca="false">IF(기준정보!A9="","",기준정보!A9)</f>
        <v/>
      </c>
      <c r="J41" s="7" t="str">
        <f aca="false">IF(기준정보!A10="","",기준정보!A10)</f>
        <v/>
      </c>
      <c r="K41" s="7" t="str">
        <f aca="false">IF(기준정보!A11="","",기준정보!A11)</f>
        <v/>
      </c>
      <c r="L41" s="7" t="s">
        <v>74</v>
      </c>
      <c r="M41" s="7" t="s">
        <v>78</v>
      </c>
    </row>
    <row r="42" customFormat="false" ht="15" hidden="false" customHeight="false" outlineLevel="0" collapsed="false">
      <c r="B42" s="35" t="n">
        <v>1</v>
      </c>
      <c r="C42" s="26" t="str">
        <f aca="false">IF(ISNUMBER(LARGE(자동목록!$C$4:$C$203,1)),IF(LARGE(자동목록!$C$4:$C$203,1)&gt;0,INDEX(자동목록!$A$4:$A$203,MATCH(LARGE(자동목록!$C$4:$C$203,1),자동목록!$C$4:$C$203,0)),""),"")</f>
        <v>유은영</v>
      </c>
      <c r="D42" s="27" t="n">
        <f aca="false">IF(OR($C42="",D$41=""),"",COUNTIFS(데이터_제공인력,$C42,데이터_품목류,D$41,데이터_연도,기준연도))</f>
        <v>1</v>
      </c>
      <c r="E42" s="27" t="n">
        <f aca="false">IF(OR($C42="",E$41=""),"",COUNTIFS(데이터_제공인력,$C42,데이터_품목류,E$41,데이터_연도,기준연도))</f>
        <v>0</v>
      </c>
      <c r="F42" s="27" t="n">
        <f aca="false">IF(OR($C42="",F$41=""),"",COUNTIFS(데이터_제공인력,$C42,데이터_품목류,F$41,데이터_연도,기준연도))</f>
        <v>0</v>
      </c>
      <c r="G42" s="27" t="n">
        <f aca="false">IF(OR($C42="",G$41=""),"",COUNTIFS(데이터_제공인력,$C42,데이터_품목류,G$41,데이터_연도,기준연도))</f>
        <v>0</v>
      </c>
      <c r="H42" s="27" t="n">
        <f aca="false">IF(OR($C42="",H$41=""),"",COUNTIFS(데이터_제공인력,$C42,데이터_품목류,H$41,데이터_연도,기준연도))</f>
        <v>0</v>
      </c>
      <c r="I42" s="27" t="str">
        <f aca="false">IF(OR($C42="",I$41=""),"",COUNTIFS(데이터_제공인력,$C42,데이터_품목류,I$41,데이터_연도,기준연도))</f>
        <v/>
      </c>
      <c r="J42" s="27" t="str">
        <f aca="false">IF(OR($C42="",J$41=""),"",COUNTIFS(데이터_제공인력,$C42,데이터_품목류,J$41,데이터_연도,기준연도))</f>
        <v/>
      </c>
      <c r="K42" s="27" t="str">
        <f aca="false">IF(OR($C42="",K$41=""),"",COUNTIFS(데이터_제공인력,$C42,데이터_품목류,K$41,데이터_연도,기준연도))</f>
        <v/>
      </c>
      <c r="L42" s="36" t="n">
        <f aca="false">IF($C42="","",COUNTIFS(데이터_제공인력,$C42,데이터_연도,기준연도))</f>
        <v>1</v>
      </c>
      <c r="M42" s="37" t="n">
        <f aca="false">IF($C42="","",IF($B$6=0,0,L42/$B$6))</f>
        <v>0.5</v>
      </c>
    </row>
    <row r="43" customFormat="false" ht="15" hidden="false" customHeight="false" outlineLevel="0" collapsed="false">
      <c r="B43" s="35" t="n">
        <v>2</v>
      </c>
      <c r="C43" s="26" t="str">
        <f aca="false">IF(ISNUMBER(LARGE(자동목록!$C$4:$C$203,2)),IF(LARGE(자동목록!$C$4:$C$203,2)&gt;0,INDEX(자동목록!$A$4:$A$203,MATCH(LARGE(자동목록!$C$4:$C$203,2),자동목록!$C$4:$C$203,0)),""),"")</f>
        <v/>
      </c>
      <c r="D43" s="27" t="str">
        <f aca="false">IF(OR($C43="",D$41=""),"",COUNTIFS(데이터_제공인력,$C43,데이터_품목류,D$41,데이터_연도,기준연도))</f>
        <v/>
      </c>
      <c r="E43" s="27" t="str">
        <f aca="false">IF(OR($C43="",E$41=""),"",COUNTIFS(데이터_제공인력,$C43,데이터_품목류,E$41,데이터_연도,기준연도))</f>
        <v/>
      </c>
      <c r="F43" s="27" t="str">
        <f aca="false">IF(OR($C43="",F$41=""),"",COUNTIFS(데이터_제공인력,$C43,데이터_품목류,F$41,데이터_연도,기준연도))</f>
        <v/>
      </c>
      <c r="G43" s="27" t="str">
        <f aca="false">IF(OR($C43="",G$41=""),"",COUNTIFS(데이터_제공인력,$C43,데이터_품목류,G$41,데이터_연도,기준연도))</f>
        <v/>
      </c>
      <c r="H43" s="27" t="str">
        <f aca="false">IF(OR($C43="",H$41=""),"",COUNTIFS(데이터_제공인력,$C43,데이터_품목류,H$41,데이터_연도,기준연도))</f>
        <v/>
      </c>
      <c r="I43" s="27" t="str">
        <f aca="false">IF(OR($C43="",I$41=""),"",COUNTIFS(데이터_제공인력,$C43,데이터_품목류,I$41,데이터_연도,기준연도))</f>
        <v/>
      </c>
      <c r="J43" s="27" t="str">
        <f aca="false">IF(OR($C43="",J$41=""),"",COUNTIFS(데이터_제공인력,$C43,데이터_품목류,J$41,데이터_연도,기준연도))</f>
        <v/>
      </c>
      <c r="K43" s="27" t="str">
        <f aca="false">IF(OR($C43="",K$41=""),"",COUNTIFS(데이터_제공인력,$C43,데이터_품목류,K$41,데이터_연도,기준연도))</f>
        <v/>
      </c>
      <c r="L43" s="36" t="str">
        <f aca="false">IF($C43="","",COUNTIFS(데이터_제공인력,$C43,데이터_연도,기준연도))</f>
        <v/>
      </c>
      <c r="M43" s="37" t="str">
        <f aca="false">IF($C43="","",IF($B$6=0,0,L43/$B$6))</f>
        <v/>
      </c>
    </row>
    <row r="44" customFormat="false" ht="15" hidden="false" customHeight="false" outlineLevel="0" collapsed="false">
      <c r="B44" s="35" t="n">
        <v>3</v>
      </c>
      <c r="C44" s="26" t="str">
        <f aca="false">IF(ISNUMBER(LARGE(자동목록!$C$4:$C$203,3)),IF(LARGE(자동목록!$C$4:$C$203,3)&gt;0,INDEX(자동목록!$A$4:$A$203,MATCH(LARGE(자동목록!$C$4:$C$203,3),자동목록!$C$4:$C$203,0)),""),"")</f>
        <v/>
      </c>
      <c r="D44" s="27" t="str">
        <f aca="false">IF(OR($C44="",D$41=""),"",COUNTIFS(데이터_제공인력,$C44,데이터_품목류,D$41,데이터_연도,기준연도))</f>
        <v/>
      </c>
      <c r="E44" s="27" t="str">
        <f aca="false">IF(OR($C44="",E$41=""),"",COUNTIFS(데이터_제공인력,$C44,데이터_품목류,E$41,데이터_연도,기준연도))</f>
        <v/>
      </c>
      <c r="F44" s="27" t="str">
        <f aca="false">IF(OR($C44="",F$41=""),"",COUNTIFS(데이터_제공인력,$C44,데이터_품목류,F$41,데이터_연도,기준연도))</f>
        <v/>
      </c>
      <c r="G44" s="27" t="str">
        <f aca="false">IF(OR($C44="",G$41=""),"",COUNTIFS(데이터_제공인력,$C44,데이터_품목류,G$41,데이터_연도,기준연도))</f>
        <v/>
      </c>
      <c r="H44" s="27" t="str">
        <f aca="false">IF(OR($C44="",H$41=""),"",COUNTIFS(데이터_제공인력,$C44,데이터_품목류,H$41,데이터_연도,기준연도))</f>
        <v/>
      </c>
      <c r="I44" s="27" t="str">
        <f aca="false">IF(OR($C44="",I$41=""),"",COUNTIFS(데이터_제공인력,$C44,데이터_품목류,I$41,데이터_연도,기준연도))</f>
        <v/>
      </c>
      <c r="J44" s="27" t="str">
        <f aca="false">IF(OR($C44="",J$41=""),"",COUNTIFS(데이터_제공인력,$C44,데이터_품목류,J$41,데이터_연도,기준연도))</f>
        <v/>
      </c>
      <c r="K44" s="27" t="str">
        <f aca="false">IF(OR($C44="",K$41=""),"",COUNTIFS(데이터_제공인력,$C44,데이터_품목류,K$41,데이터_연도,기준연도))</f>
        <v/>
      </c>
      <c r="L44" s="36" t="str">
        <f aca="false">IF($C44="","",COUNTIFS(데이터_제공인력,$C44,데이터_연도,기준연도))</f>
        <v/>
      </c>
      <c r="M44" s="37" t="str">
        <f aca="false">IF($C44="","",IF($B$6=0,0,L44/$B$6))</f>
        <v/>
      </c>
    </row>
    <row r="45" customFormat="false" ht="15" hidden="false" customHeight="false" outlineLevel="0" collapsed="false">
      <c r="B45" s="35" t="n">
        <v>4</v>
      </c>
      <c r="C45" s="26" t="str">
        <f aca="false">IF(ISNUMBER(LARGE(자동목록!$C$4:$C$203,4)),IF(LARGE(자동목록!$C$4:$C$203,4)&gt;0,INDEX(자동목록!$A$4:$A$203,MATCH(LARGE(자동목록!$C$4:$C$203,4),자동목록!$C$4:$C$203,0)),""),"")</f>
        <v/>
      </c>
      <c r="D45" s="27" t="str">
        <f aca="false">IF(OR($C45="",D$41=""),"",COUNTIFS(데이터_제공인력,$C45,데이터_품목류,D$41,데이터_연도,기준연도))</f>
        <v/>
      </c>
      <c r="E45" s="27" t="str">
        <f aca="false">IF(OR($C45="",E$41=""),"",COUNTIFS(데이터_제공인력,$C45,데이터_품목류,E$41,데이터_연도,기준연도))</f>
        <v/>
      </c>
      <c r="F45" s="27" t="str">
        <f aca="false">IF(OR($C45="",F$41=""),"",COUNTIFS(데이터_제공인력,$C45,데이터_품목류,F$41,데이터_연도,기준연도))</f>
        <v/>
      </c>
      <c r="G45" s="27" t="str">
        <f aca="false">IF(OR($C45="",G$41=""),"",COUNTIFS(데이터_제공인력,$C45,데이터_품목류,G$41,데이터_연도,기준연도))</f>
        <v/>
      </c>
      <c r="H45" s="27" t="str">
        <f aca="false">IF(OR($C45="",H$41=""),"",COUNTIFS(데이터_제공인력,$C45,데이터_품목류,H$41,데이터_연도,기준연도))</f>
        <v/>
      </c>
      <c r="I45" s="27" t="str">
        <f aca="false">IF(OR($C45="",I$41=""),"",COUNTIFS(데이터_제공인력,$C45,데이터_품목류,I$41,데이터_연도,기준연도))</f>
        <v/>
      </c>
      <c r="J45" s="27" t="str">
        <f aca="false">IF(OR($C45="",J$41=""),"",COUNTIFS(데이터_제공인력,$C45,데이터_품목류,J$41,데이터_연도,기준연도))</f>
        <v/>
      </c>
      <c r="K45" s="27" t="str">
        <f aca="false">IF(OR($C45="",K$41=""),"",COUNTIFS(데이터_제공인력,$C45,데이터_품목류,K$41,데이터_연도,기준연도))</f>
        <v/>
      </c>
      <c r="L45" s="36" t="str">
        <f aca="false">IF($C45="","",COUNTIFS(데이터_제공인력,$C45,데이터_연도,기준연도))</f>
        <v/>
      </c>
      <c r="M45" s="37" t="str">
        <f aca="false">IF($C45="","",IF($B$6=0,0,L45/$B$6))</f>
        <v/>
      </c>
    </row>
    <row r="46" customFormat="false" ht="15" hidden="false" customHeight="false" outlineLevel="0" collapsed="false">
      <c r="B46" s="35" t="n">
        <v>5</v>
      </c>
      <c r="C46" s="26" t="str">
        <f aca="false">IF(ISNUMBER(LARGE(자동목록!$C$4:$C$203,5)),IF(LARGE(자동목록!$C$4:$C$203,5)&gt;0,INDEX(자동목록!$A$4:$A$203,MATCH(LARGE(자동목록!$C$4:$C$203,5),자동목록!$C$4:$C$203,0)),""),"")</f>
        <v/>
      </c>
      <c r="D46" s="27" t="str">
        <f aca="false">IF(OR($C46="",D$41=""),"",COUNTIFS(데이터_제공인력,$C46,데이터_품목류,D$41,데이터_연도,기준연도))</f>
        <v/>
      </c>
      <c r="E46" s="27" t="str">
        <f aca="false">IF(OR($C46="",E$41=""),"",COUNTIFS(데이터_제공인력,$C46,데이터_품목류,E$41,데이터_연도,기준연도))</f>
        <v/>
      </c>
      <c r="F46" s="27" t="str">
        <f aca="false">IF(OR($C46="",F$41=""),"",COUNTIFS(데이터_제공인력,$C46,데이터_품목류,F$41,데이터_연도,기준연도))</f>
        <v/>
      </c>
      <c r="G46" s="27" t="str">
        <f aca="false">IF(OR($C46="",G$41=""),"",COUNTIFS(데이터_제공인력,$C46,데이터_품목류,G$41,데이터_연도,기준연도))</f>
        <v/>
      </c>
      <c r="H46" s="27" t="str">
        <f aca="false">IF(OR($C46="",H$41=""),"",COUNTIFS(데이터_제공인력,$C46,데이터_품목류,H$41,데이터_연도,기준연도))</f>
        <v/>
      </c>
      <c r="I46" s="27" t="str">
        <f aca="false">IF(OR($C46="",I$41=""),"",COUNTIFS(데이터_제공인력,$C46,데이터_품목류,I$41,데이터_연도,기준연도))</f>
        <v/>
      </c>
      <c r="J46" s="27" t="str">
        <f aca="false">IF(OR($C46="",J$41=""),"",COUNTIFS(데이터_제공인력,$C46,데이터_품목류,J$41,데이터_연도,기준연도))</f>
        <v/>
      </c>
      <c r="K46" s="27" t="str">
        <f aca="false">IF(OR($C46="",K$41=""),"",COUNTIFS(데이터_제공인력,$C46,데이터_품목류,K$41,데이터_연도,기준연도))</f>
        <v/>
      </c>
      <c r="L46" s="36" t="str">
        <f aca="false">IF($C46="","",COUNTIFS(데이터_제공인력,$C46,데이터_연도,기준연도))</f>
        <v/>
      </c>
      <c r="M46" s="37" t="str">
        <f aca="false">IF($C46="","",IF($B$6=0,0,L46/$B$6))</f>
        <v/>
      </c>
    </row>
    <row r="47" customFormat="false" ht="15" hidden="false" customHeight="false" outlineLevel="0" collapsed="false">
      <c r="B47" s="35" t="n">
        <v>6</v>
      </c>
      <c r="C47" s="26" t="str">
        <f aca="false">IF(ISNUMBER(LARGE(자동목록!$C$4:$C$203,6)),IF(LARGE(자동목록!$C$4:$C$203,6)&gt;0,INDEX(자동목록!$A$4:$A$203,MATCH(LARGE(자동목록!$C$4:$C$203,6),자동목록!$C$4:$C$203,0)),""),"")</f>
        <v/>
      </c>
      <c r="D47" s="27" t="str">
        <f aca="false">IF(OR($C47="",D$41=""),"",COUNTIFS(데이터_제공인력,$C47,데이터_품목류,D$41,데이터_연도,기준연도))</f>
        <v/>
      </c>
      <c r="E47" s="27" t="str">
        <f aca="false">IF(OR($C47="",E$41=""),"",COUNTIFS(데이터_제공인력,$C47,데이터_품목류,E$41,데이터_연도,기준연도))</f>
        <v/>
      </c>
      <c r="F47" s="27" t="str">
        <f aca="false">IF(OR($C47="",F$41=""),"",COUNTIFS(데이터_제공인력,$C47,데이터_품목류,F$41,데이터_연도,기준연도))</f>
        <v/>
      </c>
      <c r="G47" s="27" t="str">
        <f aca="false">IF(OR($C47="",G$41=""),"",COUNTIFS(데이터_제공인력,$C47,데이터_품목류,G$41,데이터_연도,기준연도))</f>
        <v/>
      </c>
      <c r="H47" s="27" t="str">
        <f aca="false">IF(OR($C47="",H$41=""),"",COUNTIFS(데이터_제공인력,$C47,데이터_품목류,H$41,데이터_연도,기준연도))</f>
        <v/>
      </c>
      <c r="I47" s="27" t="str">
        <f aca="false">IF(OR($C47="",I$41=""),"",COUNTIFS(데이터_제공인력,$C47,데이터_품목류,I$41,데이터_연도,기준연도))</f>
        <v/>
      </c>
      <c r="J47" s="27" t="str">
        <f aca="false">IF(OR($C47="",J$41=""),"",COUNTIFS(데이터_제공인력,$C47,데이터_품목류,J$41,데이터_연도,기준연도))</f>
        <v/>
      </c>
      <c r="K47" s="27" t="str">
        <f aca="false">IF(OR($C47="",K$41=""),"",COUNTIFS(데이터_제공인력,$C47,데이터_품목류,K$41,데이터_연도,기준연도))</f>
        <v/>
      </c>
      <c r="L47" s="36" t="str">
        <f aca="false">IF($C47="","",COUNTIFS(데이터_제공인력,$C47,데이터_연도,기준연도))</f>
        <v/>
      </c>
      <c r="M47" s="37" t="str">
        <f aca="false">IF($C47="","",IF($B$6=0,0,L47/$B$6))</f>
        <v/>
      </c>
    </row>
    <row r="48" customFormat="false" ht="15" hidden="false" customHeight="false" outlineLevel="0" collapsed="false">
      <c r="B48" s="35" t="n">
        <v>7</v>
      </c>
      <c r="C48" s="26" t="str">
        <f aca="false">IF(ISNUMBER(LARGE(자동목록!$C$4:$C$203,7)),IF(LARGE(자동목록!$C$4:$C$203,7)&gt;0,INDEX(자동목록!$A$4:$A$203,MATCH(LARGE(자동목록!$C$4:$C$203,7),자동목록!$C$4:$C$203,0)),""),"")</f>
        <v/>
      </c>
      <c r="D48" s="27" t="str">
        <f aca="false">IF(OR($C48="",D$41=""),"",COUNTIFS(데이터_제공인력,$C48,데이터_품목류,D$41,데이터_연도,기준연도))</f>
        <v/>
      </c>
      <c r="E48" s="27" t="str">
        <f aca="false">IF(OR($C48="",E$41=""),"",COUNTIFS(데이터_제공인력,$C48,데이터_품목류,E$41,데이터_연도,기준연도))</f>
        <v/>
      </c>
      <c r="F48" s="27" t="str">
        <f aca="false">IF(OR($C48="",F$41=""),"",COUNTIFS(데이터_제공인력,$C48,데이터_품목류,F$41,데이터_연도,기준연도))</f>
        <v/>
      </c>
      <c r="G48" s="27" t="str">
        <f aca="false">IF(OR($C48="",G$41=""),"",COUNTIFS(데이터_제공인력,$C48,데이터_품목류,G$41,데이터_연도,기준연도))</f>
        <v/>
      </c>
      <c r="H48" s="27" t="str">
        <f aca="false">IF(OR($C48="",H$41=""),"",COUNTIFS(데이터_제공인력,$C48,데이터_품목류,H$41,데이터_연도,기준연도))</f>
        <v/>
      </c>
      <c r="I48" s="27" t="str">
        <f aca="false">IF(OR($C48="",I$41=""),"",COUNTIFS(데이터_제공인력,$C48,데이터_품목류,I$41,데이터_연도,기준연도))</f>
        <v/>
      </c>
      <c r="J48" s="27" t="str">
        <f aca="false">IF(OR($C48="",J$41=""),"",COUNTIFS(데이터_제공인력,$C48,데이터_품목류,J$41,데이터_연도,기준연도))</f>
        <v/>
      </c>
      <c r="K48" s="27" t="str">
        <f aca="false">IF(OR($C48="",K$41=""),"",COUNTIFS(데이터_제공인력,$C48,데이터_품목류,K$41,데이터_연도,기준연도))</f>
        <v/>
      </c>
      <c r="L48" s="36" t="str">
        <f aca="false">IF($C48="","",COUNTIFS(데이터_제공인력,$C48,데이터_연도,기준연도))</f>
        <v/>
      </c>
      <c r="M48" s="37" t="str">
        <f aca="false">IF($C48="","",IF($B$6=0,0,L48/$B$6))</f>
        <v/>
      </c>
    </row>
    <row r="49" customFormat="false" ht="15" hidden="false" customHeight="false" outlineLevel="0" collapsed="false">
      <c r="B49" s="35" t="n">
        <v>8</v>
      </c>
      <c r="C49" s="26" t="str">
        <f aca="false">IF(ISNUMBER(LARGE(자동목록!$C$4:$C$203,8)),IF(LARGE(자동목록!$C$4:$C$203,8)&gt;0,INDEX(자동목록!$A$4:$A$203,MATCH(LARGE(자동목록!$C$4:$C$203,8),자동목록!$C$4:$C$203,0)),""),"")</f>
        <v/>
      </c>
      <c r="D49" s="27" t="str">
        <f aca="false">IF(OR($C49="",D$41=""),"",COUNTIFS(데이터_제공인력,$C49,데이터_품목류,D$41,데이터_연도,기준연도))</f>
        <v/>
      </c>
      <c r="E49" s="27" t="str">
        <f aca="false">IF(OR($C49="",E$41=""),"",COUNTIFS(데이터_제공인력,$C49,데이터_품목류,E$41,데이터_연도,기준연도))</f>
        <v/>
      </c>
      <c r="F49" s="27" t="str">
        <f aca="false">IF(OR($C49="",F$41=""),"",COUNTIFS(데이터_제공인력,$C49,데이터_품목류,F$41,데이터_연도,기준연도))</f>
        <v/>
      </c>
      <c r="G49" s="27" t="str">
        <f aca="false">IF(OR($C49="",G$41=""),"",COUNTIFS(데이터_제공인력,$C49,데이터_품목류,G$41,데이터_연도,기준연도))</f>
        <v/>
      </c>
      <c r="H49" s="27" t="str">
        <f aca="false">IF(OR($C49="",H$41=""),"",COUNTIFS(데이터_제공인력,$C49,데이터_품목류,H$41,데이터_연도,기준연도))</f>
        <v/>
      </c>
      <c r="I49" s="27" t="str">
        <f aca="false">IF(OR($C49="",I$41=""),"",COUNTIFS(데이터_제공인력,$C49,데이터_품목류,I$41,데이터_연도,기준연도))</f>
        <v/>
      </c>
      <c r="J49" s="27" t="str">
        <f aca="false">IF(OR($C49="",J$41=""),"",COUNTIFS(데이터_제공인력,$C49,데이터_품목류,J$41,데이터_연도,기준연도))</f>
        <v/>
      </c>
      <c r="K49" s="27" t="str">
        <f aca="false">IF(OR($C49="",K$41=""),"",COUNTIFS(데이터_제공인력,$C49,데이터_품목류,K$41,데이터_연도,기준연도))</f>
        <v/>
      </c>
      <c r="L49" s="36" t="str">
        <f aca="false">IF($C49="","",COUNTIFS(데이터_제공인력,$C49,데이터_연도,기준연도))</f>
        <v/>
      </c>
      <c r="M49" s="37" t="str">
        <f aca="false">IF($C49="","",IF($B$6=0,0,L49/$B$6))</f>
        <v/>
      </c>
    </row>
    <row r="50" customFormat="false" ht="15" hidden="false" customHeight="false" outlineLevel="0" collapsed="false">
      <c r="B50" s="35" t="n">
        <v>9</v>
      </c>
      <c r="C50" s="26" t="str">
        <f aca="false">IF(ISNUMBER(LARGE(자동목록!$C$4:$C$203,9)),IF(LARGE(자동목록!$C$4:$C$203,9)&gt;0,INDEX(자동목록!$A$4:$A$203,MATCH(LARGE(자동목록!$C$4:$C$203,9),자동목록!$C$4:$C$203,0)),""),"")</f>
        <v/>
      </c>
      <c r="D50" s="27" t="str">
        <f aca="false">IF(OR($C50="",D$41=""),"",COUNTIFS(데이터_제공인력,$C50,데이터_품목류,D$41,데이터_연도,기준연도))</f>
        <v/>
      </c>
      <c r="E50" s="27" t="str">
        <f aca="false">IF(OR($C50="",E$41=""),"",COUNTIFS(데이터_제공인력,$C50,데이터_품목류,E$41,데이터_연도,기준연도))</f>
        <v/>
      </c>
      <c r="F50" s="27" t="str">
        <f aca="false">IF(OR($C50="",F$41=""),"",COUNTIFS(데이터_제공인력,$C50,데이터_품목류,F$41,데이터_연도,기준연도))</f>
        <v/>
      </c>
      <c r="G50" s="27" t="str">
        <f aca="false">IF(OR($C50="",G$41=""),"",COUNTIFS(데이터_제공인력,$C50,데이터_품목류,G$41,데이터_연도,기준연도))</f>
        <v/>
      </c>
      <c r="H50" s="27" t="str">
        <f aca="false">IF(OR($C50="",H$41=""),"",COUNTIFS(데이터_제공인력,$C50,데이터_품목류,H$41,데이터_연도,기준연도))</f>
        <v/>
      </c>
      <c r="I50" s="27" t="str">
        <f aca="false">IF(OR($C50="",I$41=""),"",COUNTIFS(데이터_제공인력,$C50,데이터_품목류,I$41,데이터_연도,기준연도))</f>
        <v/>
      </c>
      <c r="J50" s="27" t="str">
        <f aca="false">IF(OR($C50="",J$41=""),"",COUNTIFS(데이터_제공인력,$C50,데이터_품목류,J$41,데이터_연도,기준연도))</f>
        <v/>
      </c>
      <c r="K50" s="27" t="str">
        <f aca="false">IF(OR($C50="",K$41=""),"",COUNTIFS(데이터_제공인력,$C50,데이터_품목류,K$41,데이터_연도,기준연도))</f>
        <v/>
      </c>
      <c r="L50" s="36" t="str">
        <f aca="false">IF($C50="","",COUNTIFS(데이터_제공인력,$C50,데이터_연도,기준연도))</f>
        <v/>
      </c>
      <c r="M50" s="37" t="str">
        <f aca="false">IF($C50="","",IF($B$6=0,0,L50/$B$6))</f>
        <v/>
      </c>
    </row>
    <row r="51" customFormat="false" ht="15" hidden="false" customHeight="false" outlineLevel="0" collapsed="false">
      <c r="B51" s="35" t="n">
        <v>10</v>
      </c>
      <c r="C51" s="26" t="str">
        <f aca="false">IF(ISNUMBER(LARGE(자동목록!$C$4:$C$203,10)),IF(LARGE(자동목록!$C$4:$C$203,10)&gt;0,INDEX(자동목록!$A$4:$A$203,MATCH(LARGE(자동목록!$C$4:$C$203,10),자동목록!$C$4:$C$203,0)),""),"")</f>
        <v/>
      </c>
      <c r="D51" s="27" t="str">
        <f aca="false">IF(OR($C51="",D$41=""),"",COUNTIFS(데이터_제공인력,$C51,데이터_품목류,D$41,데이터_연도,기준연도))</f>
        <v/>
      </c>
      <c r="E51" s="27" t="str">
        <f aca="false">IF(OR($C51="",E$41=""),"",COUNTIFS(데이터_제공인력,$C51,데이터_품목류,E$41,데이터_연도,기준연도))</f>
        <v/>
      </c>
      <c r="F51" s="27" t="str">
        <f aca="false">IF(OR($C51="",F$41=""),"",COUNTIFS(데이터_제공인력,$C51,데이터_품목류,F$41,데이터_연도,기준연도))</f>
        <v/>
      </c>
      <c r="G51" s="27" t="str">
        <f aca="false">IF(OR($C51="",G$41=""),"",COUNTIFS(데이터_제공인력,$C51,데이터_품목류,G$41,데이터_연도,기준연도))</f>
        <v/>
      </c>
      <c r="H51" s="27" t="str">
        <f aca="false">IF(OR($C51="",H$41=""),"",COUNTIFS(데이터_제공인력,$C51,데이터_품목류,H$41,데이터_연도,기준연도))</f>
        <v/>
      </c>
      <c r="I51" s="27" t="str">
        <f aca="false">IF(OR($C51="",I$41=""),"",COUNTIFS(데이터_제공인력,$C51,데이터_품목류,I$41,데이터_연도,기준연도))</f>
        <v/>
      </c>
      <c r="J51" s="27" t="str">
        <f aca="false">IF(OR($C51="",J$41=""),"",COUNTIFS(데이터_제공인력,$C51,데이터_품목류,J$41,데이터_연도,기준연도))</f>
        <v/>
      </c>
      <c r="K51" s="27" t="str">
        <f aca="false">IF(OR($C51="",K$41=""),"",COUNTIFS(데이터_제공인력,$C51,데이터_품목류,K$41,데이터_연도,기준연도))</f>
        <v/>
      </c>
      <c r="L51" s="36" t="str">
        <f aca="false">IF($C51="","",COUNTIFS(데이터_제공인력,$C51,데이터_연도,기준연도))</f>
        <v/>
      </c>
      <c r="M51" s="37" t="str">
        <f aca="false">IF($C51="","",IF($B$6=0,0,L51/$B$6))</f>
        <v/>
      </c>
    </row>
    <row r="52" customFormat="false" ht="15" hidden="false" customHeight="false" outlineLevel="0" collapsed="false">
      <c r="B52" s="30" t="s">
        <v>74</v>
      </c>
      <c r="C52" s="30"/>
      <c r="D52" s="31" t="n">
        <f aca="false">SUM(D42:D51)</f>
        <v>1</v>
      </c>
      <c r="E52" s="31" t="n">
        <f aca="false">SUM(E42:E51)</f>
        <v>0</v>
      </c>
      <c r="F52" s="31" t="n">
        <f aca="false">SUM(F42:F51)</f>
        <v>0</v>
      </c>
      <c r="G52" s="31" t="n">
        <f aca="false">SUM(G42:G51)</f>
        <v>0</v>
      </c>
      <c r="H52" s="31" t="n">
        <f aca="false">SUM(H42:H51)</f>
        <v>0</v>
      </c>
      <c r="I52" s="31" t="n">
        <f aca="false">SUM(I42:I51)</f>
        <v>0</v>
      </c>
      <c r="J52" s="31" t="n">
        <f aca="false">SUM(J42:J51)</f>
        <v>0</v>
      </c>
      <c r="K52" s="31" t="n">
        <f aca="false">SUM(K42:K51)</f>
        <v>0</v>
      </c>
      <c r="L52" s="31" t="n">
        <f aca="false">SUM(L42:L51)</f>
        <v>1</v>
      </c>
      <c r="M52" s="38" t="n">
        <f aca="false">IF($B$6=0,0,L52/$B$6)</f>
        <v>0.5</v>
      </c>
    </row>
    <row r="53" customFormat="false" ht="15" hidden="false" customHeight="false" outlineLevel="0" collapsed="false">
      <c r="B53" s="39" t="s">
        <v>79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5" customFormat="false" ht="16.4" hidden="false" customHeight="false" outlineLevel="0" collapsed="false">
      <c r="B55" s="25" t="s">
        <v>80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customFormat="false" ht="15" hidden="false" customHeight="false" outlineLevel="0" collapsed="false">
      <c r="B56" s="7" t="s">
        <v>36</v>
      </c>
      <c r="C56" s="7" t="s">
        <v>81</v>
      </c>
      <c r="D56" s="7" t="s">
        <v>78</v>
      </c>
    </row>
    <row r="57" customFormat="false" ht="15" hidden="false" customHeight="false" outlineLevel="0" collapsed="false">
      <c r="B57" s="26" t="str">
        <f aca="false">IF(기준정보!A4="","",기준정보!A4)</f>
        <v>산모신생아</v>
      </c>
      <c r="C57" s="27" t="n">
        <f aca="false">IF($B57="","",COUNTIFS(데이터_품목류,$B57,데이터_연도,기준연도))</f>
        <v>1</v>
      </c>
      <c r="D57" s="37" t="n">
        <f aca="false">IF($B57="","",IF($C$65=0,0,C57/$C$65))</f>
        <v>0.5</v>
      </c>
    </row>
    <row r="58" customFormat="false" ht="15" hidden="false" customHeight="false" outlineLevel="0" collapsed="false">
      <c r="B58" s="26" t="str">
        <f aca="false">IF(기준정보!A5="","",기준정보!A5)</f>
        <v>영유아</v>
      </c>
      <c r="C58" s="27" t="n">
        <f aca="false">IF($B58="","",COUNTIFS(데이터_품목류,$B58,데이터_연도,기준연도))</f>
        <v>1</v>
      </c>
      <c r="D58" s="37" t="n">
        <f aca="false">IF($B58="","",IF($C$65=0,0,C58/$C$65))</f>
        <v>0.5</v>
      </c>
    </row>
    <row r="59" customFormat="false" ht="15" hidden="false" customHeight="false" outlineLevel="0" collapsed="false">
      <c r="B59" s="26" t="str">
        <f aca="false">IF(기준정보!A6="","",기준정보!A6)</f>
        <v>가사서비스</v>
      </c>
      <c r="C59" s="27" t="n">
        <f aca="false">IF($B59="","",COUNTIFS(데이터_품목류,$B59,데이터_연도,기준연도))</f>
        <v>0</v>
      </c>
      <c r="D59" s="37" t="n">
        <f aca="false">IF($B59="","",IF($C$65=0,0,C59/$C$65))</f>
        <v>0</v>
      </c>
    </row>
    <row r="60" customFormat="false" ht="15" hidden="false" customHeight="false" outlineLevel="0" collapsed="false">
      <c r="B60" s="26" t="str">
        <f aca="false">IF(기준정보!A7="","",기준정보!A7)</f>
        <v>정리수납</v>
      </c>
      <c r="C60" s="27" t="n">
        <f aca="false">IF($B60="","",COUNTIFS(데이터_품목류,$B60,데이터_연도,기준연도))</f>
        <v>0</v>
      </c>
      <c r="D60" s="37" t="n">
        <f aca="false">IF($B60="","",IF($C$65=0,0,C60/$C$65))</f>
        <v>0</v>
      </c>
    </row>
    <row r="61" customFormat="false" ht="15" hidden="false" customHeight="false" outlineLevel="0" collapsed="false">
      <c r="B61" s="26" t="str">
        <f aca="false">IF(기준정보!A8="","",기준정보!A8)</f>
        <v>이유식전문가</v>
      </c>
      <c r="C61" s="27" t="n">
        <f aca="false">IF($B61="","",COUNTIFS(데이터_품목류,$B61,데이터_연도,기준연도))</f>
        <v>0</v>
      </c>
      <c r="D61" s="37" t="n">
        <f aca="false">IF($B61="","",IF($C$65=0,0,C61/$C$65))</f>
        <v>0</v>
      </c>
    </row>
    <row r="62" customFormat="false" ht="15" hidden="false" customHeight="false" outlineLevel="0" collapsed="false">
      <c r="B62" s="26" t="str">
        <f aca="false">IF(기준정보!A9="","",기준정보!A9)</f>
        <v/>
      </c>
      <c r="C62" s="27" t="str">
        <f aca="false">IF($B62="","",COUNTIFS(데이터_품목류,$B62,데이터_연도,기준연도))</f>
        <v/>
      </c>
      <c r="D62" s="37" t="str">
        <f aca="false">IF($B62="","",IF($C$65=0,0,C62/$C$65))</f>
        <v/>
      </c>
    </row>
    <row r="63" customFormat="false" ht="15" hidden="false" customHeight="false" outlineLevel="0" collapsed="false">
      <c r="B63" s="26" t="str">
        <f aca="false">IF(기준정보!A10="","",기준정보!A10)</f>
        <v/>
      </c>
      <c r="C63" s="27" t="str">
        <f aca="false">IF($B63="","",COUNTIFS(데이터_품목류,$B63,데이터_연도,기준연도))</f>
        <v/>
      </c>
      <c r="D63" s="37" t="str">
        <f aca="false">IF($B63="","",IF($C$65=0,0,C63/$C$65))</f>
        <v/>
      </c>
    </row>
    <row r="64" customFormat="false" ht="15" hidden="false" customHeight="false" outlineLevel="0" collapsed="false">
      <c r="B64" s="26" t="str">
        <f aca="false">IF(기준정보!A11="","",기준정보!A11)</f>
        <v/>
      </c>
      <c r="C64" s="27" t="str">
        <f aca="false">IF($B64="","",COUNTIFS(데이터_품목류,$B64,데이터_연도,기준연도))</f>
        <v/>
      </c>
      <c r="D64" s="37" t="str">
        <f aca="false">IF($B64="","",IF($C$65=0,0,C64/$C$65))</f>
        <v/>
      </c>
    </row>
    <row r="65" customFormat="false" ht="15" hidden="false" customHeight="false" outlineLevel="0" collapsed="false">
      <c r="B65" s="30" t="s">
        <v>74</v>
      </c>
      <c r="C65" s="31" t="n">
        <f aca="false">SUM(C57:C64)</f>
        <v>2</v>
      </c>
      <c r="D65" s="38" t="n">
        <f aca="false">IF(C65=0,0,C65/C65)</f>
        <v>1</v>
      </c>
    </row>
    <row r="67" customFormat="false" ht="16.4" hidden="false" customHeight="false" outlineLevel="0" collapsed="false">
      <c r="B67" s="25" t="s">
        <v>82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customFormat="false" ht="15" hidden="false" customHeight="true" outlineLevel="0" collapsed="false">
      <c r="B68" s="7" t="s">
        <v>77</v>
      </c>
      <c r="C68" s="7" t="s">
        <v>38</v>
      </c>
      <c r="D68" s="7"/>
      <c r="E68" s="7"/>
      <c r="F68" s="7" t="s">
        <v>81</v>
      </c>
      <c r="G68" s="7" t="s">
        <v>78</v>
      </c>
    </row>
    <row r="69" customFormat="false" ht="15" hidden="false" customHeight="false" outlineLevel="0" collapsed="false">
      <c r="B69" s="35" t="n">
        <v>1</v>
      </c>
      <c r="C69" s="26" t="str">
        <f aca="false">IF(ISNUMBER(LARGE(자동목록!$G$4:$G$103,1)),IF(LARGE(자동목록!$G$4:$G$103,1)&gt;0,INDEX(자동목록!$E$4:$E$103,MATCH(LARGE(자동목록!$G$4:$G$103,1),자동목록!$G$4:$G$103,0)),""),"")</f>
        <v>조기퇴근</v>
      </c>
      <c r="D69" s="26"/>
      <c r="E69" s="26"/>
      <c r="F69" s="36" t="n">
        <f aca="false">IF($C69="","",COUNTIFS(데이터_내용,$C69,데이터_연도,기준연도))</f>
        <v>1</v>
      </c>
      <c r="G69" s="37" t="n">
        <f aca="false">IF($C69="","",IF($B$6=0,0,F69/$B$6))</f>
        <v>0.5</v>
      </c>
    </row>
    <row r="70" customFormat="false" ht="15" hidden="false" customHeight="false" outlineLevel="0" collapsed="false">
      <c r="B70" s="35" t="n">
        <v>2</v>
      </c>
      <c r="C70" s="26" t="str">
        <f aca="false">IF(ISNUMBER(LARGE(자동목록!$G$4:$G$103,2)),IF(LARGE(자동목록!$G$4:$G$103,2)&gt;0,INDEX(자동목록!$E$4:$E$103,MATCH(LARGE(자동목록!$G$4:$G$103,2),자동목록!$G$4:$G$103,0)),""),"")</f>
        <v>휴대폰사용</v>
      </c>
      <c r="D70" s="26"/>
      <c r="E70" s="26"/>
      <c r="F70" s="36" t="n">
        <f aca="false">IF($C70="","",COUNTIFS(데이터_내용,$C70,데이터_연도,기준연도))</f>
        <v>1</v>
      </c>
      <c r="G70" s="37" t="n">
        <f aca="false">IF($C70="","",IF($B$6=0,0,F70/$B$6))</f>
        <v>0.5</v>
      </c>
    </row>
    <row r="71" customFormat="false" ht="15" hidden="false" customHeight="false" outlineLevel="0" collapsed="false">
      <c r="B71" s="35" t="n">
        <v>3</v>
      </c>
      <c r="C71" s="26" t="str">
        <f aca="false">IF(ISNUMBER(LARGE(자동목록!$G$4:$G$103,3)),IF(LARGE(자동목록!$G$4:$G$103,3)&gt;0,INDEX(자동목록!$E$4:$E$103,MATCH(LARGE(자동목록!$G$4:$G$103,3),자동목록!$G$4:$G$103,0)),""),"")</f>
        <v/>
      </c>
      <c r="D71" s="26"/>
      <c r="E71" s="26"/>
      <c r="F71" s="36" t="str">
        <f aca="false">IF($C71="","",COUNTIFS(데이터_내용,$C71,데이터_연도,기준연도))</f>
        <v/>
      </c>
      <c r="G71" s="37" t="str">
        <f aca="false">IF($C71="","",IF($B$6=0,0,F71/$B$6))</f>
        <v/>
      </c>
    </row>
    <row r="72" customFormat="false" ht="15" hidden="false" customHeight="false" outlineLevel="0" collapsed="false">
      <c r="B72" s="35" t="n">
        <v>4</v>
      </c>
      <c r="C72" s="26" t="str">
        <f aca="false">IF(ISNUMBER(LARGE(자동목록!$G$4:$G$103,4)),IF(LARGE(자동목록!$G$4:$G$103,4)&gt;0,INDEX(자동목록!$E$4:$E$103,MATCH(LARGE(자동목록!$G$4:$G$103,4),자동목록!$G$4:$G$103,0)),""),"")</f>
        <v/>
      </c>
      <c r="D72" s="26"/>
      <c r="E72" s="26"/>
      <c r="F72" s="36" t="str">
        <f aca="false">IF($C72="","",COUNTIFS(데이터_내용,$C72,데이터_연도,기준연도))</f>
        <v/>
      </c>
      <c r="G72" s="37" t="str">
        <f aca="false">IF($C72="","",IF($B$6=0,0,F72/$B$6))</f>
        <v/>
      </c>
    </row>
    <row r="73" customFormat="false" ht="15" hidden="false" customHeight="false" outlineLevel="0" collapsed="false">
      <c r="B73" s="35" t="n">
        <v>5</v>
      </c>
      <c r="C73" s="26" t="str">
        <f aca="false">IF(ISNUMBER(LARGE(자동목록!$G$4:$G$103,5)),IF(LARGE(자동목록!$G$4:$G$103,5)&gt;0,INDEX(자동목록!$E$4:$E$103,MATCH(LARGE(자동목록!$G$4:$G$103,5),자동목록!$G$4:$G$103,0)),""),"")</f>
        <v/>
      </c>
      <c r="D73" s="26"/>
      <c r="E73" s="26"/>
      <c r="F73" s="36" t="str">
        <f aca="false">IF($C73="","",COUNTIFS(데이터_내용,$C73,데이터_연도,기준연도))</f>
        <v/>
      </c>
      <c r="G73" s="37" t="str">
        <f aca="false">IF($C73="","",IF($B$6=0,0,F73/$B$6))</f>
        <v/>
      </c>
    </row>
    <row r="74" customFormat="false" ht="15" hidden="false" customHeight="false" outlineLevel="0" collapsed="false">
      <c r="B74" s="35" t="n">
        <v>6</v>
      </c>
      <c r="C74" s="26" t="str">
        <f aca="false">IF(ISNUMBER(LARGE(자동목록!$G$4:$G$103,6)),IF(LARGE(자동목록!$G$4:$G$103,6)&gt;0,INDEX(자동목록!$E$4:$E$103,MATCH(LARGE(자동목록!$G$4:$G$103,6),자동목록!$G$4:$G$103,0)),""),"")</f>
        <v/>
      </c>
      <c r="D74" s="26"/>
      <c r="E74" s="26"/>
      <c r="F74" s="36" t="str">
        <f aca="false">IF($C74="","",COUNTIFS(데이터_내용,$C74,데이터_연도,기준연도))</f>
        <v/>
      </c>
      <c r="G74" s="37" t="str">
        <f aca="false">IF($C74="","",IF($B$6=0,0,F74/$B$6))</f>
        <v/>
      </c>
    </row>
    <row r="75" customFormat="false" ht="15" hidden="false" customHeight="false" outlineLevel="0" collapsed="false">
      <c r="B75" s="35" t="n">
        <v>7</v>
      </c>
      <c r="C75" s="26" t="str">
        <f aca="false">IF(ISNUMBER(LARGE(자동목록!$G$4:$G$103,7)),IF(LARGE(자동목록!$G$4:$G$103,7)&gt;0,INDEX(자동목록!$E$4:$E$103,MATCH(LARGE(자동목록!$G$4:$G$103,7),자동목록!$G$4:$G$103,0)),""),"")</f>
        <v/>
      </c>
      <c r="D75" s="26"/>
      <c r="E75" s="26"/>
      <c r="F75" s="36" t="str">
        <f aca="false">IF($C75="","",COUNTIFS(데이터_내용,$C75,데이터_연도,기준연도))</f>
        <v/>
      </c>
      <c r="G75" s="37" t="str">
        <f aca="false">IF($C75="","",IF($B$6=0,0,F75/$B$6))</f>
        <v/>
      </c>
    </row>
    <row r="76" customFormat="false" ht="15" hidden="false" customHeight="false" outlineLevel="0" collapsed="false">
      <c r="B76" s="35" t="n">
        <v>8</v>
      </c>
      <c r="C76" s="26" t="str">
        <f aca="false">IF(ISNUMBER(LARGE(자동목록!$G$4:$G$103,8)),IF(LARGE(자동목록!$G$4:$G$103,8)&gt;0,INDEX(자동목록!$E$4:$E$103,MATCH(LARGE(자동목록!$G$4:$G$103,8),자동목록!$G$4:$G$103,0)),""),"")</f>
        <v/>
      </c>
      <c r="D76" s="26"/>
      <c r="E76" s="26"/>
      <c r="F76" s="36" t="str">
        <f aca="false">IF($C76="","",COUNTIFS(데이터_내용,$C76,데이터_연도,기준연도))</f>
        <v/>
      </c>
      <c r="G76" s="37" t="str">
        <f aca="false">IF($C76="","",IF($B$6=0,0,F76/$B$6))</f>
        <v/>
      </c>
    </row>
    <row r="77" customFormat="false" ht="15" hidden="false" customHeight="false" outlineLevel="0" collapsed="false">
      <c r="B77" s="35" t="n">
        <v>9</v>
      </c>
      <c r="C77" s="26" t="str">
        <f aca="false">IF(ISNUMBER(LARGE(자동목록!$G$4:$G$103,9)),IF(LARGE(자동목록!$G$4:$G$103,9)&gt;0,INDEX(자동목록!$E$4:$E$103,MATCH(LARGE(자동목록!$G$4:$G$103,9),자동목록!$G$4:$G$103,0)),""),"")</f>
        <v/>
      </c>
      <c r="D77" s="26"/>
      <c r="E77" s="26"/>
      <c r="F77" s="36" t="str">
        <f aca="false">IF($C77="","",COUNTIFS(데이터_내용,$C77,데이터_연도,기준연도))</f>
        <v/>
      </c>
      <c r="G77" s="37" t="str">
        <f aca="false">IF($C77="","",IF($B$6=0,0,F77/$B$6))</f>
        <v/>
      </c>
    </row>
    <row r="78" customFormat="false" ht="15" hidden="false" customHeight="false" outlineLevel="0" collapsed="false">
      <c r="B78" s="35" t="n">
        <v>10</v>
      </c>
      <c r="C78" s="26" t="str">
        <f aca="false">IF(ISNUMBER(LARGE(자동목록!$G$4:$G$103,10)),IF(LARGE(자동목록!$G$4:$G$103,10)&gt;0,INDEX(자동목록!$E$4:$E$103,MATCH(LARGE(자동목록!$G$4:$G$103,10),자동목록!$G$4:$G$103,0)),""),"")</f>
        <v/>
      </c>
      <c r="D78" s="26"/>
      <c r="E78" s="26"/>
      <c r="F78" s="36" t="str">
        <f aca="false">IF($C78="","",COUNTIFS(데이터_내용,$C78,데이터_연도,기준연도))</f>
        <v/>
      </c>
      <c r="G78" s="37" t="str">
        <f aca="false">IF($C78="","",IF($B$6=0,0,F78/$B$6))</f>
        <v/>
      </c>
    </row>
    <row r="80" customFormat="false" ht="16.4" hidden="false" customHeight="false" outlineLevel="0" collapsed="false">
      <c r="B80" s="25" t="s">
        <v>83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</row>
    <row r="81" customFormat="false" ht="15" hidden="false" customHeight="false" outlineLevel="0" collapsed="false">
      <c r="B81" s="7" t="s">
        <v>46</v>
      </c>
      <c r="C81" s="7" t="str">
        <f aca="false">IF(기준정보!C4="","",기준정보!C4)</f>
        <v>제공인력 교체</v>
      </c>
      <c r="D81" s="7" t="str">
        <f aca="false">IF(기준정보!C5="","",기준정보!C5)</f>
        <v>서비스 중지</v>
      </c>
      <c r="E81" s="7" t="str">
        <f aca="false">IF(기준정보!C6="","",기준정보!C6)</f>
        <v>주의·교육</v>
      </c>
      <c r="F81" s="7" t="str">
        <f aca="false">IF(기준정보!C7="","",기준정보!C7)</f>
        <v>기타 조치</v>
      </c>
      <c r="G81" s="7" t="s">
        <v>84</v>
      </c>
    </row>
    <row r="82" customFormat="false" ht="15" hidden="false" customHeight="false" outlineLevel="0" collapsed="false">
      <c r="B82" s="40" t="s">
        <v>85</v>
      </c>
      <c r="C82" s="27" t="n">
        <f aca="false">IF(C$81="","",COUNTIFS(데이터_경과구간,$B82,데이터_조치,C$81,데이터_연도,기준연도))</f>
        <v>0</v>
      </c>
      <c r="D82" s="27" t="n">
        <f aca="false">IF(D$81="","",COUNTIFS(데이터_경과구간,$B82,데이터_조치,D$81,데이터_연도,기준연도))</f>
        <v>0</v>
      </c>
      <c r="E82" s="27" t="n">
        <f aca="false">IF(E$81="","",COUNTIFS(데이터_경과구간,$B82,데이터_조치,E$81,데이터_연도,기준연도))</f>
        <v>0</v>
      </c>
      <c r="F82" s="27" t="n">
        <f aca="false">IF(F$81="","",COUNTIFS(데이터_경과구간,$B82,데이터_조치,F$81,데이터_연도,기준연도))</f>
        <v>0</v>
      </c>
      <c r="G82" s="41" t="n">
        <f aca="false">COUNTIFS(데이터_경과구간,$B82,데이터_연도,기준연도)</f>
        <v>0</v>
      </c>
    </row>
    <row r="83" customFormat="false" ht="15" hidden="false" customHeight="false" outlineLevel="0" collapsed="false">
      <c r="B83" s="40" t="s">
        <v>86</v>
      </c>
      <c r="C83" s="27" t="n">
        <f aca="false">IF(C$81="","",COUNTIFS(데이터_경과구간,$B83,데이터_조치,C$81,데이터_연도,기준연도))</f>
        <v>0</v>
      </c>
      <c r="D83" s="27" t="n">
        <f aca="false">IF(D$81="","",COUNTIFS(데이터_경과구간,$B83,데이터_조치,D$81,데이터_연도,기준연도))</f>
        <v>0</v>
      </c>
      <c r="E83" s="27" t="n">
        <f aca="false">IF(E$81="","",COUNTIFS(데이터_경과구간,$B83,데이터_조치,E$81,데이터_연도,기준연도))</f>
        <v>0</v>
      </c>
      <c r="F83" s="27" t="n">
        <f aca="false">IF(F$81="","",COUNTIFS(데이터_경과구간,$B83,데이터_조치,F$81,데이터_연도,기준연도))</f>
        <v>0</v>
      </c>
      <c r="G83" s="41" t="n">
        <f aca="false">COUNTIFS(데이터_경과구간,$B83,데이터_연도,기준연도)</f>
        <v>0</v>
      </c>
    </row>
    <row r="84" customFormat="false" ht="15" hidden="false" customHeight="false" outlineLevel="0" collapsed="false">
      <c r="B84" s="40" t="s">
        <v>87</v>
      </c>
      <c r="C84" s="27" t="n">
        <f aca="false">IF(C$81="","",COUNTIFS(데이터_경과구간,$B84,데이터_조치,C$81,데이터_연도,기준연도))</f>
        <v>0</v>
      </c>
      <c r="D84" s="27" t="n">
        <f aca="false">IF(D$81="","",COUNTIFS(데이터_경과구간,$B84,데이터_조치,D$81,데이터_연도,기준연도))</f>
        <v>0</v>
      </c>
      <c r="E84" s="27" t="n">
        <f aca="false">IF(E$81="","",COUNTIFS(데이터_경과구간,$B84,데이터_조치,E$81,데이터_연도,기준연도))</f>
        <v>0</v>
      </c>
      <c r="F84" s="27" t="n">
        <f aca="false">IF(F$81="","",COUNTIFS(데이터_경과구간,$B84,데이터_조치,F$81,데이터_연도,기준연도))</f>
        <v>0</v>
      </c>
      <c r="G84" s="41" t="n">
        <f aca="false">COUNTIFS(데이터_경과구간,$B84,데이터_연도,기준연도)</f>
        <v>0</v>
      </c>
    </row>
    <row r="85" customFormat="false" ht="15" hidden="false" customHeight="false" outlineLevel="0" collapsed="false">
      <c r="B85" s="26" t="s">
        <v>88</v>
      </c>
      <c r="C85" s="27" t="n">
        <f aca="false">IF(C$81="","",COUNTIFS(데이터_경과구간,$B85,데이터_조치,C$81,데이터_연도,기준연도))</f>
        <v>0</v>
      </c>
      <c r="D85" s="27" t="n">
        <f aca="false">IF(D$81="","",COUNTIFS(데이터_경과구간,$B85,데이터_조치,D$81,데이터_연도,기준연도))</f>
        <v>0</v>
      </c>
      <c r="E85" s="27" t="n">
        <f aca="false">IF(E$81="","",COUNTIFS(데이터_경과구간,$B85,데이터_조치,E$81,데이터_연도,기준연도))</f>
        <v>0</v>
      </c>
      <c r="F85" s="27" t="n">
        <f aca="false">IF(F$81="","",COUNTIFS(데이터_경과구간,$B85,데이터_조치,F$81,데이터_연도,기준연도))</f>
        <v>0</v>
      </c>
      <c r="G85" s="41" t="n">
        <f aca="false">COUNTIFS(데이터_경과구간,$B85,데이터_연도,기준연도)</f>
        <v>0</v>
      </c>
    </row>
    <row r="86" customFormat="false" ht="15" hidden="false" customHeight="false" outlineLevel="0" collapsed="false">
      <c r="B86" s="26" t="s">
        <v>89</v>
      </c>
      <c r="C86" s="27" t="n">
        <f aca="false">IF(C$81="","",COUNTIFS(데이터_경과구간,$B86,데이터_조치,C$81,데이터_연도,기준연도))</f>
        <v>0</v>
      </c>
      <c r="D86" s="27" t="n">
        <f aca="false">IF(D$81="","",COUNTIFS(데이터_경과구간,$B86,데이터_조치,D$81,데이터_연도,기준연도))</f>
        <v>0</v>
      </c>
      <c r="E86" s="27" t="n">
        <f aca="false">IF(E$81="","",COUNTIFS(데이터_경과구간,$B86,데이터_조치,E$81,데이터_연도,기준연도))</f>
        <v>0</v>
      </c>
      <c r="F86" s="27" t="n">
        <f aca="false">IF(F$81="","",COUNTIFS(데이터_경과구간,$B86,데이터_조치,F$81,데이터_연도,기준연도))</f>
        <v>0</v>
      </c>
      <c r="G86" s="41" t="n">
        <f aca="false">COUNTIFS(데이터_경과구간,$B86,데이터_연도,기준연도)</f>
        <v>0</v>
      </c>
    </row>
    <row r="87" customFormat="false" ht="15" hidden="false" customHeight="false" outlineLevel="0" collapsed="false">
      <c r="B87" s="40" t="s">
        <v>90</v>
      </c>
      <c r="C87" s="27" t="n">
        <f aca="false">IF(C$81="","",COUNTIFS(데이터_경과구간,$B87,데이터_조치,C$81,데이터_연도,기준연도))</f>
        <v>0</v>
      </c>
      <c r="D87" s="27" t="n">
        <f aca="false">IF(D$81="","",COUNTIFS(데이터_경과구간,$B87,데이터_조치,D$81,데이터_연도,기준연도))</f>
        <v>0</v>
      </c>
      <c r="E87" s="27" t="n">
        <f aca="false">IF(E$81="","",COUNTIFS(데이터_경과구간,$B87,데이터_조치,E$81,데이터_연도,기준연도))</f>
        <v>0</v>
      </c>
      <c r="F87" s="27" t="n">
        <f aca="false">IF(F$81="","",COUNTIFS(데이터_경과구간,$B87,데이터_조치,F$81,데이터_연도,기준연도))</f>
        <v>0</v>
      </c>
      <c r="G87" s="41" t="n">
        <f aca="false">COUNTIFS(데이터_경과구간,$B87,데이터_연도,기준연도)</f>
        <v>0</v>
      </c>
    </row>
    <row r="88" customFormat="false" ht="15" hidden="false" customHeight="false" outlineLevel="0" collapsed="false">
      <c r="B88" s="26" t="s">
        <v>91</v>
      </c>
      <c r="C88" s="27" t="n">
        <f aca="false">IF(C$81="","",COUNTIFS(데이터_경과구간,$B88,데이터_조치,C$81,데이터_연도,기준연도))</f>
        <v>0</v>
      </c>
      <c r="D88" s="27" t="n">
        <f aca="false">IF(D$81="","",COUNTIFS(데이터_경과구간,$B88,데이터_조치,D$81,데이터_연도,기준연도))</f>
        <v>0</v>
      </c>
      <c r="E88" s="27" t="n">
        <f aca="false">IF(E$81="","",COUNTIFS(데이터_경과구간,$B88,데이터_조치,E$81,데이터_연도,기준연도))</f>
        <v>0</v>
      </c>
      <c r="F88" s="27" t="n">
        <f aca="false">IF(F$81="","",COUNTIFS(데이터_경과구간,$B88,데이터_조치,F$81,데이터_연도,기준연도))</f>
        <v>0</v>
      </c>
      <c r="G88" s="41" t="n">
        <f aca="false">COUNTIFS(데이터_경과구간,$B88,데이터_연도,기준연도)</f>
        <v>0</v>
      </c>
    </row>
    <row r="89" customFormat="false" ht="15" hidden="false" customHeight="false" outlineLevel="0" collapsed="false">
      <c r="B89" s="26" t="s">
        <v>92</v>
      </c>
      <c r="C89" s="27" t="n">
        <f aca="false">IF(C$81="","",COUNTIFS(데이터_경과구간,$B89,데이터_조치,C$81,데이터_연도,기준연도))</f>
        <v>0</v>
      </c>
      <c r="D89" s="27" t="n">
        <f aca="false">IF(D$81="","",COUNTIFS(데이터_경과구간,$B89,데이터_조치,D$81,데이터_연도,기준연도))</f>
        <v>0</v>
      </c>
      <c r="E89" s="27" t="n">
        <f aca="false">IF(E$81="","",COUNTIFS(데이터_경과구간,$B89,데이터_조치,E$81,데이터_연도,기준연도))</f>
        <v>0</v>
      </c>
      <c r="F89" s="27" t="n">
        <f aca="false">IF(F$81="","",COUNTIFS(데이터_경과구간,$B89,데이터_조치,F$81,데이터_연도,기준연도))</f>
        <v>0</v>
      </c>
      <c r="G89" s="41" t="n">
        <f aca="false">COUNTIFS(데이터_경과구간,$B89,데이터_연도,기준연도)</f>
        <v>2</v>
      </c>
    </row>
    <row r="90" customFormat="false" ht="15" hidden="false" customHeight="false" outlineLevel="0" collapsed="false">
      <c r="B90" s="30" t="s">
        <v>74</v>
      </c>
      <c r="C90" s="31" t="n">
        <f aca="false">SUM(C82:C89)</f>
        <v>0</v>
      </c>
      <c r="D90" s="31" t="n">
        <f aca="false">SUM(D82:D89)</f>
        <v>0</v>
      </c>
      <c r="E90" s="31" t="n">
        <f aca="false">SUM(E82:E89)</f>
        <v>0</v>
      </c>
      <c r="F90" s="31" t="n">
        <f aca="false">SUM(F82:F89)</f>
        <v>0</v>
      </c>
      <c r="G90" s="31" t="n">
        <f aca="false">SUM(G82:G89)</f>
        <v>2</v>
      </c>
    </row>
    <row r="91" customFormat="false" ht="15" hidden="false" customHeight="false" outlineLevel="0" collapsed="false">
      <c r="B91" s="39" t="s">
        <v>93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</sheetData>
  <mergeCells count="33">
    <mergeCell ref="B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M7"/>
    <mergeCell ref="B8:M8"/>
    <mergeCell ref="B24:M24"/>
    <mergeCell ref="B40:M40"/>
    <mergeCell ref="B53:M53"/>
    <mergeCell ref="B55:M55"/>
    <mergeCell ref="B67:M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B80:M80"/>
    <mergeCell ref="B91:M91"/>
  </mergeCells>
  <conditionalFormatting sqref="E10:E22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8">
      <formula>0</formula>
    </cfRule>
  </conditionalFormatting>
  <conditionalFormatting sqref="L42:L51">
    <cfRule type="dataBar" priority="4">
      <dataBar showValue="1" minLength="10" maxLength="90">
        <cfvo type="num" val="0"/>
        <cfvo type="max" val="0"/>
        <color rgb="FF5BA3B0"/>
      </dataBar>
      <extLst>
        <ext xmlns:x14="http://schemas.microsoft.com/office/spreadsheetml/2009/9/main" uri="{B025F937-C7B1-47D3-B67F-A62EFF666E3E}">
          <x14:id>{A01E3DFA-B7D0-4170-8785-30A6E3123618}</x14:id>
        </ext>
      </extLst>
    </cfRule>
  </conditionalFormatting>
  <conditionalFormatting sqref="C57:C64">
    <cfRule type="dataBar" priority="5">
      <dataBar showValue="1" minLength="10" maxLength="90">
        <cfvo type="num" val="0"/>
        <cfvo type="max" val="0"/>
        <color rgb="FF5BA3B0"/>
      </dataBar>
      <extLst>
        <ext xmlns:x14="http://schemas.microsoft.com/office/spreadsheetml/2009/9/main" uri="{B025F937-C7B1-47D3-B67F-A62EFF666E3E}">
          <x14:id>{36558215-1C24-4C65-ADA5-C88851436BD9}</x14:id>
        </ext>
      </extLst>
    </cfRule>
  </conditionalFormatting>
  <conditionalFormatting sqref="F69:F78">
    <cfRule type="dataBar" priority="6">
      <dataBar showValue="1" minLength="10" maxLength="90">
        <cfvo type="num" val="0"/>
        <cfvo type="max" val="0"/>
        <color rgb="FF5BA3B0"/>
      </dataBar>
      <extLst>
        <ext xmlns:x14="http://schemas.microsoft.com/office/spreadsheetml/2009/9/main" uri="{B025F937-C7B1-47D3-B67F-A62EFF666E3E}">
          <x14:id>{D48CA26D-809C-41CE-8E78-9EC0B7A22BC2}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1E3DFA-B7D0-4170-8785-30A6E3123618}">
            <x14:dataBar minLength="10" maxLength="90" axisPosition="none" gradient="true">
              <x14:cfvo type="num">
                <xm:f>0</xm:f>
              </x14:cfvo>
              <x14:cfvo type="max"/>
              <x14:negativeFillColor rgb="FF5BA3B0"/>
              <x14:axisColor rgb="FF000000"/>
            </x14:dataBar>
          </x14:cfRule>
          <xm:sqref>L42:L51</xm:sqref>
        </x14:conditionalFormatting>
        <x14:conditionalFormatting xmlns:xm="http://schemas.microsoft.com/office/excel/2006/main">
          <x14:cfRule type="dataBar" id="{36558215-1C24-4C65-ADA5-C88851436BD9}">
            <x14:dataBar minLength="10" maxLength="90" axisPosition="none" gradient="true">
              <x14:cfvo type="num">
                <xm:f>0</xm:f>
              </x14:cfvo>
              <x14:cfvo type="max"/>
              <x14:negativeFillColor rgb="FF5BA3B0"/>
              <x14:axisColor rgb="FF000000"/>
            </x14:dataBar>
          </x14:cfRule>
          <xm:sqref>C57:C64</xm:sqref>
        </x14:conditionalFormatting>
        <x14:conditionalFormatting xmlns:xm="http://schemas.microsoft.com/office/excel/2006/main">
          <x14:cfRule type="dataBar" id="{D48CA26D-809C-41CE-8E78-9EC0B7A22BC2}">
            <x14:dataBar minLength="10" maxLength="90" axisPosition="none" gradient="true">
              <x14:cfvo type="num">
                <xm:f>0</xm:f>
              </x14:cfvo>
              <x14:cfvo type="max"/>
              <x14:negativeFillColor rgb="FF5BA3B0"/>
              <x14:axisColor rgb="FF000000"/>
            </x14:dataBar>
          </x14:cfRule>
          <xm:sqref>F69:F78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4"/>
  </cols>
  <sheetData>
    <row r="2" customFormat="false" ht="30" hidden="false" customHeight="true" outlineLevel="0" collapsed="false">
      <c r="B2" s="42" t="s">
        <v>94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customFormat="false" ht="15" hidden="false" customHeight="false" outlineLevel="0" collapsed="false">
      <c r="B3" s="18" t="s">
        <v>95</v>
      </c>
    </row>
    <row r="4" customFormat="false" ht="15" hidden="false" customHeight="false" outlineLevel="0" collapsed="false">
      <c r="B4" s="30" t="s">
        <v>96</v>
      </c>
      <c r="C4" s="43"/>
      <c r="D4" s="43"/>
      <c r="F4" s="44" t="s">
        <v>97</v>
      </c>
    </row>
    <row r="5" customFormat="false" ht="15" hidden="false" customHeight="false" outlineLevel="0" collapsed="false">
      <c r="B5" s="30" t="s">
        <v>98</v>
      </c>
      <c r="C5" s="43"/>
      <c r="D5" s="43"/>
    </row>
    <row r="6" customFormat="false" ht="15" hidden="false" customHeight="false" outlineLevel="0" collapsed="false">
      <c r="B6" s="30" t="s">
        <v>35</v>
      </c>
      <c r="C6" s="45"/>
      <c r="D6" s="45"/>
      <c r="F6" s="44" t="s">
        <v>99</v>
      </c>
    </row>
    <row r="7" customFormat="false" ht="15" hidden="false" customHeight="false" outlineLevel="0" collapsed="false">
      <c r="B7" s="30" t="s">
        <v>36</v>
      </c>
      <c r="C7" s="45"/>
      <c r="D7" s="45"/>
    </row>
    <row r="8" customFormat="false" ht="15" hidden="false" customHeight="false" outlineLevel="0" collapsed="false">
      <c r="B8" s="30" t="s">
        <v>37</v>
      </c>
      <c r="C8" s="45"/>
      <c r="D8" s="45"/>
    </row>
    <row r="9" customFormat="false" ht="15" hidden="false" customHeight="false" outlineLevel="0" collapsed="false">
      <c r="B9" s="30" t="s">
        <v>38</v>
      </c>
      <c r="C9" s="45"/>
      <c r="D9" s="45"/>
    </row>
    <row r="10" customFormat="false" ht="15" hidden="false" customHeight="false" outlineLevel="0" collapsed="false">
      <c r="B10" s="30" t="s">
        <v>100</v>
      </c>
      <c r="C10" s="45"/>
      <c r="D10" s="45"/>
      <c r="F10" s="44" t="s">
        <v>101</v>
      </c>
    </row>
    <row r="11" customFormat="false" ht="16.4" hidden="false" customHeight="false" outlineLevel="0" collapsed="false">
      <c r="B11" s="30" t="s">
        <v>102</v>
      </c>
      <c r="C11" s="46" t="n">
        <f aca="false">COUNT(클레임목록!$O$2:$O$2000)</f>
        <v>2</v>
      </c>
      <c r="E11" s="47" t="str">
        <f aca="false">IF(C11&gt;100,"⚠ 100건까지만 표시됩니다. 조건을 좁혀 주세요.","")</f>
        <v/>
      </c>
    </row>
    <row r="13" customFormat="false" ht="15" hidden="false" customHeight="false" outlineLevel="0" collapsed="false">
      <c r="B13" s="7" t="s">
        <v>103</v>
      </c>
      <c r="C13" s="7" t="s">
        <v>33</v>
      </c>
      <c r="D13" s="7" t="s">
        <v>34</v>
      </c>
      <c r="E13" s="7" t="s">
        <v>35</v>
      </c>
      <c r="F13" s="7" t="s">
        <v>36</v>
      </c>
      <c r="G13" s="7" t="s">
        <v>37</v>
      </c>
      <c r="H13" s="7" t="s">
        <v>38</v>
      </c>
      <c r="I13" s="7" t="s">
        <v>39</v>
      </c>
      <c r="J13" s="7" t="s">
        <v>40</v>
      </c>
      <c r="K13" s="7" t="s">
        <v>41</v>
      </c>
      <c r="L13" s="7" t="s">
        <v>42</v>
      </c>
    </row>
    <row r="14" customFormat="false" ht="15" hidden="false" customHeight="false" outlineLevel="0" collapsed="false">
      <c r="B14" s="48" t="n">
        <f aca="false">IF(1&lt;=$C$11,1,"")</f>
        <v>1</v>
      </c>
      <c r="C14" s="49" t="n">
        <f aca="false">IF($B14="","",IF(INDEX(클레임목록!$A$2:$A$2000,MATCH($B14,클레임목록!$O$2:$O$2000,0))="","",INDEX(클레임목록!$A$2:$A$2000,MATCH($B14,클레임목록!$O$2:$O$2000,0))))</f>
        <v>240624</v>
      </c>
      <c r="D14" s="50" t="n">
        <f aca="false">IF($B14="","",IF(INDEX(클레임목록!$B$2:$B$2000,MATCH($B14,클레임목록!$O$2:$O$2000,0))="","",INDEX(클레임목록!$B$2:$B$2000,MATCH($B14,클레임목록!$O$2:$O$2000,0))))</f>
        <v>46036</v>
      </c>
      <c r="E14" s="4" t="str">
        <f aca="false">IF($B14="","",IF(INDEX(클레임목록!$C$2:$C$2000,MATCH($B14,클레임목록!$O$2:$O$2000,0))="","",INDEX(클레임목록!$C$2:$C$2000,MATCH($B14,클레임목록!$O$2:$O$2000,0))))</f>
        <v>유은영</v>
      </c>
      <c r="F14" s="49" t="str">
        <f aca="false">IF($B14="","",IF(INDEX(클레임목록!$D$2:$D$2000,MATCH($B14,클레임목록!$O$2:$O$2000,0))="","",INDEX(클레임목록!$D$2:$D$2000,MATCH($B14,클레임목록!$O$2:$O$2000,0))))</f>
        <v>산모신생아</v>
      </c>
      <c r="G14" s="49" t="str">
        <f aca="false">IF($B14="","",IF(INDEX(클레임목록!$E$2:$E$2000,MATCH($B14,클레임목록!$O$2:$O$2000,0))="","",INDEX(클레임목록!$E$2:$E$2000,MATCH($B14,클레임목록!$O$2:$O$2000,0))))</f>
        <v>전문성</v>
      </c>
      <c r="H14" s="4" t="str">
        <f aca="false">IF($B14="","",IF(INDEX(클레임목록!$F$2:$F$2000,MATCH($B14,클레임목록!$O$2:$O$2000,0))="","",INDEX(클레임목록!$F$2:$F$2000,MATCH($B14,클레임목록!$O$2:$O$2000,0))))</f>
        <v>조기퇴근</v>
      </c>
      <c r="I14" s="4" t="str">
        <f aca="false">IF($B14="","",IF(INDEX(클레임목록!$G$2:$G$2000,MATCH($B14,클레임목록!$O$2:$O$2000,0))="","",INDEX(클레임목록!$G$2:$G$2000,MATCH($B14,클레임목록!$O$2:$O$2000,0))))</f>
        <v>말이 많으심. 성향 안맞아</v>
      </c>
      <c r="J14" s="4" t="str">
        <f aca="false">IF($B14="","",IF(INDEX(클레임목록!$H$2:$H$2000,MATCH($B14,클레임목록!$O$2:$O$2000,0))="","",INDEX(클레임목록!$H$2:$H$2000,MATCH($B14,클레임목록!$O$2:$O$2000,0))))</f>
        <v>26-03 윤푸름</v>
      </c>
      <c r="K14" s="50" t="str">
        <f aca="false">IF($B14="","",IF(INDEX(클레임목록!$I$2:$I$2000,MATCH($B14,클레임목록!$O$2:$O$2000,0))="","",INDEX(클레임목록!$I$2:$I$2000,MATCH($B14,클레임목록!$O$2:$O$2000,0))))</f>
        <v/>
      </c>
      <c r="L14" s="49" t="str">
        <f aca="false">IF($B14="","",IF(INDEX(클레임목록!$J$2:$J$2000,MATCH($B14,클레임목록!$O$2:$O$2000,0))="","",INDEX(클레임목록!$J$2:$J$2000,MATCH($B14,클레임목록!$O$2:$O$2000,0))))</f>
        <v/>
      </c>
    </row>
    <row r="15" customFormat="false" ht="15" hidden="false" customHeight="false" outlineLevel="0" collapsed="false">
      <c r="B15" s="48" t="n">
        <f aca="false">IF(2&lt;=$C$11,2,"")</f>
        <v>2</v>
      </c>
      <c r="C15" s="49" t="n">
        <f aca="false">IF($B15="","",IF(INDEX(클레임목록!$A$2:$A$2000,MATCH($B15,클레임목록!$O$2:$O$2000,0))="","",INDEX(클레임목록!$A$2:$A$2000,MATCH($B15,클레임목록!$O$2:$O$2000,0))))</f>
        <v>102004</v>
      </c>
      <c r="D15" s="50" t="n">
        <f aca="false">IF($B15="","",IF(INDEX(클레임목록!$B$2:$B$2000,MATCH($B15,클레임목록!$O$2:$O$2000,0))="","",INDEX(클레임목록!$B$2:$B$2000,MATCH($B15,클레임목록!$O$2:$O$2000,0))))</f>
        <v>46037</v>
      </c>
      <c r="E15" s="4" t="str">
        <f aca="false">IF($B15="","",IF(INDEX(클레임목록!$C$2:$C$2000,MATCH($B15,클레임목록!$O$2:$O$2000,0))="","",INDEX(클레임목록!$C$2:$C$2000,MATCH($B15,클레임목록!$O$2:$O$2000,0))))</f>
        <v/>
      </c>
      <c r="F15" s="49" t="str">
        <f aca="false">IF($B15="","",IF(INDEX(클레임목록!$D$2:$D$2000,MATCH($B15,클레임목록!$O$2:$O$2000,0))="","",INDEX(클레임목록!$D$2:$D$2000,MATCH($B15,클레임목록!$O$2:$O$2000,0))))</f>
        <v>영유아</v>
      </c>
      <c r="G15" s="49" t="str">
        <f aca="false">IF($B15="","",IF(INDEX(클레임목록!$E$2:$E$2000,MATCH($B15,클레임목록!$O$2:$O$2000,0))="","",INDEX(클레임목록!$E$2:$E$2000,MATCH($B15,클레임목록!$O$2:$O$2000,0))))</f>
        <v>성실성</v>
      </c>
      <c r="H15" s="4" t="str">
        <f aca="false">IF($B15="","",IF(INDEX(클레임목록!$F$2:$F$2000,MATCH($B15,클레임목록!$O$2:$O$2000,0))="","",INDEX(클레임목록!$F$2:$F$2000,MATCH($B15,클레임목록!$O$2:$O$2000,0))))</f>
        <v>휴대폰사용</v>
      </c>
      <c r="I15" s="4" t="str">
        <f aca="false">IF($B15="","",IF(INDEX(클레임목록!$G$2:$G$2000,MATCH($B15,클레임목록!$O$2:$O$2000,0))="","",INDEX(클레임목록!$G$2:$G$2000,MATCH($B15,클레임목록!$O$2:$O$2000,0))))</f>
        <v/>
      </c>
      <c r="J15" s="4" t="str">
        <f aca="false">IF($B15="","",IF(INDEX(클레임목록!$H$2:$H$2000,MATCH($B15,클레임목록!$O$2:$O$2000,0))="","",INDEX(클레임목록!$H$2:$H$2000,MATCH($B15,클레임목록!$O$2:$O$2000,0))))</f>
        <v>26-42 변영애</v>
      </c>
      <c r="K15" s="50" t="str">
        <f aca="false">IF($B15="","",IF(INDEX(클레임목록!$I$2:$I$2000,MATCH($B15,클레임목록!$O$2:$O$2000,0))="","",INDEX(클레임목록!$I$2:$I$2000,MATCH($B15,클레임목록!$O$2:$O$2000,0))))</f>
        <v/>
      </c>
      <c r="L15" s="49" t="str">
        <f aca="false">IF($B15="","",IF(INDEX(클레임목록!$J$2:$J$2000,MATCH($B15,클레임목록!$O$2:$O$2000,0))="","",INDEX(클레임목록!$J$2:$J$2000,MATCH($B15,클레임목록!$O$2:$O$2000,0))))</f>
        <v/>
      </c>
    </row>
    <row r="16" customFormat="false" ht="15" hidden="false" customHeight="false" outlineLevel="0" collapsed="false">
      <c r="B16" s="48" t="str">
        <f aca="false">IF(3&lt;=$C$11,3,"")</f>
        <v/>
      </c>
      <c r="C16" s="49" t="str">
        <f aca="false">IF($B16="","",IF(INDEX(클레임목록!$A$2:$A$2000,MATCH($B16,클레임목록!$O$2:$O$2000,0))="","",INDEX(클레임목록!$A$2:$A$2000,MATCH($B16,클레임목록!$O$2:$O$2000,0))))</f>
        <v/>
      </c>
      <c r="D16" s="50" t="str">
        <f aca="false">IF($B16="","",IF(INDEX(클레임목록!$B$2:$B$2000,MATCH($B16,클레임목록!$O$2:$O$2000,0))="","",INDEX(클레임목록!$B$2:$B$2000,MATCH($B16,클레임목록!$O$2:$O$2000,0))))</f>
        <v/>
      </c>
      <c r="E16" s="4" t="str">
        <f aca="false">IF($B16="","",IF(INDEX(클레임목록!$C$2:$C$2000,MATCH($B16,클레임목록!$O$2:$O$2000,0))="","",INDEX(클레임목록!$C$2:$C$2000,MATCH($B16,클레임목록!$O$2:$O$2000,0))))</f>
        <v/>
      </c>
      <c r="F16" s="49" t="str">
        <f aca="false">IF($B16="","",IF(INDEX(클레임목록!$D$2:$D$2000,MATCH($B16,클레임목록!$O$2:$O$2000,0))="","",INDEX(클레임목록!$D$2:$D$2000,MATCH($B16,클레임목록!$O$2:$O$2000,0))))</f>
        <v/>
      </c>
      <c r="G16" s="49" t="str">
        <f aca="false">IF($B16="","",IF(INDEX(클레임목록!$E$2:$E$2000,MATCH($B16,클레임목록!$O$2:$O$2000,0))="","",INDEX(클레임목록!$E$2:$E$2000,MATCH($B16,클레임목록!$O$2:$O$2000,0))))</f>
        <v/>
      </c>
      <c r="H16" s="4" t="str">
        <f aca="false">IF($B16="","",IF(INDEX(클레임목록!$F$2:$F$2000,MATCH($B16,클레임목록!$O$2:$O$2000,0))="","",INDEX(클레임목록!$F$2:$F$2000,MATCH($B16,클레임목록!$O$2:$O$2000,0))))</f>
        <v/>
      </c>
      <c r="I16" s="4" t="str">
        <f aca="false">IF($B16="","",IF(INDEX(클레임목록!$G$2:$G$2000,MATCH($B16,클레임목록!$O$2:$O$2000,0))="","",INDEX(클레임목록!$G$2:$G$2000,MATCH($B16,클레임목록!$O$2:$O$2000,0))))</f>
        <v/>
      </c>
      <c r="J16" s="4" t="str">
        <f aca="false">IF($B16="","",IF(INDEX(클레임목록!$H$2:$H$2000,MATCH($B16,클레임목록!$O$2:$O$2000,0))="","",INDEX(클레임목록!$H$2:$H$2000,MATCH($B16,클레임목록!$O$2:$O$2000,0))))</f>
        <v/>
      </c>
      <c r="K16" s="50" t="str">
        <f aca="false">IF($B16="","",IF(INDEX(클레임목록!$I$2:$I$2000,MATCH($B16,클레임목록!$O$2:$O$2000,0))="","",INDEX(클레임목록!$I$2:$I$2000,MATCH($B16,클레임목록!$O$2:$O$2000,0))))</f>
        <v/>
      </c>
      <c r="L16" s="49" t="str">
        <f aca="false">IF($B16="","",IF(INDEX(클레임목록!$J$2:$J$2000,MATCH($B16,클레임목록!$O$2:$O$2000,0))="","",INDEX(클레임목록!$J$2:$J$2000,MATCH($B16,클레임목록!$O$2:$O$2000,0))))</f>
        <v/>
      </c>
    </row>
    <row r="17" customFormat="false" ht="15" hidden="false" customHeight="false" outlineLevel="0" collapsed="false">
      <c r="B17" s="48" t="str">
        <f aca="false">IF(4&lt;=$C$11,4,"")</f>
        <v/>
      </c>
      <c r="C17" s="49" t="str">
        <f aca="false">IF($B17="","",IF(INDEX(클레임목록!$A$2:$A$2000,MATCH($B17,클레임목록!$O$2:$O$2000,0))="","",INDEX(클레임목록!$A$2:$A$2000,MATCH($B17,클레임목록!$O$2:$O$2000,0))))</f>
        <v/>
      </c>
      <c r="D17" s="50" t="str">
        <f aca="false">IF($B17="","",IF(INDEX(클레임목록!$B$2:$B$2000,MATCH($B17,클레임목록!$O$2:$O$2000,0))="","",INDEX(클레임목록!$B$2:$B$2000,MATCH($B17,클레임목록!$O$2:$O$2000,0))))</f>
        <v/>
      </c>
      <c r="E17" s="4" t="str">
        <f aca="false">IF($B17="","",IF(INDEX(클레임목록!$C$2:$C$2000,MATCH($B17,클레임목록!$O$2:$O$2000,0))="","",INDEX(클레임목록!$C$2:$C$2000,MATCH($B17,클레임목록!$O$2:$O$2000,0))))</f>
        <v/>
      </c>
      <c r="F17" s="49" t="str">
        <f aca="false">IF($B17="","",IF(INDEX(클레임목록!$D$2:$D$2000,MATCH($B17,클레임목록!$O$2:$O$2000,0))="","",INDEX(클레임목록!$D$2:$D$2000,MATCH($B17,클레임목록!$O$2:$O$2000,0))))</f>
        <v/>
      </c>
      <c r="G17" s="49" t="str">
        <f aca="false">IF($B17="","",IF(INDEX(클레임목록!$E$2:$E$2000,MATCH($B17,클레임목록!$O$2:$O$2000,0))="","",INDEX(클레임목록!$E$2:$E$2000,MATCH($B17,클레임목록!$O$2:$O$2000,0))))</f>
        <v/>
      </c>
      <c r="H17" s="4" t="str">
        <f aca="false">IF($B17="","",IF(INDEX(클레임목록!$F$2:$F$2000,MATCH($B17,클레임목록!$O$2:$O$2000,0))="","",INDEX(클레임목록!$F$2:$F$2000,MATCH($B17,클레임목록!$O$2:$O$2000,0))))</f>
        <v/>
      </c>
      <c r="I17" s="4" t="str">
        <f aca="false">IF($B17="","",IF(INDEX(클레임목록!$G$2:$G$2000,MATCH($B17,클레임목록!$O$2:$O$2000,0))="","",INDEX(클레임목록!$G$2:$G$2000,MATCH($B17,클레임목록!$O$2:$O$2000,0))))</f>
        <v/>
      </c>
      <c r="J17" s="4" t="str">
        <f aca="false">IF($B17="","",IF(INDEX(클레임목록!$H$2:$H$2000,MATCH($B17,클레임목록!$O$2:$O$2000,0))="","",INDEX(클레임목록!$H$2:$H$2000,MATCH($B17,클레임목록!$O$2:$O$2000,0))))</f>
        <v/>
      </c>
      <c r="K17" s="50" t="str">
        <f aca="false">IF($B17="","",IF(INDEX(클레임목록!$I$2:$I$2000,MATCH($B17,클레임목록!$O$2:$O$2000,0))="","",INDEX(클레임목록!$I$2:$I$2000,MATCH($B17,클레임목록!$O$2:$O$2000,0))))</f>
        <v/>
      </c>
      <c r="L17" s="49" t="str">
        <f aca="false">IF($B17="","",IF(INDEX(클레임목록!$J$2:$J$2000,MATCH($B17,클레임목록!$O$2:$O$2000,0))="","",INDEX(클레임목록!$J$2:$J$2000,MATCH($B17,클레임목록!$O$2:$O$2000,0))))</f>
        <v/>
      </c>
    </row>
    <row r="18" customFormat="false" ht="15" hidden="false" customHeight="false" outlineLevel="0" collapsed="false">
      <c r="B18" s="48" t="str">
        <f aca="false">IF(5&lt;=$C$11,5,"")</f>
        <v/>
      </c>
      <c r="C18" s="49" t="str">
        <f aca="false">IF($B18="","",IF(INDEX(클레임목록!$A$2:$A$2000,MATCH($B18,클레임목록!$O$2:$O$2000,0))="","",INDEX(클레임목록!$A$2:$A$2000,MATCH($B18,클레임목록!$O$2:$O$2000,0))))</f>
        <v/>
      </c>
      <c r="D18" s="50" t="str">
        <f aca="false">IF($B18="","",IF(INDEX(클레임목록!$B$2:$B$2000,MATCH($B18,클레임목록!$O$2:$O$2000,0))="","",INDEX(클레임목록!$B$2:$B$2000,MATCH($B18,클레임목록!$O$2:$O$2000,0))))</f>
        <v/>
      </c>
      <c r="E18" s="4" t="str">
        <f aca="false">IF($B18="","",IF(INDEX(클레임목록!$C$2:$C$2000,MATCH($B18,클레임목록!$O$2:$O$2000,0))="","",INDEX(클레임목록!$C$2:$C$2000,MATCH($B18,클레임목록!$O$2:$O$2000,0))))</f>
        <v/>
      </c>
      <c r="F18" s="49" t="str">
        <f aca="false">IF($B18="","",IF(INDEX(클레임목록!$D$2:$D$2000,MATCH($B18,클레임목록!$O$2:$O$2000,0))="","",INDEX(클레임목록!$D$2:$D$2000,MATCH($B18,클레임목록!$O$2:$O$2000,0))))</f>
        <v/>
      </c>
      <c r="G18" s="49" t="str">
        <f aca="false">IF($B18="","",IF(INDEX(클레임목록!$E$2:$E$2000,MATCH($B18,클레임목록!$O$2:$O$2000,0))="","",INDEX(클레임목록!$E$2:$E$2000,MATCH($B18,클레임목록!$O$2:$O$2000,0))))</f>
        <v/>
      </c>
      <c r="H18" s="4" t="str">
        <f aca="false">IF($B18="","",IF(INDEX(클레임목록!$F$2:$F$2000,MATCH($B18,클레임목록!$O$2:$O$2000,0))="","",INDEX(클레임목록!$F$2:$F$2000,MATCH($B18,클레임목록!$O$2:$O$2000,0))))</f>
        <v/>
      </c>
      <c r="I18" s="4" t="str">
        <f aca="false">IF($B18="","",IF(INDEX(클레임목록!$G$2:$G$2000,MATCH($B18,클레임목록!$O$2:$O$2000,0))="","",INDEX(클레임목록!$G$2:$G$2000,MATCH($B18,클레임목록!$O$2:$O$2000,0))))</f>
        <v/>
      </c>
      <c r="J18" s="4" t="str">
        <f aca="false">IF($B18="","",IF(INDEX(클레임목록!$H$2:$H$2000,MATCH($B18,클레임목록!$O$2:$O$2000,0))="","",INDEX(클레임목록!$H$2:$H$2000,MATCH($B18,클레임목록!$O$2:$O$2000,0))))</f>
        <v/>
      </c>
      <c r="K18" s="50" t="str">
        <f aca="false">IF($B18="","",IF(INDEX(클레임목록!$I$2:$I$2000,MATCH($B18,클레임목록!$O$2:$O$2000,0))="","",INDEX(클레임목록!$I$2:$I$2000,MATCH($B18,클레임목록!$O$2:$O$2000,0))))</f>
        <v/>
      </c>
      <c r="L18" s="49" t="str">
        <f aca="false">IF($B18="","",IF(INDEX(클레임목록!$J$2:$J$2000,MATCH($B18,클레임목록!$O$2:$O$2000,0))="","",INDEX(클레임목록!$J$2:$J$2000,MATCH($B18,클레임목록!$O$2:$O$2000,0))))</f>
        <v/>
      </c>
    </row>
    <row r="19" customFormat="false" ht="15" hidden="false" customHeight="false" outlineLevel="0" collapsed="false">
      <c r="B19" s="48" t="str">
        <f aca="false">IF(6&lt;=$C$11,6,"")</f>
        <v/>
      </c>
      <c r="C19" s="49" t="str">
        <f aca="false">IF($B19="","",IF(INDEX(클레임목록!$A$2:$A$2000,MATCH($B19,클레임목록!$O$2:$O$2000,0))="","",INDEX(클레임목록!$A$2:$A$2000,MATCH($B19,클레임목록!$O$2:$O$2000,0))))</f>
        <v/>
      </c>
      <c r="D19" s="50" t="str">
        <f aca="false">IF($B19="","",IF(INDEX(클레임목록!$B$2:$B$2000,MATCH($B19,클레임목록!$O$2:$O$2000,0))="","",INDEX(클레임목록!$B$2:$B$2000,MATCH($B19,클레임목록!$O$2:$O$2000,0))))</f>
        <v/>
      </c>
      <c r="E19" s="4" t="str">
        <f aca="false">IF($B19="","",IF(INDEX(클레임목록!$C$2:$C$2000,MATCH($B19,클레임목록!$O$2:$O$2000,0))="","",INDEX(클레임목록!$C$2:$C$2000,MATCH($B19,클레임목록!$O$2:$O$2000,0))))</f>
        <v/>
      </c>
      <c r="F19" s="49" t="str">
        <f aca="false">IF($B19="","",IF(INDEX(클레임목록!$D$2:$D$2000,MATCH($B19,클레임목록!$O$2:$O$2000,0))="","",INDEX(클레임목록!$D$2:$D$2000,MATCH($B19,클레임목록!$O$2:$O$2000,0))))</f>
        <v/>
      </c>
      <c r="G19" s="49" t="str">
        <f aca="false">IF($B19="","",IF(INDEX(클레임목록!$E$2:$E$2000,MATCH($B19,클레임목록!$O$2:$O$2000,0))="","",INDEX(클레임목록!$E$2:$E$2000,MATCH($B19,클레임목록!$O$2:$O$2000,0))))</f>
        <v/>
      </c>
      <c r="H19" s="4" t="str">
        <f aca="false">IF($B19="","",IF(INDEX(클레임목록!$F$2:$F$2000,MATCH($B19,클레임목록!$O$2:$O$2000,0))="","",INDEX(클레임목록!$F$2:$F$2000,MATCH($B19,클레임목록!$O$2:$O$2000,0))))</f>
        <v/>
      </c>
      <c r="I19" s="4" t="str">
        <f aca="false">IF($B19="","",IF(INDEX(클레임목록!$G$2:$G$2000,MATCH($B19,클레임목록!$O$2:$O$2000,0))="","",INDEX(클레임목록!$G$2:$G$2000,MATCH($B19,클레임목록!$O$2:$O$2000,0))))</f>
        <v/>
      </c>
      <c r="J19" s="4" t="str">
        <f aca="false">IF($B19="","",IF(INDEX(클레임목록!$H$2:$H$2000,MATCH($B19,클레임목록!$O$2:$O$2000,0))="","",INDEX(클레임목록!$H$2:$H$2000,MATCH($B19,클레임목록!$O$2:$O$2000,0))))</f>
        <v/>
      </c>
      <c r="K19" s="50" t="str">
        <f aca="false">IF($B19="","",IF(INDEX(클레임목록!$I$2:$I$2000,MATCH($B19,클레임목록!$O$2:$O$2000,0))="","",INDEX(클레임목록!$I$2:$I$2000,MATCH($B19,클레임목록!$O$2:$O$2000,0))))</f>
        <v/>
      </c>
      <c r="L19" s="49" t="str">
        <f aca="false">IF($B19="","",IF(INDEX(클레임목록!$J$2:$J$2000,MATCH($B19,클레임목록!$O$2:$O$2000,0))="","",INDEX(클레임목록!$J$2:$J$2000,MATCH($B19,클레임목록!$O$2:$O$2000,0))))</f>
        <v/>
      </c>
    </row>
    <row r="20" customFormat="false" ht="15" hidden="false" customHeight="false" outlineLevel="0" collapsed="false">
      <c r="B20" s="48" t="str">
        <f aca="false">IF(7&lt;=$C$11,7,"")</f>
        <v/>
      </c>
      <c r="C20" s="49" t="str">
        <f aca="false">IF($B20="","",IF(INDEX(클레임목록!$A$2:$A$2000,MATCH($B20,클레임목록!$O$2:$O$2000,0))="","",INDEX(클레임목록!$A$2:$A$2000,MATCH($B20,클레임목록!$O$2:$O$2000,0))))</f>
        <v/>
      </c>
      <c r="D20" s="50" t="str">
        <f aca="false">IF($B20="","",IF(INDEX(클레임목록!$B$2:$B$2000,MATCH($B20,클레임목록!$O$2:$O$2000,0))="","",INDEX(클레임목록!$B$2:$B$2000,MATCH($B20,클레임목록!$O$2:$O$2000,0))))</f>
        <v/>
      </c>
      <c r="E20" s="4" t="str">
        <f aca="false">IF($B20="","",IF(INDEX(클레임목록!$C$2:$C$2000,MATCH($B20,클레임목록!$O$2:$O$2000,0))="","",INDEX(클레임목록!$C$2:$C$2000,MATCH($B20,클레임목록!$O$2:$O$2000,0))))</f>
        <v/>
      </c>
      <c r="F20" s="49" t="str">
        <f aca="false">IF($B20="","",IF(INDEX(클레임목록!$D$2:$D$2000,MATCH($B20,클레임목록!$O$2:$O$2000,0))="","",INDEX(클레임목록!$D$2:$D$2000,MATCH($B20,클레임목록!$O$2:$O$2000,0))))</f>
        <v/>
      </c>
      <c r="G20" s="49" t="str">
        <f aca="false">IF($B20="","",IF(INDEX(클레임목록!$E$2:$E$2000,MATCH($B20,클레임목록!$O$2:$O$2000,0))="","",INDEX(클레임목록!$E$2:$E$2000,MATCH($B20,클레임목록!$O$2:$O$2000,0))))</f>
        <v/>
      </c>
      <c r="H20" s="4" t="str">
        <f aca="false">IF($B20="","",IF(INDEX(클레임목록!$F$2:$F$2000,MATCH($B20,클레임목록!$O$2:$O$2000,0))="","",INDEX(클레임목록!$F$2:$F$2000,MATCH($B20,클레임목록!$O$2:$O$2000,0))))</f>
        <v/>
      </c>
      <c r="I20" s="4" t="str">
        <f aca="false">IF($B20="","",IF(INDEX(클레임목록!$G$2:$G$2000,MATCH($B20,클레임목록!$O$2:$O$2000,0))="","",INDEX(클레임목록!$G$2:$G$2000,MATCH($B20,클레임목록!$O$2:$O$2000,0))))</f>
        <v/>
      </c>
      <c r="J20" s="4" t="str">
        <f aca="false">IF($B20="","",IF(INDEX(클레임목록!$H$2:$H$2000,MATCH($B20,클레임목록!$O$2:$O$2000,0))="","",INDEX(클레임목록!$H$2:$H$2000,MATCH($B20,클레임목록!$O$2:$O$2000,0))))</f>
        <v/>
      </c>
      <c r="K20" s="50" t="str">
        <f aca="false">IF($B20="","",IF(INDEX(클레임목록!$I$2:$I$2000,MATCH($B20,클레임목록!$O$2:$O$2000,0))="","",INDEX(클레임목록!$I$2:$I$2000,MATCH($B20,클레임목록!$O$2:$O$2000,0))))</f>
        <v/>
      </c>
      <c r="L20" s="49" t="str">
        <f aca="false">IF($B20="","",IF(INDEX(클레임목록!$J$2:$J$2000,MATCH($B20,클레임목록!$O$2:$O$2000,0))="","",INDEX(클레임목록!$J$2:$J$2000,MATCH($B20,클레임목록!$O$2:$O$2000,0))))</f>
        <v/>
      </c>
    </row>
    <row r="21" customFormat="false" ht="15" hidden="false" customHeight="false" outlineLevel="0" collapsed="false">
      <c r="B21" s="48" t="str">
        <f aca="false">IF(8&lt;=$C$11,8,"")</f>
        <v/>
      </c>
      <c r="C21" s="49" t="str">
        <f aca="false">IF($B21="","",IF(INDEX(클레임목록!$A$2:$A$2000,MATCH($B21,클레임목록!$O$2:$O$2000,0))="","",INDEX(클레임목록!$A$2:$A$2000,MATCH($B21,클레임목록!$O$2:$O$2000,0))))</f>
        <v/>
      </c>
      <c r="D21" s="50" t="str">
        <f aca="false">IF($B21="","",IF(INDEX(클레임목록!$B$2:$B$2000,MATCH($B21,클레임목록!$O$2:$O$2000,0))="","",INDEX(클레임목록!$B$2:$B$2000,MATCH($B21,클레임목록!$O$2:$O$2000,0))))</f>
        <v/>
      </c>
      <c r="E21" s="4" t="str">
        <f aca="false">IF($B21="","",IF(INDEX(클레임목록!$C$2:$C$2000,MATCH($B21,클레임목록!$O$2:$O$2000,0))="","",INDEX(클레임목록!$C$2:$C$2000,MATCH($B21,클레임목록!$O$2:$O$2000,0))))</f>
        <v/>
      </c>
      <c r="F21" s="49" t="str">
        <f aca="false">IF($B21="","",IF(INDEX(클레임목록!$D$2:$D$2000,MATCH($B21,클레임목록!$O$2:$O$2000,0))="","",INDEX(클레임목록!$D$2:$D$2000,MATCH($B21,클레임목록!$O$2:$O$2000,0))))</f>
        <v/>
      </c>
      <c r="G21" s="49" t="str">
        <f aca="false">IF($B21="","",IF(INDEX(클레임목록!$E$2:$E$2000,MATCH($B21,클레임목록!$O$2:$O$2000,0))="","",INDEX(클레임목록!$E$2:$E$2000,MATCH($B21,클레임목록!$O$2:$O$2000,0))))</f>
        <v/>
      </c>
      <c r="H21" s="4" t="str">
        <f aca="false">IF($B21="","",IF(INDEX(클레임목록!$F$2:$F$2000,MATCH($B21,클레임목록!$O$2:$O$2000,0))="","",INDEX(클레임목록!$F$2:$F$2000,MATCH($B21,클레임목록!$O$2:$O$2000,0))))</f>
        <v/>
      </c>
      <c r="I21" s="4" t="str">
        <f aca="false">IF($B21="","",IF(INDEX(클레임목록!$G$2:$G$2000,MATCH($B21,클레임목록!$O$2:$O$2000,0))="","",INDEX(클레임목록!$G$2:$G$2000,MATCH($B21,클레임목록!$O$2:$O$2000,0))))</f>
        <v/>
      </c>
      <c r="J21" s="4" t="str">
        <f aca="false">IF($B21="","",IF(INDEX(클레임목록!$H$2:$H$2000,MATCH($B21,클레임목록!$O$2:$O$2000,0))="","",INDEX(클레임목록!$H$2:$H$2000,MATCH($B21,클레임목록!$O$2:$O$2000,0))))</f>
        <v/>
      </c>
      <c r="K21" s="50" t="str">
        <f aca="false">IF($B21="","",IF(INDEX(클레임목록!$I$2:$I$2000,MATCH($B21,클레임목록!$O$2:$O$2000,0))="","",INDEX(클레임목록!$I$2:$I$2000,MATCH($B21,클레임목록!$O$2:$O$2000,0))))</f>
        <v/>
      </c>
      <c r="L21" s="49" t="str">
        <f aca="false">IF($B21="","",IF(INDEX(클레임목록!$J$2:$J$2000,MATCH($B21,클레임목록!$O$2:$O$2000,0))="","",INDEX(클레임목록!$J$2:$J$2000,MATCH($B21,클레임목록!$O$2:$O$2000,0))))</f>
        <v/>
      </c>
    </row>
    <row r="22" customFormat="false" ht="15" hidden="false" customHeight="false" outlineLevel="0" collapsed="false">
      <c r="B22" s="48" t="str">
        <f aca="false">IF(9&lt;=$C$11,9,"")</f>
        <v/>
      </c>
      <c r="C22" s="49" t="str">
        <f aca="false">IF($B22="","",IF(INDEX(클레임목록!$A$2:$A$2000,MATCH($B22,클레임목록!$O$2:$O$2000,0))="","",INDEX(클레임목록!$A$2:$A$2000,MATCH($B22,클레임목록!$O$2:$O$2000,0))))</f>
        <v/>
      </c>
      <c r="D22" s="50" t="str">
        <f aca="false">IF($B22="","",IF(INDEX(클레임목록!$B$2:$B$2000,MATCH($B22,클레임목록!$O$2:$O$2000,0))="","",INDEX(클레임목록!$B$2:$B$2000,MATCH($B22,클레임목록!$O$2:$O$2000,0))))</f>
        <v/>
      </c>
      <c r="E22" s="4" t="str">
        <f aca="false">IF($B22="","",IF(INDEX(클레임목록!$C$2:$C$2000,MATCH($B22,클레임목록!$O$2:$O$2000,0))="","",INDEX(클레임목록!$C$2:$C$2000,MATCH($B22,클레임목록!$O$2:$O$2000,0))))</f>
        <v/>
      </c>
      <c r="F22" s="49" t="str">
        <f aca="false">IF($B22="","",IF(INDEX(클레임목록!$D$2:$D$2000,MATCH($B22,클레임목록!$O$2:$O$2000,0))="","",INDEX(클레임목록!$D$2:$D$2000,MATCH($B22,클레임목록!$O$2:$O$2000,0))))</f>
        <v/>
      </c>
      <c r="G22" s="49" t="str">
        <f aca="false">IF($B22="","",IF(INDEX(클레임목록!$E$2:$E$2000,MATCH($B22,클레임목록!$O$2:$O$2000,0))="","",INDEX(클레임목록!$E$2:$E$2000,MATCH($B22,클레임목록!$O$2:$O$2000,0))))</f>
        <v/>
      </c>
      <c r="H22" s="4" t="str">
        <f aca="false">IF($B22="","",IF(INDEX(클레임목록!$F$2:$F$2000,MATCH($B22,클레임목록!$O$2:$O$2000,0))="","",INDEX(클레임목록!$F$2:$F$2000,MATCH($B22,클레임목록!$O$2:$O$2000,0))))</f>
        <v/>
      </c>
      <c r="I22" s="4" t="str">
        <f aca="false">IF($B22="","",IF(INDEX(클레임목록!$G$2:$G$2000,MATCH($B22,클레임목록!$O$2:$O$2000,0))="","",INDEX(클레임목록!$G$2:$G$2000,MATCH($B22,클레임목록!$O$2:$O$2000,0))))</f>
        <v/>
      </c>
      <c r="J22" s="4" t="str">
        <f aca="false">IF($B22="","",IF(INDEX(클레임목록!$H$2:$H$2000,MATCH($B22,클레임목록!$O$2:$O$2000,0))="","",INDEX(클레임목록!$H$2:$H$2000,MATCH($B22,클레임목록!$O$2:$O$2000,0))))</f>
        <v/>
      </c>
      <c r="K22" s="50" t="str">
        <f aca="false">IF($B22="","",IF(INDEX(클레임목록!$I$2:$I$2000,MATCH($B22,클레임목록!$O$2:$O$2000,0))="","",INDEX(클레임목록!$I$2:$I$2000,MATCH($B22,클레임목록!$O$2:$O$2000,0))))</f>
        <v/>
      </c>
      <c r="L22" s="49" t="str">
        <f aca="false">IF($B22="","",IF(INDEX(클레임목록!$J$2:$J$2000,MATCH($B22,클레임목록!$O$2:$O$2000,0))="","",INDEX(클레임목록!$J$2:$J$2000,MATCH($B22,클레임목록!$O$2:$O$2000,0))))</f>
        <v/>
      </c>
    </row>
    <row r="23" customFormat="false" ht="15" hidden="false" customHeight="false" outlineLevel="0" collapsed="false">
      <c r="B23" s="48" t="str">
        <f aca="false">IF(10&lt;=$C$11,10,"")</f>
        <v/>
      </c>
      <c r="C23" s="49" t="str">
        <f aca="false">IF($B23="","",IF(INDEX(클레임목록!$A$2:$A$2000,MATCH($B23,클레임목록!$O$2:$O$2000,0))="","",INDEX(클레임목록!$A$2:$A$2000,MATCH($B23,클레임목록!$O$2:$O$2000,0))))</f>
        <v/>
      </c>
      <c r="D23" s="50" t="str">
        <f aca="false">IF($B23="","",IF(INDEX(클레임목록!$B$2:$B$2000,MATCH($B23,클레임목록!$O$2:$O$2000,0))="","",INDEX(클레임목록!$B$2:$B$2000,MATCH($B23,클레임목록!$O$2:$O$2000,0))))</f>
        <v/>
      </c>
      <c r="E23" s="4" t="str">
        <f aca="false">IF($B23="","",IF(INDEX(클레임목록!$C$2:$C$2000,MATCH($B23,클레임목록!$O$2:$O$2000,0))="","",INDEX(클레임목록!$C$2:$C$2000,MATCH($B23,클레임목록!$O$2:$O$2000,0))))</f>
        <v/>
      </c>
      <c r="F23" s="49" t="str">
        <f aca="false">IF($B23="","",IF(INDEX(클레임목록!$D$2:$D$2000,MATCH($B23,클레임목록!$O$2:$O$2000,0))="","",INDEX(클레임목록!$D$2:$D$2000,MATCH($B23,클레임목록!$O$2:$O$2000,0))))</f>
        <v/>
      </c>
      <c r="G23" s="49" t="str">
        <f aca="false">IF($B23="","",IF(INDEX(클레임목록!$E$2:$E$2000,MATCH($B23,클레임목록!$O$2:$O$2000,0))="","",INDEX(클레임목록!$E$2:$E$2000,MATCH($B23,클레임목록!$O$2:$O$2000,0))))</f>
        <v/>
      </c>
      <c r="H23" s="4" t="str">
        <f aca="false">IF($B23="","",IF(INDEX(클레임목록!$F$2:$F$2000,MATCH($B23,클레임목록!$O$2:$O$2000,0))="","",INDEX(클레임목록!$F$2:$F$2000,MATCH($B23,클레임목록!$O$2:$O$2000,0))))</f>
        <v/>
      </c>
      <c r="I23" s="4" t="str">
        <f aca="false">IF($B23="","",IF(INDEX(클레임목록!$G$2:$G$2000,MATCH($B23,클레임목록!$O$2:$O$2000,0))="","",INDEX(클레임목록!$G$2:$G$2000,MATCH($B23,클레임목록!$O$2:$O$2000,0))))</f>
        <v/>
      </c>
      <c r="J23" s="4" t="str">
        <f aca="false">IF($B23="","",IF(INDEX(클레임목록!$H$2:$H$2000,MATCH($B23,클레임목록!$O$2:$O$2000,0))="","",INDEX(클레임목록!$H$2:$H$2000,MATCH($B23,클레임목록!$O$2:$O$2000,0))))</f>
        <v/>
      </c>
      <c r="K23" s="50" t="str">
        <f aca="false">IF($B23="","",IF(INDEX(클레임목록!$I$2:$I$2000,MATCH($B23,클레임목록!$O$2:$O$2000,0))="","",INDEX(클레임목록!$I$2:$I$2000,MATCH($B23,클레임목록!$O$2:$O$2000,0))))</f>
        <v/>
      </c>
      <c r="L23" s="49" t="str">
        <f aca="false">IF($B23="","",IF(INDEX(클레임목록!$J$2:$J$2000,MATCH($B23,클레임목록!$O$2:$O$2000,0))="","",INDEX(클레임목록!$J$2:$J$2000,MATCH($B23,클레임목록!$O$2:$O$2000,0))))</f>
        <v/>
      </c>
    </row>
    <row r="24" customFormat="false" ht="15" hidden="false" customHeight="false" outlineLevel="0" collapsed="false">
      <c r="B24" s="48" t="str">
        <f aca="false">IF(11&lt;=$C$11,11,"")</f>
        <v/>
      </c>
      <c r="C24" s="49" t="str">
        <f aca="false">IF($B24="","",IF(INDEX(클레임목록!$A$2:$A$2000,MATCH($B24,클레임목록!$O$2:$O$2000,0))="","",INDEX(클레임목록!$A$2:$A$2000,MATCH($B24,클레임목록!$O$2:$O$2000,0))))</f>
        <v/>
      </c>
      <c r="D24" s="50" t="str">
        <f aca="false">IF($B24="","",IF(INDEX(클레임목록!$B$2:$B$2000,MATCH($B24,클레임목록!$O$2:$O$2000,0))="","",INDEX(클레임목록!$B$2:$B$2000,MATCH($B24,클레임목록!$O$2:$O$2000,0))))</f>
        <v/>
      </c>
      <c r="E24" s="4" t="str">
        <f aca="false">IF($B24="","",IF(INDEX(클레임목록!$C$2:$C$2000,MATCH($B24,클레임목록!$O$2:$O$2000,0))="","",INDEX(클레임목록!$C$2:$C$2000,MATCH($B24,클레임목록!$O$2:$O$2000,0))))</f>
        <v/>
      </c>
      <c r="F24" s="49" t="str">
        <f aca="false">IF($B24="","",IF(INDEX(클레임목록!$D$2:$D$2000,MATCH($B24,클레임목록!$O$2:$O$2000,0))="","",INDEX(클레임목록!$D$2:$D$2000,MATCH($B24,클레임목록!$O$2:$O$2000,0))))</f>
        <v/>
      </c>
      <c r="G24" s="49" t="str">
        <f aca="false">IF($B24="","",IF(INDEX(클레임목록!$E$2:$E$2000,MATCH($B24,클레임목록!$O$2:$O$2000,0))="","",INDEX(클레임목록!$E$2:$E$2000,MATCH($B24,클레임목록!$O$2:$O$2000,0))))</f>
        <v/>
      </c>
      <c r="H24" s="4" t="str">
        <f aca="false">IF($B24="","",IF(INDEX(클레임목록!$F$2:$F$2000,MATCH($B24,클레임목록!$O$2:$O$2000,0))="","",INDEX(클레임목록!$F$2:$F$2000,MATCH($B24,클레임목록!$O$2:$O$2000,0))))</f>
        <v/>
      </c>
      <c r="I24" s="4" t="str">
        <f aca="false">IF($B24="","",IF(INDEX(클레임목록!$G$2:$G$2000,MATCH($B24,클레임목록!$O$2:$O$2000,0))="","",INDEX(클레임목록!$G$2:$G$2000,MATCH($B24,클레임목록!$O$2:$O$2000,0))))</f>
        <v/>
      </c>
      <c r="J24" s="4" t="str">
        <f aca="false">IF($B24="","",IF(INDEX(클레임목록!$H$2:$H$2000,MATCH($B24,클레임목록!$O$2:$O$2000,0))="","",INDEX(클레임목록!$H$2:$H$2000,MATCH($B24,클레임목록!$O$2:$O$2000,0))))</f>
        <v/>
      </c>
      <c r="K24" s="50" t="str">
        <f aca="false">IF($B24="","",IF(INDEX(클레임목록!$I$2:$I$2000,MATCH($B24,클레임목록!$O$2:$O$2000,0))="","",INDEX(클레임목록!$I$2:$I$2000,MATCH($B24,클레임목록!$O$2:$O$2000,0))))</f>
        <v/>
      </c>
      <c r="L24" s="49" t="str">
        <f aca="false">IF($B24="","",IF(INDEX(클레임목록!$J$2:$J$2000,MATCH($B24,클레임목록!$O$2:$O$2000,0))="","",INDEX(클레임목록!$J$2:$J$2000,MATCH($B24,클레임목록!$O$2:$O$2000,0))))</f>
        <v/>
      </c>
    </row>
    <row r="25" customFormat="false" ht="15" hidden="false" customHeight="false" outlineLevel="0" collapsed="false">
      <c r="B25" s="48" t="str">
        <f aca="false">IF(12&lt;=$C$11,12,"")</f>
        <v/>
      </c>
      <c r="C25" s="49" t="str">
        <f aca="false">IF($B25="","",IF(INDEX(클레임목록!$A$2:$A$2000,MATCH($B25,클레임목록!$O$2:$O$2000,0))="","",INDEX(클레임목록!$A$2:$A$2000,MATCH($B25,클레임목록!$O$2:$O$2000,0))))</f>
        <v/>
      </c>
      <c r="D25" s="50" t="str">
        <f aca="false">IF($B25="","",IF(INDEX(클레임목록!$B$2:$B$2000,MATCH($B25,클레임목록!$O$2:$O$2000,0))="","",INDEX(클레임목록!$B$2:$B$2000,MATCH($B25,클레임목록!$O$2:$O$2000,0))))</f>
        <v/>
      </c>
      <c r="E25" s="4" t="str">
        <f aca="false">IF($B25="","",IF(INDEX(클레임목록!$C$2:$C$2000,MATCH($B25,클레임목록!$O$2:$O$2000,0))="","",INDEX(클레임목록!$C$2:$C$2000,MATCH($B25,클레임목록!$O$2:$O$2000,0))))</f>
        <v/>
      </c>
      <c r="F25" s="49" t="str">
        <f aca="false">IF($B25="","",IF(INDEX(클레임목록!$D$2:$D$2000,MATCH($B25,클레임목록!$O$2:$O$2000,0))="","",INDEX(클레임목록!$D$2:$D$2000,MATCH($B25,클레임목록!$O$2:$O$2000,0))))</f>
        <v/>
      </c>
      <c r="G25" s="49" t="str">
        <f aca="false">IF($B25="","",IF(INDEX(클레임목록!$E$2:$E$2000,MATCH($B25,클레임목록!$O$2:$O$2000,0))="","",INDEX(클레임목록!$E$2:$E$2000,MATCH($B25,클레임목록!$O$2:$O$2000,0))))</f>
        <v/>
      </c>
      <c r="H25" s="4" t="str">
        <f aca="false">IF($B25="","",IF(INDEX(클레임목록!$F$2:$F$2000,MATCH($B25,클레임목록!$O$2:$O$2000,0))="","",INDEX(클레임목록!$F$2:$F$2000,MATCH($B25,클레임목록!$O$2:$O$2000,0))))</f>
        <v/>
      </c>
      <c r="I25" s="4" t="str">
        <f aca="false">IF($B25="","",IF(INDEX(클레임목록!$G$2:$G$2000,MATCH($B25,클레임목록!$O$2:$O$2000,0))="","",INDEX(클레임목록!$G$2:$G$2000,MATCH($B25,클레임목록!$O$2:$O$2000,0))))</f>
        <v/>
      </c>
      <c r="J25" s="4" t="str">
        <f aca="false">IF($B25="","",IF(INDEX(클레임목록!$H$2:$H$2000,MATCH($B25,클레임목록!$O$2:$O$2000,0))="","",INDEX(클레임목록!$H$2:$H$2000,MATCH($B25,클레임목록!$O$2:$O$2000,0))))</f>
        <v/>
      </c>
      <c r="K25" s="50" t="str">
        <f aca="false">IF($B25="","",IF(INDEX(클레임목록!$I$2:$I$2000,MATCH($B25,클레임목록!$O$2:$O$2000,0))="","",INDEX(클레임목록!$I$2:$I$2000,MATCH($B25,클레임목록!$O$2:$O$2000,0))))</f>
        <v/>
      </c>
      <c r="L25" s="49" t="str">
        <f aca="false">IF($B25="","",IF(INDEX(클레임목록!$J$2:$J$2000,MATCH($B25,클레임목록!$O$2:$O$2000,0))="","",INDEX(클레임목록!$J$2:$J$2000,MATCH($B25,클레임목록!$O$2:$O$2000,0))))</f>
        <v/>
      </c>
    </row>
    <row r="26" customFormat="false" ht="15" hidden="false" customHeight="false" outlineLevel="0" collapsed="false">
      <c r="B26" s="48" t="str">
        <f aca="false">IF(13&lt;=$C$11,13,"")</f>
        <v/>
      </c>
      <c r="C26" s="49" t="str">
        <f aca="false">IF($B26="","",IF(INDEX(클레임목록!$A$2:$A$2000,MATCH($B26,클레임목록!$O$2:$O$2000,0))="","",INDEX(클레임목록!$A$2:$A$2000,MATCH($B26,클레임목록!$O$2:$O$2000,0))))</f>
        <v/>
      </c>
      <c r="D26" s="50" t="str">
        <f aca="false">IF($B26="","",IF(INDEX(클레임목록!$B$2:$B$2000,MATCH($B26,클레임목록!$O$2:$O$2000,0))="","",INDEX(클레임목록!$B$2:$B$2000,MATCH($B26,클레임목록!$O$2:$O$2000,0))))</f>
        <v/>
      </c>
      <c r="E26" s="4" t="str">
        <f aca="false">IF($B26="","",IF(INDEX(클레임목록!$C$2:$C$2000,MATCH($B26,클레임목록!$O$2:$O$2000,0))="","",INDEX(클레임목록!$C$2:$C$2000,MATCH($B26,클레임목록!$O$2:$O$2000,0))))</f>
        <v/>
      </c>
      <c r="F26" s="49" t="str">
        <f aca="false">IF($B26="","",IF(INDEX(클레임목록!$D$2:$D$2000,MATCH($B26,클레임목록!$O$2:$O$2000,0))="","",INDEX(클레임목록!$D$2:$D$2000,MATCH($B26,클레임목록!$O$2:$O$2000,0))))</f>
        <v/>
      </c>
      <c r="G26" s="49" t="str">
        <f aca="false">IF($B26="","",IF(INDEX(클레임목록!$E$2:$E$2000,MATCH($B26,클레임목록!$O$2:$O$2000,0))="","",INDEX(클레임목록!$E$2:$E$2000,MATCH($B26,클레임목록!$O$2:$O$2000,0))))</f>
        <v/>
      </c>
      <c r="H26" s="4" t="str">
        <f aca="false">IF($B26="","",IF(INDEX(클레임목록!$F$2:$F$2000,MATCH($B26,클레임목록!$O$2:$O$2000,0))="","",INDEX(클레임목록!$F$2:$F$2000,MATCH($B26,클레임목록!$O$2:$O$2000,0))))</f>
        <v/>
      </c>
      <c r="I26" s="4" t="str">
        <f aca="false">IF($B26="","",IF(INDEX(클레임목록!$G$2:$G$2000,MATCH($B26,클레임목록!$O$2:$O$2000,0))="","",INDEX(클레임목록!$G$2:$G$2000,MATCH($B26,클레임목록!$O$2:$O$2000,0))))</f>
        <v/>
      </c>
      <c r="J26" s="4" t="str">
        <f aca="false">IF($B26="","",IF(INDEX(클레임목록!$H$2:$H$2000,MATCH($B26,클레임목록!$O$2:$O$2000,0))="","",INDEX(클레임목록!$H$2:$H$2000,MATCH($B26,클레임목록!$O$2:$O$2000,0))))</f>
        <v/>
      </c>
      <c r="K26" s="50" t="str">
        <f aca="false">IF($B26="","",IF(INDEX(클레임목록!$I$2:$I$2000,MATCH($B26,클레임목록!$O$2:$O$2000,0))="","",INDEX(클레임목록!$I$2:$I$2000,MATCH($B26,클레임목록!$O$2:$O$2000,0))))</f>
        <v/>
      </c>
      <c r="L26" s="49" t="str">
        <f aca="false">IF($B26="","",IF(INDEX(클레임목록!$J$2:$J$2000,MATCH($B26,클레임목록!$O$2:$O$2000,0))="","",INDEX(클레임목록!$J$2:$J$2000,MATCH($B26,클레임목록!$O$2:$O$2000,0))))</f>
        <v/>
      </c>
    </row>
    <row r="27" customFormat="false" ht="15" hidden="false" customHeight="false" outlineLevel="0" collapsed="false">
      <c r="B27" s="48" t="str">
        <f aca="false">IF(14&lt;=$C$11,14,"")</f>
        <v/>
      </c>
      <c r="C27" s="49" t="str">
        <f aca="false">IF($B27="","",IF(INDEX(클레임목록!$A$2:$A$2000,MATCH($B27,클레임목록!$O$2:$O$2000,0))="","",INDEX(클레임목록!$A$2:$A$2000,MATCH($B27,클레임목록!$O$2:$O$2000,0))))</f>
        <v/>
      </c>
      <c r="D27" s="50" t="str">
        <f aca="false">IF($B27="","",IF(INDEX(클레임목록!$B$2:$B$2000,MATCH($B27,클레임목록!$O$2:$O$2000,0))="","",INDEX(클레임목록!$B$2:$B$2000,MATCH($B27,클레임목록!$O$2:$O$2000,0))))</f>
        <v/>
      </c>
      <c r="E27" s="4" t="str">
        <f aca="false">IF($B27="","",IF(INDEX(클레임목록!$C$2:$C$2000,MATCH($B27,클레임목록!$O$2:$O$2000,0))="","",INDEX(클레임목록!$C$2:$C$2000,MATCH($B27,클레임목록!$O$2:$O$2000,0))))</f>
        <v/>
      </c>
      <c r="F27" s="49" t="str">
        <f aca="false">IF($B27="","",IF(INDEX(클레임목록!$D$2:$D$2000,MATCH($B27,클레임목록!$O$2:$O$2000,0))="","",INDEX(클레임목록!$D$2:$D$2000,MATCH($B27,클레임목록!$O$2:$O$2000,0))))</f>
        <v/>
      </c>
      <c r="G27" s="49" t="str">
        <f aca="false">IF($B27="","",IF(INDEX(클레임목록!$E$2:$E$2000,MATCH($B27,클레임목록!$O$2:$O$2000,0))="","",INDEX(클레임목록!$E$2:$E$2000,MATCH($B27,클레임목록!$O$2:$O$2000,0))))</f>
        <v/>
      </c>
      <c r="H27" s="4" t="str">
        <f aca="false">IF($B27="","",IF(INDEX(클레임목록!$F$2:$F$2000,MATCH($B27,클레임목록!$O$2:$O$2000,0))="","",INDEX(클레임목록!$F$2:$F$2000,MATCH($B27,클레임목록!$O$2:$O$2000,0))))</f>
        <v/>
      </c>
      <c r="I27" s="4" t="str">
        <f aca="false">IF($B27="","",IF(INDEX(클레임목록!$G$2:$G$2000,MATCH($B27,클레임목록!$O$2:$O$2000,0))="","",INDEX(클레임목록!$G$2:$G$2000,MATCH($B27,클레임목록!$O$2:$O$2000,0))))</f>
        <v/>
      </c>
      <c r="J27" s="4" t="str">
        <f aca="false">IF($B27="","",IF(INDEX(클레임목록!$H$2:$H$2000,MATCH($B27,클레임목록!$O$2:$O$2000,0))="","",INDEX(클레임목록!$H$2:$H$2000,MATCH($B27,클레임목록!$O$2:$O$2000,0))))</f>
        <v/>
      </c>
      <c r="K27" s="50" t="str">
        <f aca="false">IF($B27="","",IF(INDEX(클레임목록!$I$2:$I$2000,MATCH($B27,클레임목록!$O$2:$O$2000,0))="","",INDEX(클레임목록!$I$2:$I$2000,MATCH($B27,클레임목록!$O$2:$O$2000,0))))</f>
        <v/>
      </c>
      <c r="L27" s="49" t="str">
        <f aca="false">IF($B27="","",IF(INDEX(클레임목록!$J$2:$J$2000,MATCH($B27,클레임목록!$O$2:$O$2000,0))="","",INDEX(클레임목록!$J$2:$J$2000,MATCH($B27,클레임목록!$O$2:$O$2000,0))))</f>
        <v/>
      </c>
    </row>
    <row r="28" customFormat="false" ht="15" hidden="false" customHeight="false" outlineLevel="0" collapsed="false">
      <c r="B28" s="48" t="str">
        <f aca="false">IF(15&lt;=$C$11,15,"")</f>
        <v/>
      </c>
      <c r="C28" s="49" t="str">
        <f aca="false">IF($B28="","",IF(INDEX(클레임목록!$A$2:$A$2000,MATCH($B28,클레임목록!$O$2:$O$2000,0))="","",INDEX(클레임목록!$A$2:$A$2000,MATCH($B28,클레임목록!$O$2:$O$2000,0))))</f>
        <v/>
      </c>
      <c r="D28" s="50" t="str">
        <f aca="false">IF($B28="","",IF(INDEX(클레임목록!$B$2:$B$2000,MATCH($B28,클레임목록!$O$2:$O$2000,0))="","",INDEX(클레임목록!$B$2:$B$2000,MATCH($B28,클레임목록!$O$2:$O$2000,0))))</f>
        <v/>
      </c>
      <c r="E28" s="4" t="str">
        <f aca="false">IF($B28="","",IF(INDEX(클레임목록!$C$2:$C$2000,MATCH($B28,클레임목록!$O$2:$O$2000,0))="","",INDEX(클레임목록!$C$2:$C$2000,MATCH($B28,클레임목록!$O$2:$O$2000,0))))</f>
        <v/>
      </c>
      <c r="F28" s="49" t="str">
        <f aca="false">IF($B28="","",IF(INDEX(클레임목록!$D$2:$D$2000,MATCH($B28,클레임목록!$O$2:$O$2000,0))="","",INDEX(클레임목록!$D$2:$D$2000,MATCH($B28,클레임목록!$O$2:$O$2000,0))))</f>
        <v/>
      </c>
      <c r="G28" s="49" t="str">
        <f aca="false">IF($B28="","",IF(INDEX(클레임목록!$E$2:$E$2000,MATCH($B28,클레임목록!$O$2:$O$2000,0))="","",INDEX(클레임목록!$E$2:$E$2000,MATCH($B28,클레임목록!$O$2:$O$2000,0))))</f>
        <v/>
      </c>
      <c r="H28" s="4" t="str">
        <f aca="false">IF($B28="","",IF(INDEX(클레임목록!$F$2:$F$2000,MATCH($B28,클레임목록!$O$2:$O$2000,0))="","",INDEX(클레임목록!$F$2:$F$2000,MATCH($B28,클레임목록!$O$2:$O$2000,0))))</f>
        <v/>
      </c>
      <c r="I28" s="4" t="str">
        <f aca="false">IF($B28="","",IF(INDEX(클레임목록!$G$2:$G$2000,MATCH($B28,클레임목록!$O$2:$O$2000,0))="","",INDEX(클레임목록!$G$2:$G$2000,MATCH($B28,클레임목록!$O$2:$O$2000,0))))</f>
        <v/>
      </c>
      <c r="J28" s="4" t="str">
        <f aca="false">IF($B28="","",IF(INDEX(클레임목록!$H$2:$H$2000,MATCH($B28,클레임목록!$O$2:$O$2000,0))="","",INDEX(클레임목록!$H$2:$H$2000,MATCH($B28,클레임목록!$O$2:$O$2000,0))))</f>
        <v/>
      </c>
      <c r="K28" s="50" t="str">
        <f aca="false">IF($B28="","",IF(INDEX(클레임목록!$I$2:$I$2000,MATCH($B28,클레임목록!$O$2:$O$2000,0))="","",INDEX(클레임목록!$I$2:$I$2000,MATCH($B28,클레임목록!$O$2:$O$2000,0))))</f>
        <v/>
      </c>
      <c r="L28" s="49" t="str">
        <f aca="false">IF($B28="","",IF(INDEX(클레임목록!$J$2:$J$2000,MATCH($B28,클레임목록!$O$2:$O$2000,0))="","",INDEX(클레임목록!$J$2:$J$2000,MATCH($B28,클레임목록!$O$2:$O$2000,0))))</f>
        <v/>
      </c>
    </row>
    <row r="29" customFormat="false" ht="15" hidden="false" customHeight="false" outlineLevel="0" collapsed="false">
      <c r="B29" s="48" t="str">
        <f aca="false">IF(16&lt;=$C$11,16,"")</f>
        <v/>
      </c>
      <c r="C29" s="49" t="str">
        <f aca="false">IF($B29="","",IF(INDEX(클레임목록!$A$2:$A$2000,MATCH($B29,클레임목록!$O$2:$O$2000,0))="","",INDEX(클레임목록!$A$2:$A$2000,MATCH($B29,클레임목록!$O$2:$O$2000,0))))</f>
        <v/>
      </c>
      <c r="D29" s="50" t="str">
        <f aca="false">IF($B29="","",IF(INDEX(클레임목록!$B$2:$B$2000,MATCH($B29,클레임목록!$O$2:$O$2000,0))="","",INDEX(클레임목록!$B$2:$B$2000,MATCH($B29,클레임목록!$O$2:$O$2000,0))))</f>
        <v/>
      </c>
      <c r="E29" s="4" t="str">
        <f aca="false">IF($B29="","",IF(INDEX(클레임목록!$C$2:$C$2000,MATCH($B29,클레임목록!$O$2:$O$2000,0))="","",INDEX(클레임목록!$C$2:$C$2000,MATCH($B29,클레임목록!$O$2:$O$2000,0))))</f>
        <v/>
      </c>
      <c r="F29" s="49" t="str">
        <f aca="false">IF($B29="","",IF(INDEX(클레임목록!$D$2:$D$2000,MATCH($B29,클레임목록!$O$2:$O$2000,0))="","",INDEX(클레임목록!$D$2:$D$2000,MATCH($B29,클레임목록!$O$2:$O$2000,0))))</f>
        <v/>
      </c>
      <c r="G29" s="49" t="str">
        <f aca="false">IF($B29="","",IF(INDEX(클레임목록!$E$2:$E$2000,MATCH($B29,클레임목록!$O$2:$O$2000,0))="","",INDEX(클레임목록!$E$2:$E$2000,MATCH($B29,클레임목록!$O$2:$O$2000,0))))</f>
        <v/>
      </c>
      <c r="H29" s="4" t="str">
        <f aca="false">IF($B29="","",IF(INDEX(클레임목록!$F$2:$F$2000,MATCH($B29,클레임목록!$O$2:$O$2000,0))="","",INDEX(클레임목록!$F$2:$F$2000,MATCH($B29,클레임목록!$O$2:$O$2000,0))))</f>
        <v/>
      </c>
      <c r="I29" s="4" t="str">
        <f aca="false">IF($B29="","",IF(INDEX(클레임목록!$G$2:$G$2000,MATCH($B29,클레임목록!$O$2:$O$2000,0))="","",INDEX(클레임목록!$G$2:$G$2000,MATCH($B29,클레임목록!$O$2:$O$2000,0))))</f>
        <v/>
      </c>
      <c r="J29" s="4" t="str">
        <f aca="false">IF($B29="","",IF(INDEX(클레임목록!$H$2:$H$2000,MATCH($B29,클레임목록!$O$2:$O$2000,0))="","",INDEX(클레임목록!$H$2:$H$2000,MATCH($B29,클레임목록!$O$2:$O$2000,0))))</f>
        <v/>
      </c>
      <c r="K29" s="50" t="str">
        <f aca="false">IF($B29="","",IF(INDEX(클레임목록!$I$2:$I$2000,MATCH($B29,클레임목록!$O$2:$O$2000,0))="","",INDEX(클레임목록!$I$2:$I$2000,MATCH($B29,클레임목록!$O$2:$O$2000,0))))</f>
        <v/>
      </c>
      <c r="L29" s="49" t="str">
        <f aca="false">IF($B29="","",IF(INDEX(클레임목록!$J$2:$J$2000,MATCH($B29,클레임목록!$O$2:$O$2000,0))="","",INDEX(클레임목록!$J$2:$J$2000,MATCH($B29,클레임목록!$O$2:$O$2000,0))))</f>
        <v/>
      </c>
    </row>
    <row r="30" customFormat="false" ht="15" hidden="false" customHeight="false" outlineLevel="0" collapsed="false">
      <c r="B30" s="48" t="str">
        <f aca="false">IF(17&lt;=$C$11,17,"")</f>
        <v/>
      </c>
      <c r="C30" s="49" t="str">
        <f aca="false">IF($B30="","",IF(INDEX(클레임목록!$A$2:$A$2000,MATCH($B30,클레임목록!$O$2:$O$2000,0))="","",INDEX(클레임목록!$A$2:$A$2000,MATCH($B30,클레임목록!$O$2:$O$2000,0))))</f>
        <v/>
      </c>
      <c r="D30" s="50" t="str">
        <f aca="false">IF($B30="","",IF(INDEX(클레임목록!$B$2:$B$2000,MATCH($B30,클레임목록!$O$2:$O$2000,0))="","",INDEX(클레임목록!$B$2:$B$2000,MATCH($B30,클레임목록!$O$2:$O$2000,0))))</f>
        <v/>
      </c>
      <c r="E30" s="4" t="str">
        <f aca="false">IF($B30="","",IF(INDEX(클레임목록!$C$2:$C$2000,MATCH($B30,클레임목록!$O$2:$O$2000,0))="","",INDEX(클레임목록!$C$2:$C$2000,MATCH($B30,클레임목록!$O$2:$O$2000,0))))</f>
        <v/>
      </c>
      <c r="F30" s="49" t="str">
        <f aca="false">IF($B30="","",IF(INDEX(클레임목록!$D$2:$D$2000,MATCH($B30,클레임목록!$O$2:$O$2000,0))="","",INDEX(클레임목록!$D$2:$D$2000,MATCH($B30,클레임목록!$O$2:$O$2000,0))))</f>
        <v/>
      </c>
      <c r="G30" s="49" t="str">
        <f aca="false">IF($B30="","",IF(INDEX(클레임목록!$E$2:$E$2000,MATCH($B30,클레임목록!$O$2:$O$2000,0))="","",INDEX(클레임목록!$E$2:$E$2000,MATCH($B30,클레임목록!$O$2:$O$2000,0))))</f>
        <v/>
      </c>
      <c r="H30" s="4" t="str">
        <f aca="false">IF($B30="","",IF(INDEX(클레임목록!$F$2:$F$2000,MATCH($B30,클레임목록!$O$2:$O$2000,0))="","",INDEX(클레임목록!$F$2:$F$2000,MATCH($B30,클레임목록!$O$2:$O$2000,0))))</f>
        <v/>
      </c>
      <c r="I30" s="4" t="str">
        <f aca="false">IF($B30="","",IF(INDEX(클레임목록!$G$2:$G$2000,MATCH($B30,클레임목록!$O$2:$O$2000,0))="","",INDEX(클레임목록!$G$2:$G$2000,MATCH($B30,클레임목록!$O$2:$O$2000,0))))</f>
        <v/>
      </c>
      <c r="J30" s="4" t="str">
        <f aca="false">IF($B30="","",IF(INDEX(클레임목록!$H$2:$H$2000,MATCH($B30,클레임목록!$O$2:$O$2000,0))="","",INDEX(클레임목록!$H$2:$H$2000,MATCH($B30,클레임목록!$O$2:$O$2000,0))))</f>
        <v/>
      </c>
      <c r="K30" s="50" t="str">
        <f aca="false">IF($B30="","",IF(INDEX(클레임목록!$I$2:$I$2000,MATCH($B30,클레임목록!$O$2:$O$2000,0))="","",INDEX(클레임목록!$I$2:$I$2000,MATCH($B30,클레임목록!$O$2:$O$2000,0))))</f>
        <v/>
      </c>
      <c r="L30" s="49" t="str">
        <f aca="false">IF($B30="","",IF(INDEX(클레임목록!$J$2:$J$2000,MATCH($B30,클레임목록!$O$2:$O$2000,0))="","",INDEX(클레임목록!$J$2:$J$2000,MATCH($B30,클레임목록!$O$2:$O$2000,0))))</f>
        <v/>
      </c>
    </row>
    <row r="31" customFormat="false" ht="15" hidden="false" customHeight="false" outlineLevel="0" collapsed="false">
      <c r="B31" s="48" t="str">
        <f aca="false">IF(18&lt;=$C$11,18,"")</f>
        <v/>
      </c>
      <c r="C31" s="49" t="str">
        <f aca="false">IF($B31="","",IF(INDEX(클레임목록!$A$2:$A$2000,MATCH($B31,클레임목록!$O$2:$O$2000,0))="","",INDEX(클레임목록!$A$2:$A$2000,MATCH($B31,클레임목록!$O$2:$O$2000,0))))</f>
        <v/>
      </c>
      <c r="D31" s="50" t="str">
        <f aca="false">IF($B31="","",IF(INDEX(클레임목록!$B$2:$B$2000,MATCH($B31,클레임목록!$O$2:$O$2000,0))="","",INDEX(클레임목록!$B$2:$B$2000,MATCH($B31,클레임목록!$O$2:$O$2000,0))))</f>
        <v/>
      </c>
      <c r="E31" s="4" t="str">
        <f aca="false">IF($B31="","",IF(INDEX(클레임목록!$C$2:$C$2000,MATCH($B31,클레임목록!$O$2:$O$2000,0))="","",INDEX(클레임목록!$C$2:$C$2000,MATCH($B31,클레임목록!$O$2:$O$2000,0))))</f>
        <v/>
      </c>
      <c r="F31" s="49" t="str">
        <f aca="false">IF($B31="","",IF(INDEX(클레임목록!$D$2:$D$2000,MATCH($B31,클레임목록!$O$2:$O$2000,0))="","",INDEX(클레임목록!$D$2:$D$2000,MATCH($B31,클레임목록!$O$2:$O$2000,0))))</f>
        <v/>
      </c>
      <c r="G31" s="49" t="str">
        <f aca="false">IF($B31="","",IF(INDEX(클레임목록!$E$2:$E$2000,MATCH($B31,클레임목록!$O$2:$O$2000,0))="","",INDEX(클레임목록!$E$2:$E$2000,MATCH($B31,클레임목록!$O$2:$O$2000,0))))</f>
        <v/>
      </c>
      <c r="H31" s="4" t="str">
        <f aca="false">IF($B31="","",IF(INDEX(클레임목록!$F$2:$F$2000,MATCH($B31,클레임목록!$O$2:$O$2000,0))="","",INDEX(클레임목록!$F$2:$F$2000,MATCH($B31,클레임목록!$O$2:$O$2000,0))))</f>
        <v/>
      </c>
      <c r="I31" s="4" t="str">
        <f aca="false">IF($B31="","",IF(INDEX(클레임목록!$G$2:$G$2000,MATCH($B31,클레임목록!$O$2:$O$2000,0))="","",INDEX(클레임목록!$G$2:$G$2000,MATCH($B31,클레임목록!$O$2:$O$2000,0))))</f>
        <v/>
      </c>
      <c r="J31" s="4" t="str">
        <f aca="false">IF($B31="","",IF(INDEX(클레임목록!$H$2:$H$2000,MATCH($B31,클레임목록!$O$2:$O$2000,0))="","",INDEX(클레임목록!$H$2:$H$2000,MATCH($B31,클레임목록!$O$2:$O$2000,0))))</f>
        <v/>
      </c>
      <c r="K31" s="50" t="str">
        <f aca="false">IF($B31="","",IF(INDEX(클레임목록!$I$2:$I$2000,MATCH($B31,클레임목록!$O$2:$O$2000,0))="","",INDEX(클레임목록!$I$2:$I$2000,MATCH($B31,클레임목록!$O$2:$O$2000,0))))</f>
        <v/>
      </c>
      <c r="L31" s="49" t="str">
        <f aca="false">IF($B31="","",IF(INDEX(클레임목록!$J$2:$J$2000,MATCH($B31,클레임목록!$O$2:$O$2000,0))="","",INDEX(클레임목록!$J$2:$J$2000,MATCH($B31,클레임목록!$O$2:$O$2000,0))))</f>
        <v/>
      </c>
    </row>
    <row r="32" customFormat="false" ht="15" hidden="false" customHeight="false" outlineLevel="0" collapsed="false">
      <c r="B32" s="48" t="str">
        <f aca="false">IF(19&lt;=$C$11,19,"")</f>
        <v/>
      </c>
      <c r="C32" s="49" t="str">
        <f aca="false">IF($B32="","",IF(INDEX(클레임목록!$A$2:$A$2000,MATCH($B32,클레임목록!$O$2:$O$2000,0))="","",INDEX(클레임목록!$A$2:$A$2000,MATCH($B32,클레임목록!$O$2:$O$2000,0))))</f>
        <v/>
      </c>
      <c r="D32" s="50" t="str">
        <f aca="false">IF($B32="","",IF(INDEX(클레임목록!$B$2:$B$2000,MATCH($B32,클레임목록!$O$2:$O$2000,0))="","",INDEX(클레임목록!$B$2:$B$2000,MATCH($B32,클레임목록!$O$2:$O$2000,0))))</f>
        <v/>
      </c>
      <c r="E32" s="4" t="str">
        <f aca="false">IF($B32="","",IF(INDEX(클레임목록!$C$2:$C$2000,MATCH($B32,클레임목록!$O$2:$O$2000,0))="","",INDEX(클레임목록!$C$2:$C$2000,MATCH($B32,클레임목록!$O$2:$O$2000,0))))</f>
        <v/>
      </c>
      <c r="F32" s="49" t="str">
        <f aca="false">IF($B32="","",IF(INDEX(클레임목록!$D$2:$D$2000,MATCH($B32,클레임목록!$O$2:$O$2000,0))="","",INDEX(클레임목록!$D$2:$D$2000,MATCH($B32,클레임목록!$O$2:$O$2000,0))))</f>
        <v/>
      </c>
      <c r="G32" s="49" t="str">
        <f aca="false">IF($B32="","",IF(INDEX(클레임목록!$E$2:$E$2000,MATCH($B32,클레임목록!$O$2:$O$2000,0))="","",INDEX(클레임목록!$E$2:$E$2000,MATCH($B32,클레임목록!$O$2:$O$2000,0))))</f>
        <v/>
      </c>
      <c r="H32" s="4" t="str">
        <f aca="false">IF($B32="","",IF(INDEX(클레임목록!$F$2:$F$2000,MATCH($B32,클레임목록!$O$2:$O$2000,0))="","",INDEX(클레임목록!$F$2:$F$2000,MATCH($B32,클레임목록!$O$2:$O$2000,0))))</f>
        <v/>
      </c>
      <c r="I32" s="4" t="str">
        <f aca="false">IF($B32="","",IF(INDEX(클레임목록!$G$2:$G$2000,MATCH($B32,클레임목록!$O$2:$O$2000,0))="","",INDEX(클레임목록!$G$2:$G$2000,MATCH($B32,클레임목록!$O$2:$O$2000,0))))</f>
        <v/>
      </c>
      <c r="J32" s="4" t="str">
        <f aca="false">IF($B32="","",IF(INDEX(클레임목록!$H$2:$H$2000,MATCH($B32,클레임목록!$O$2:$O$2000,0))="","",INDEX(클레임목록!$H$2:$H$2000,MATCH($B32,클레임목록!$O$2:$O$2000,0))))</f>
        <v/>
      </c>
      <c r="K32" s="50" t="str">
        <f aca="false">IF($B32="","",IF(INDEX(클레임목록!$I$2:$I$2000,MATCH($B32,클레임목록!$O$2:$O$2000,0))="","",INDEX(클레임목록!$I$2:$I$2000,MATCH($B32,클레임목록!$O$2:$O$2000,0))))</f>
        <v/>
      </c>
      <c r="L32" s="49" t="str">
        <f aca="false">IF($B32="","",IF(INDEX(클레임목록!$J$2:$J$2000,MATCH($B32,클레임목록!$O$2:$O$2000,0))="","",INDEX(클레임목록!$J$2:$J$2000,MATCH($B32,클레임목록!$O$2:$O$2000,0))))</f>
        <v/>
      </c>
    </row>
    <row r="33" customFormat="false" ht="15" hidden="false" customHeight="false" outlineLevel="0" collapsed="false">
      <c r="B33" s="48" t="str">
        <f aca="false">IF(20&lt;=$C$11,20,"")</f>
        <v/>
      </c>
      <c r="C33" s="49" t="str">
        <f aca="false">IF($B33="","",IF(INDEX(클레임목록!$A$2:$A$2000,MATCH($B33,클레임목록!$O$2:$O$2000,0))="","",INDEX(클레임목록!$A$2:$A$2000,MATCH($B33,클레임목록!$O$2:$O$2000,0))))</f>
        <v/>
      </c>
      <c r="D33" s="50" t="str">
        <f aca="false">IF($B33="","",IF(INDEX(클레임목록!$B$2:$B$2000,MATCH($B33,클레임목록!$O$2:$O$2000,0))="","",INDEX(클레임목록!$B$2:$B$2000,MATCH($B33,클레임목록!$O$2:$O$2000,0))))</f>
        <v/>
      </c>
      <c r="E33" s="4" t="str">
        <f aca="false">IF($B33="","",IF(INDEX(클레임목록!$C$2:$C$2000,MATCH($B33,클레임목록!$O$2:$O$2000,0))="","",INDEX(클레임목록!$C$2:$C$2000,MATCH($B33,클레임목록!$O$2:$O$2000,0))))</f>
        <v/>
      </c>
      <c r="F33" s="49" t="str">
        <f aca="false">IF($B33="","",IF(INDEX(클레임목록!$D$2:$D$2000,MATCH($B33,클레임목록!$O$2:$O$2000,0))="","",INDEX(클레임목록!$D$2:$D$2000,MATCH($B33,클레임목록!$O$2:$O$2000,0))))</f>
        <v/>
      </c>
      <c r="G33" s="49" t="str">
        <f aca="false">IF($B33="","",IF(INDEX(클레임목록!$E$2:$E$2000,MATCH($B33,클레임목록!$O$2:$O$2000,0))="","",INDEX(클레임목록!$E$2:$E$2000,MATCH($B33,클레임목록!$O$2:$O$2000,0))))</f>
        <v/>
      </c>
      <c r="H33" s="4" t="str">
        <f aca="false">IF($B33="","",IF(INDEX(클레임목록!$F$2:$F$2000,MATCH($B33,클레임목록!$O$2:$O$2000,0))="","",INDEX(클레임목록!$F$2:$F$2000,MATCH($B33,클레임목록!$O$2:$O$2000,0))))</f>
        <v/>
      </c>
      <c r="I33" s="4" t="str">
        <f aca="false">IF($B33="","",IF(INDEX(클레임목록!$G$2:$G$2000,MATCH($B33,클레임목록!$O$2:$O$2000,0))="","",INDEX(클레임목록!$G$2:$G$2000,MATCH($B33,클레임목록!$O$2:$O$2000,0))))</f>
        <v/>
      </c>
      <c r="J33" s="4" t="str">
        <f aca="false">IF($B33="","",IF(INDEX(클레임목록!$H$2:$H$2000,MATCH($B33,클레임목록!$O$2:$O$2000,0))="","",INDEX(클레임목록!$H$2:$H$2000,MATCH($B33,클레임목록!$O$2:$O$2000,0))))</f>
        <v/>
      </c>
      <c r="K33" s="50" t="str">
        <f aca="false">IF($B33="","",IF(INDEX(클레임목록!$I$2:$I$2000,MATCH($B33,클레임목록!$O$2:$O$2000,0))="","",INDEX(클레임목록!$I$2:$I$2000,MATCH($B33,클레임목록!$O$2:$O$2000,0))))</f>
        <v/>
      </c>
      <c r="L33" s="49" t="str">
        <f aca="false">IF($B33="","",IF(INDEX(클레임목록!$J$2:$J$2000,MATCH($B33,클레임목록!$O$2:$O$2000,0))="","",INDEX(클레임목록!$J$2:$J$2000,MATCH($B33,클레임목록!$O$2:$O$2000,0))))</f>
        <v/>
      </c>
    </row>
    <row r="34" customFormat="false" ht="15" hidden="false" customHeight="false" outlineLevel="0" collapsed="false">
      <c r="B34" s="48" t="str">
        <f aca="false">IF(21&lt;=$C$11,21,"")</f>
        <v/>
      </c>
      <c r="C34" s="49" t="str">
        <f aca="false">IF($B34="","",IF(INDEX(클레임목록!$A$2:$A$2000,MATCH($B34,클레임목록!$O$2:$O$2000,0))="","",INDEX(클레임목록!$A$2:$A$2000,MATCH($B34,클레임목록!$O$2:$O$2000,0))))</f>
        <v/>
      </c>
      <c r="D34" s="50" t="str">
        <f aca="false">IF($B34="","",IF(INDEX(클레임목록!$B$2:$B$2000,MATCH($B34,클레임목록!$O$2:$O$2000,0))="","",INDEX(클레임목록!$B$2:$B$2000,MATCH($B34,클레임목록!$O$2:$O$2000,0))))</f>
        <v/>
      </c>
      <c r="E34" s="4" t="str">
        <f aca="false">IF($B34="","",IF(INDEX(클레임목록!$C$2:$C$2000,MATCH($B34,클레임목록!$O$2:$O$2000,0))="","",INDEX(클레임목록!$C$2:$C$2000,MATCH($B34,클레임목록!$O$2:$O$2000,0))))</f>
        <v/>
      </c>
      <c r="F34" s="49" t="str">
        <f aca="false">IF($B34="","",IF(INDEX(클레임목록!$D$2:$D$2000,MATCH($B34,클레임목록!$O$2:$O$2000,0))="","",INDEX(클레임목록!$D$2:$D$2000,MATCH($B34,클레임목록!$O$2:$O$2000,0))))</f>
        <v/>
      </c>
      <c r="G34" s="49" t="str">
        <f aca="false">IF($B34="","",IF(INDEX(클레임목록!$E$2:$E$2000,MATCH($B34,클레임목록!$O$2:$O$2000,0))="","",INDEX(클레임목록!$E$2:$E$2000,MATCH($B34,클레임목록!$O$2:$O$2000,0))))</f>
        <v/>
      </c>
      <c r="H34" s="4" t="str">
        <f aca="false">IF($B34="","",IF(INDEX(클레임목록!$F$2:$F$2000,MATCH($B34,클레임목록!$O$2:$O$2000,0))="","",INDEX(클레임목록!$F$2:$F$2000,MATCH($B34,클레임목록!$O$2:$O$2000,0))))</f>
        <v/>
      </c>
      <c r="I34" s="4" t="str">
        <f aca="false">IF($B34="","",IF(INDEX(클레임목록!$G$2:$G$2000,MATCH($B34,클레임목록!$O$2:$O$2000,0))="","",INDEX(클레임목록!$G$2:$G$2000,MATCH($B34,클레임목록!$O$2:$O$2000,0))))</f>
        <v/>
      </c>
      <c r="J34" s="4" t="str">
        <f aca="false">IF($B34="","",IF(INDEX(클레임목록!$H$2:$H$2000,MATCH($B34,클레임목록!$O$2:$O$2000,0))="","",INDEX(클레임목록!$H$2:$H$2000,MATCH($B34,클레임목록!$O$2:$O$2000,0))))</f>
        <v/>
      </c>
      <c r="K34" s="50" t="str">
        <f aca="false">IF($B34="","",IF(INDEX(클레임목록!$I$2:$I$2000,MATCH($B34,클레임목록!$O$2:$O$2000,0))="","",INDEX(클레임목록!$I$2:$I$2000,MATCH($B34,클레임목록!$O$2:$O$2000,0))))</f>
        <v/>
      </c>
      <c r="L34" s="49" t="str">
        <f aca="false">IF($B34="","",IF(INDEX(클레임목록!$J$2:$J$2000,MATCH($B34,클레임목록!$O$2:$O$2000,0))="","",INDEX(클레임목록!$J$2:$J$2000,MATCH($B34,클레임목록!$O$2:$O$2000,0))))</f>
        <v/>
      </c>
    </row>
    <row r="35" customFormat="false" ht="15" hidden="false" customHeight="false" outlineLevel="0" collapsed="false">
      <c r="B35" s="48" t="str">
        <f aca="false">IF(22&lt;=$C$11,22,"")</f>
        <v/>
      </c>
      <c r="C35" s="49" t="str">
        <f aca="false">IF($B35="","",IF(INDEX(클레임목록!$A$2:$A$2000,MATCH($B35,클레임목록!$O$2:$O$2000,0))="","",INDEX(클레임목록!$A$2:$A$2000,MATCH($B35,클레임목록!$O$2:$O$2000,0))))</f>
        <v/>
      </c>
      <c r="D35" s="50" t="str">
        <f aca="false">IF($B35="","",IF(INDEX(클레임목록!$B$2:$B$2000,MATCH($B35,클레임목록!$O$2:$O$2000,0))="","",INDEX(클레임목록!$B$2:$B$2000,MATCH($B35,클레임목록!$O$2:$O$2000,0))))</f>
        <v/>
      </c>
      <c r="E35" s="4" t="str">
        <f aca="false">IF($B35="","",IF(INDEX(클레임목록!$C$2:$C$2000,MATCH($B35,클레임목록!$O$2:$O$2000,0))="","",INDEX(클레임목록!$C$2:$C$2000,MATCH($B35,클레임목록!$O$2:$O$2000,0))))</f>
        <v/>
      </c>
      <c r="F35" s="49" t="str">
        <f aca="false">IF($B35="","",IF(INDEX(클레임목록!$D$2:$D$2000,MATCH($B35,클레임목록!$O$2:$O$2000,0))="","",INDEX(클레임목록!$D$2:$D$2000,MATCH($B35,클레임목록!$O$2:$O$2000,0))))</f>
        <v/>
      </c>
      <c r="G35" s="49" t="str">
        <f aca="false">IF($B35="","",IF(INDEX(클레임목록!$E$2:$E$2000,MATCH($B35,클레임목록!$O$2:$O$2000,0))="","",INDEX(클레임목록!$E$2:$E$2000,MATCH($B35,클레임목록!$O$2:$O$2000,0))))</f>
        <v/>
      </c>
      <c r="H35" s="4" t="str">
        <f aca="false">IF($B35="","",IF(INDEX(클레임목록!$F$2:$F$2000,MATCH($B35,클레임목록!$O$2:$O$2000,0))="","",INDEX(클레임목록!$F$2:$F$2000,MATCH($B35,클레임목록!$O$2:$O$2000,0))))</f>
        <v/>
      </c>
      <c r="I35" s="4" t="str">
        <f aca="false">IF($B35="","",IF(INDEX(클레임목록!$G$2:$G$2000,MATCH($B35,클레임목록!$O$2:$O$2000,0))="","",INDEX(클레임목록!$G$2:$G$2000,MATCH($B35,클레임목록!$O$2:$O$2000,0))))</f>
        <v/>
      </c>
      <c r="J35" s="4" t="str">
        <f aca="false">IF($B35="","",IF(INDEX(클레임목록!$H$2:$H$2000,MATCH($B35,클레임목록!$O$2:$O$2000,0))="","",INDEX(클레임목록!$H$2:$H$2000,MATCH($B35,클레임목록!$O$2:$O$2000,0))))</f>
        <v/>
      </c>
      <c r="K35" s="50" t="str">
        <f aca="false">IF($B35="","",IF(INDEX(클레임목록!$I$2:$I$2000,MATCH($B35,클레임목록!$O$2:$O$2000,0))="","",INDEX(클레임목록!$I$2:$I$2000,MATCH($B35,클레임목록!$O$2:$O$2000,0))))</f>
        <v/>
      </c>
      <c r="L35" s="49" t="str">
        <f aca="false">IF($B35="","",IF(INDEX(클레임목록!$J$2:$J$2000,MATCH($B35,클레임목록!$O$2:$O$2000,0))="","",INDEX(클레임목록!$J$2:$J$2000,MATCH($B35,클레임목록!$O$2:$O$2000,0))))</f>
        <v/>
      </c>
    </row>
    <row r="36" customFormat="false" ht="15" hidden="false" customHeight="false" outlineLevel="0" collapsed="false">
      <c r="B36" s="48" t="str">
        <f aca="false">IF(23&lt;=$C$11,23,"")</f>
        <v/>
      </c>
      <c r="C36" s="49" t="str">
        <f aca="false">IF($B36="","",IF(INDEX(클레임목록!$A$2:$A$2000,MATCH($B36,클레임목록!$O$2:$O$2000,0))="","",INDEX(클레임목록!$A$2:$A$2000,MATCH($B36,클레임목록!$O$2:$O$2000,0))))</f>
        <v/>
      </c>
      <c r="D36" s="50" t="str">
        <f aca="false">IF($B36="","",IF(INDEX(클레임목록!$B$2:$B$2000,MATCH($B36,클레임목록!$O$2:$O$2000,0))="","",INDEX(클레임목록!$B$2:$B$2000,MATCH($B36,클레임목록!$O$2:$O$2000,0))))</f>
        <v/>
      </c>
      <c r="E36" s="4" t="str">
        <f aca="false">IF($B36="","",IF(INDEX(클레임목록!$C$2:$C$2000,MATCH($B36,클레임목록!$O$2:$O$2000,0))="","",INDEX(클레임목록!$C$2:$C$2000,MATCH($B36,클레임목록!$O$2:$O$2000,0))))</f>
        <v/>
      </c>
      <c r="F36" s="49" t="str">
        <f aca="false">IF($B36="","",IF(INDEX(클레임목록!$D$2:$D$2000,MATCH($B36,클레임목록!$O$2:$O$2000,0))="","",INDEX(클레임목록!$D$2:$D$2000,MATCH($B36,클레임목록!$O$2:$O$2000,0))))</f>
        <v/>
      </c>
      <c r="G36" s="49" t="str">
        <f aca="false">IF($B36="","",IF(INDEX(클레임목록!$E$2:$E$2000,MATCH($B36,클레임목록!$O$2:$O$2000,0))="","",INDEX(클레임목록!$E$2:$E$2000,MATCH($B36,클레임목록!$O$2:$O$2000,0))))</f>
        <v/>
      </c>
      <c r="H36" s="4" t="str">
        <f aca="false">IF($B36="","",IF(INDEX(클레임목록!$F$2:$F$2000,MATCH($B36,클레임목록!$O$2:$O$2000,0))="","",INDEX(클레임목록!$F$2:$F$2000,MATCH($B36,클레임목록!$O$2:$O$2000,0))))</f>
        <v/>
      </c>
      <c r="I36" s="4" t="str">
        <f aca="false">IF($B36="","",IF(INDEX(클레임목록!$G$2:$G$2000,MATCH($B36,클레임목록!$O$2:$O$2000,0))="","",INDEX(클레임목록!$G$2:$G$2000,MATCH($B36,클레임목록!$O$2:$O$2000,0))))</f>
        <v/>
      </c>
      <c r="J36" s="4" t="str">
        <f aca="false">IF($B36="","",IF(INDEX(클레임목록!$H$2:$H$2000,MATCH($B36,클레임목록!$O$2:$O$2000,0))="","",INDEX(클레임목록!$H$2:$H$2000,MATCH($B36,클레임목록!$O$2:$O$2000,0))))</f>
        <v/>
      </c>
      <c r="K36" s="50" t="str">
        <f aca="false">IF($B36="","",IF(INDEX(클레임목록!$I$2:$I$2000,MATCH($B36,클레임목록!$O$2:$O$2000,0))="","",INDEX(클레임목록!$I$2:$I$2000,MATCH($B36,클레임목록!$O$2:$O$2000,0))))</f>
        <v/>
      </c>
      <c r="L36" s="49" t="str">
        <f aca="false">IF($B36="","",IF(INDEX(클레임목록!$J$2:$J$2000,MATCH($B36,클레임목록!$O$2:$O$2000,0))="","",INDEX(클레임목록!$J$2:$J$2000,MATCH($B36,클레임목록!$O$2:$O$2000,0))))</f>
        <v/>
      </c>
    </row>
    <row r="37" customFormat="false" ht="15" hidden="false" customHeight="false" outlineLevel="0" collapsed="false">
      <c r="B37" s="48" t="str">
        <f aca="false">IF(24&lt;=$C$11,24,"")</f>
        <v/>
      </c>
      <c r="C37" s="49" t="str">
        <f aca="false">IF($B37="","",IF(INDEX(클레임목록!$A$2:$A$2000,MATCH($B37,클레임목록!$O$2:$O$2000,0))="","",INDEX(클레임목록!$A$2:$A$2000,MATCH($B37,클레임목록!$O$2:$O$2000,0))))</f>
        <v/>
      </c>
      <c r="D37" s="50" t="str">
        <f aca="false">IF($B37="","",IF(INDEX(클레임목록!$B$2:$B$2000,MATCH($B37,클레임목록!$O$2:$O$2000,0))="","",INDEX(클레임목록!$B$2:$B$2000,MATCH($B37,클레임목록!$O$2:$O$2000,0))))</f>
        <v/>
      </c>
      <c r="E37" s="4" t="str">
        <f aca="false">IF($B37="","",IF(INDEX(클레임목록!$C$2:$C$2000,MATCH($B37,클레임목록!$O$2:$O$2000,0))="","",INDEX(클레임목록!$C$2:$C$2000,MATCH($B37,클레임목록!$O$2:$O$2000,0))))</f>
        <v/>
      </c>
      <c r="F37" s="49" t="str">
        <f aca="false">IF($B37="","",IF(INDEX(클레임목록!$D$2:$D$2000,MATCH($B37,클레임목록!$O$2:$O$2000,0))="","",INDEX(클레임목록!$D$2:$D$2000,MATCH($B37,클레임목록!$O$2:$O$2000,0))))</f>
        <v/>
      </c>
      <c r="G37" s="49" t="str">
        <f aca="false">IF($B37="","",IF(INDEX(클레임목록!$E$2:$E$2000,MATCH($B37,클레임목록!$O$2:$O$2000,0))="","",INDEX(클레임목록!$E$2:$E$2000,MATCH($B37,클레임목록!$O$2:$O$2000,0))))</f>
        <v/>
      </c>
      <c r="H37" s="4" t="str">
        <f aca="false">IF($B37="","",IF(INDEX(클레임목록!$F$2:$F$2000,MATCH($B37,클레임목록!$O$2:$O$2000,0))="","",INDEX(클레임목록!$F$2:$F$2000,MATCH($B37,클레임목록!$O$2:$O$2000,0))))</f>
        <v/>
      </c>
      <c r="I37" s="4" t="str">
        <f aca="false">IF($B37="","",IF(INDEX(클레임목록!$G$2:$G$2000,MATCH($B37,클레임목록!$O$2:$O$2000,0))="","",INDEX(클레임목록!$G$2:$G$2000,MATCH($B37,클레임목록!$O$2:$O$2000,0))))</f>
        <v/>
      </c>
      <c r="J37" s="4" t="str">
        <f aca="false">IF($B37="","",IF(INDEX(클레임목록!$H$2:$H$2000,MATCH($B37,클레임목록!$O$2:$O$2000,0))="","",INDEX(클레임목록!$H$2:$H$2000,MATCH($B37,클레임목록!$O$2:$O$2000,0))))</f>
        <v/>
      </c>
      <c r="K37" s="50" t="str">
        <f aca="false">IF($B37="","",IF(INDEX(클레임목록!$I$2:$I$2000,MATCH($B37,클레임목록!$O$2:$O$2000,0))="","",INDEX(클레임목록!$I$2:$I$2000,MATCH($B37,클레임목록!$O$2:$O$2000,0))))</f>
        <v/>
      </c>
      <c r="L37" s="49" t="str">
        <f aca="false">IF($B37="","",IF(INDEX(클레임목록!$J$2:$J$2000,MATCH($B37,클레임목록!$O$2:$O$2000,0))="","",INDEX(클레임목록!$J$2:$J$2000,MATCH($B37,클레임목록!$O$2:$O$2000,0))))</f>
        <v/>
      </c>
    </row>
    <row r="38" customFormat="false" ht="15" hidden="false" customHeight="false" outlineLevel="0" collapsed="false">
      <c r="B38" s="48" t="str">
        <f aca="false">IF(25&lt;=$C$11,25,"")</f>
        <v/>
      </c>
      <c r="C38" s="49" t="str">
        <f aca="false">IF($B38="","",IF(INDEX(클레임목록!$A$2:$A$2000,MATCH($B38,클레임목록!$O$2:$O$2000,0))="","",INDEX(클레임목록!$A$2:$A$2000,MATCH($B38,클레임목록!$O$2:$O$2000,0))))</f>
        <v/>
      </c>
      <c r="D38" s="50" t="str">
        <f aca="false">IF($B38="","",IF(INDEX(클레임목록!$B$2:$B$2000,MATCH($B38,클레임목록!$O$2:$O$2000,0))="","",INDEX(클레임목록!$B$2:$B$2000,MATCH($B38,클레임목록!$O$2:$O$2000,0))))</f>
        <v/>
      </c>
      <c r="E38" s="4" t="str">
        <f aca="false">IF($B38="","",IF(INDEX(클레임목록!$C$2:$C$2000,MATCH($B38,클레임목록!$O$2:$O$2000,0))="","",INDEX(클레임목록!$C$2:$C$2000,MATCH($B38,클레임목록!$O$2:$O$2000,0))))</f>
        <v/>
      </c>
      <c r="F38" s="49" t="str">
        <f aca="false">IF($B38="","",IF(INDEX(클레임목록!$D$2:$D$2000,MATCH($B38,클레임목록!$O$2:$O$2000,0))="","",INDEX(클레임목록!$D$2:$D$2000,MATCH($B38,클레임목록!$O$2:$O$2000,0))))</f>
        <v/>
      </c>
      <c r="G38" s="49" t="str">
        <f aca="false">IF($B38="","",IF(INDEX(클레임목록!$E$2:$E$2000,MATCH($B38,클레임목록!$O$2:$O$2000,0))="","",INDEX(클레임목록!$E$2:$E$2000,MATCH($B38,클레임목록!$O$2:$O$2000,0))))</f>
        <v/>
      </c>
      <c r="H38" s="4" t="str">
        <f aca="false">IF($B38="","",IF(INDEX(클레임목록!$F$2:$F$2000,MATCH($B38,클레임목록!$O$2:$O$2000,0))="","",INDEX(클레임목록!$F$2:$F$2000,MATCH($B38,클레임목록!$O$2:$O$2000,0))))</f>
        <v/>
      </c>
      <c r="I38" s="4" t="str">
        <f aca="false">IF($B38="","",IF(INDEX(클레임목록!$G$2:$G$2000,MATCH($B38,클레임목록!$O$2:$O$2000,0))="","",INDEX(클레임목록!$G$2:$G$2000,MATCH($B38,클레임목록!$O$2:$O$2000,0))))</f>
        <v/>
      </c>
      <c r="J38" s="4" t="str">
        <f aca="false">IF($B38="","",IF(INDEX(클레임목록!$H$2:$H$2000,MATCH($B38,클레임목록!$O$2:$O$2000,0))="","",INDEX(클레임목록!$H$2:$H$2000,MATCH($B38,클레임목록!$O$2:$O$2000,0))))</f>
        <v/>
      </c>
      <c r="K38" s="50" t="str">
        <f aca="false">IF($B38="","",IF(INDEX(클레임목록!$I$2:$I$2000,MATCH($B38,클레임목록!$O$2:$O$2000,0))="","",INDEX(클레임목록!$I$2:$I$2000,MATCH($B38,클레임목록!$O$2:$O$2000,0))))</f>
        <v/>
      </c>
      <c r="L38" s="49" t="str">
        <f aca="false">IF($B38="","",IF(INDEX(클레임목록!$J$2:$J$2000,MATCH($B38,클레임목록!$O$2:$O$2000,0))="","",INDEX(클레임목록!$J$2:$J$2000,MATCH($B38,클레임목록!$O$2:$O$2000,0))))</f>
        <v/>
      </c>
    </row>
    <row r="39" customFormat="false" ht="15" hidden="false" customHeight="false" outlineLevel="0" collapsed="false">
      <c r="B39" s="48" t="str">
        <f aca="false">IF(26&lt;=$C$11,26,"")</f>
        <v/>
      </c>
      <c r="C39" s="49" t="str">
        <f aca="false">IF($B39="","",IF(INDEX(클레임목록!$A$2:$A$2000,MATCH($B39,클레임목록!$O$2:$O$2000,0))="","",INDEX(클레임목록!$A$2:$A$2000,MATCH($B39,클레임목록!$O$2:$O$2000,0))))</f>
        <v/>
      </c>
      <c r="D39" s="50" t="str">
        <f aca="false">IF($B39="","",IF(INDEX(클레임목록!$B$2:$B$2000,MATCH($B39,클레임목록!$O$2:$O$2000,0))="","",INDEX(클레임목록!$B$2:$B$2000,MATCH($B39,클레임목록!$O$2:$O$2000,0))))</f>
        <v/>
      </c>
      <c r="E39" s="4" t="str">
        <f aca="false">IF($B39="","",IF(INDEX(클레임목록!$C$2:$C$2000,MATCH($B39,클레임목록!$O$2:$O$2000,0))="","",INDEX(클레임목록!$C$2:$C$2000,MATCH($B39,클레임목록!$O$2:$O$2000,0))))</f>
        <v/>
      </c>
      <c r="F39" s="49" t="str">
        <f aca="false">IF($B39="","",IF(INDEX(클레임목록!$D$2:$D$2000,MATCH($B39,클레임목록!$O$2:$O$2000,0))="","",INDEX(클레임목록!$D$2:$D$2000,MATCH($B39,클레임목록!$O$2:$O$2000,0))))</f>
        <v/>
      </c>
      <c r="G39" s="49" t="str">
        <f aca="false">IF($B39="","",IF(INDEX(클레임목록!$E$2:$E$2000,MATCH($B39,클레임목록!$O$2:$O$2000,0))="","",INDEX(클레임목록!$E$2:$E$2000,MATCH($B39,클레임목록!$O$2:$O$2000,0))))</f>
        <v/>
      </c>
      <c r="H39" s="4" t="str">
        <f aca="false">IF($B39="","",IF(INDEX(클레임목록!$F$2:$F$2000,MATCH($B39,클레임목록!$O$2:$O$2000,0))="","",INDEX(클레임목록!$F$2:$F$2000,MATCH($B39,클레임목록!$O$2:$O$2000,0))))</f>
        <v/>
      </c>
      <c r="I39" s="4" t="str">
        <f aca="false">IF($B39="","",IF(INDEX(클레임목록!$G$2:$G$2000,MATCH($B39,클레임목록!$O$2:$O$2000,0))="","",INDEX(클레임목록!$G$2:$G$2000,MATCH($B39,클레임목록!$O$2:$O$2000,0))))</f>
        <v/>
      </c>
      <c r="J39" s="4" t="str">
        <f aca="false">IF($B39="","",IF(INDEX(클레임목록!$H$2:$H$2000,MATCH($B39,클레임목록!$O$2:$O$2000,0))="","",INDEX(클레임목록!$H$2:$H$2000,MATCH($B39,클레임목록!$O$2:$O$2000,0))))</f>
        <v/>
      </c>
      <c r="K39" s="50" t="str">
        <f aca="false">IF($B39="","",IF(INDEX(클레임목록!$I$2:$I$2000,MATCH($B39,클레임목록!$O$2:$O$2000,0))="","",INDEX(클레임목록!$I$2:$I$2000,MATCH($B39,클레임목록!$O$2:$O$2000,0))))</f>
        <v/>
      </c>
      <c r="L39" s="49" t="str">
        <f aca="false">IF($B39="","",IF(INDEX(클레임목록!$J$2:$J$2000,MATCH($B39,클레임목록!$O$2:$O$2000,0))="","",INDEX(클레임목록!$J$2:$J$2000,MATCH($B39,클레임목록!$O$2:$O$2000,0))))</f>
        <v/>
      </c>
    </row>
    <row r="40" customFormat="false" ht="15" hidden="false" customHeight="false" outlineLevel="0" collapsed="false">
      <c r="B40" s="48" t="str">
        <f aca="false">IF(27&lt;=$C$11,27,"")</f>
        <v/>
      </c>
      <c r="C40" s="49" t="str">
        <f aca="false">IF($B40="","",IF(INDEX(클레임목록!$A$2:$A$2000,MATCH($B40,클레임목록!$O$2:$O$2000,0))="","",INDEX(클레임목록!$A$2:$A$2000,MATCH($B40,클레임목록!$O$2:$O$2000,0))))</f>
        <v/>
      </c>
      <c r="D40" s="50" t="str">
        <f aca="false">IF($B40="","",IF(INDEX(클레임목록!$B$2:$B$2000,MATCH($B40,클레임목록!$O$2:$O$2000,0))="","",INDEX(클레임목록!$B$2:$B$2000,MATCH($B40,클레임목록!$O$2:$O$2000,0))))</f>
        <v/>
      </c>
      <c r="E40" s="4" t="str">
        <f aca="false">IF($B40="","",IF(INDEX(클레임목록!$C$2:$C$2000,MATCH($B40,클레임목록!$O$2:$O$2000,0))="","",INDEX(클레임목록!$C$2:$C$2000,MATCH($B40,클레임목록!$O$2:$O$2000,0))))</f>
        <v/>
      </c>
      <c r="F40" s="49" t="str">
        <f aca="false">IF($B40="","",IF(INDEX(클레임목록!$D$2:$D$2000,MATCH($B40,클레임목록!$O$2:$O$2000,0))="","",INDEX(클레임목록!$D$2:$D$2000,MATCH($B40,클레임목록!$O$2:$O$2000,0))))</f>
        <v/>
      </c>
      <c r="G40" s="49" t="str">
        <f aca="false">IF($B40="","",IF(INDEX(클레임목록!$E$2:$E$2000,MATCH($B40,클레임목록!$O$2:$O$2000,0))="","",INDEX(클레임목록!$E$2:$E$2000,MATCH($B40,클레임목록!$O$2:$O$2000,0))))</f>
        <v/>
      </c>
      <c r="H40" s="4" t="str">
        <f aca="false">IF($B40="","",IF(INDEX(클레임목록!$F$2:$F$2000,MATCH($B40,클레임목록!$O$2:$O$2000,0))="","",INDEX(클레임목록!$F$2:$F$2000,MATCH($B40,클레임목록!$O$2:$O$2000,0))))</f>
        <v/>
      </c>
      <c r="I40" s="4" t="str">
        <f aca="false">IF($B40="","",IF(INDEX(클레임목록!$G$2:$G$2000,MATCH($B40,클레임목록!$O$2:$O$2000,0))="","",INDEX(클레임목록!$G$2:$G$2000,MATCH($B40,클레임목록!$O$2:$O$2000,0))))</f>
        <v/>
      </c>
      <c r="J40" s="4" t="str">
        <f aca="false">IF($B40="","",IF(INDEX(클레임목록!$H$2:$H$2000,MATCH($B40,클레임목록!$O$2:$O$2000,0))="","",INDEX(클레임목록!$H$2:$H$2000,MATCH($B40,클레임목록!$O$2:$O$2000,0))))</f>
        <v/>
      </c>
      <c r="K40" s="50" t="str">
        <f aca="false">IF($B40="","",IF(INDEX(클레임목록!$I$2:$I$2000,MATCH($B40,클레임목록!$O$2:$O$2000,0))="","",INDEX(클레임목록!$I$2:$I$2000,MATCH($B40,클레임목록!$O$2:$O$2000,0))))</f>
        <v/>
      </c>
      <c r="L40" s="49" t="str">
        <f aca="false">IF($B40="","",IF(INDEX(클레임목록!$J$2:$J$2000,MATCH($B40,클레임목록!$O$2:$O$2000,0))="","",INDEX(클레임목록!$J$2:$J$2000,MATCH($B40,클레임목록!$O$2:$O$2000,0))))</f>
        <v/>
      </c>
    </row>
    <row r="41" customFormat="false" ht="15" hidden="false" customHeight="false" outlineLevel="0" collapsed="false">
      <c r="B41" s="48" t="str">
        <f aca="false">IF(28&lt;=$C$11,28,"")</f>
        <v/>
      </c>
      <c r="C41" s="49" t="str">
        <f aca="false">IF($B41="","",IF(INDEX(클레임목록!$A$2:$A$2000,MATCH($B41,클레임목록!$O$2:$O$2000,0))="","",INDEX(클레임목록!$A$2:$A$2000,MATCH($B41,클레임목록!$O$2:$O$2000,0))))</f>
        <v/>
      </c>
      <c r="D41" s="50" t="str">
        <f aca="false">IF($B41="","",IF(INDEX(클레임목록!$B$2:$B$2000,MATCH($B41,클레임목록!$O$2:$O$2000,0))="","",INDEX(클레임목록!$B$2:$B$2000,MATCH($B41,클레임목록!$O$2:$O$2000,0))))</f>
        <v/>
      </c>
      <c r="E41" s="4" t="str">
        <f aca="false">IF($B41="","",IF(INDEX(클레임목록!$C$2:$C$2000,MATCH($B41,클레임목록!$O$2:$O$2000,0))="","",INDEX(클레임목록!$C$2:$C$2000,MATCH($B41,클레임목록!$O$2:$O$2000,0))))</f>
        <v/>
      </c>
      <c r="F41" s="49" t="str">
        <f aca="false">IF($B41="","",IF(INDEX(클레임목록!$D$2:$D$2000,MATCH($B41,클레임목록!$O$2:$O$2000,0))="","",INDEX(클레임목록!$D$2:$D$2000,MATCH($B41,클레임목록!$O$2:$O$2000,0))))</f>
        <v/>
      </c>
      <c r="G41" s="49" t="str">
        <f aca="false">IF($B41="","",IF(INDEX(클레임목록!$E$2:$E$2000,MATCH($B41,클레임목록!$O$2:$O$2000,0))="","",INDEX(클레임목록!$E$2:$E$2000,MATCH($B41,클레임목록!$O$2:$O$2000,0))))</f>
        <v/>
      </c>
      <c r="H41" s="4" t="str">
        <f aca="false">IF($B41="","",IF(INDEX(클레임목록!$F$2:$F$2000,MATCH($B41,클레임목록!$O$2:$O$2000,0))="","",INDEX(클레임목록!$F$2:$F$2000,MATCH($B41,클레임목록!$O$2:$O$2000,0))))</f>
        <v/>
      </c>
      <c r="I41" s="4" t="str">
        <f aca="false">IF($B41="","",IF(INDEX(클레임목록!$G$2:$G$2000,MATCH($B41,클레임목록!$O$2:$O$2000,0))="","",INDEX(클레임목록!$G$2:$G$2000,MATCH($B41,클레임목록!$O$2:$O$2000,0))))</f>
        <v/>
      </c>
      <c r="J41" s="4" t="str">
        <f aca="false">IF($B41="","",IF(INDEX(클레임목록!$H$2:$H$2000,MATCH($B41,클레임목록!$O$2:$O$2000,0))="","",INDEX(클레임목록!$H$2:$H$2000,MATCH($B41,클레임목록!$O$2:$O$2000,0))))</f>
        <v/>
      </c>
      <c r="K41" s="50" t="str">
        <f aca="false">IF($B41="","",IF(INDEX(클레임목록!$I$2:$I$2000,MATCH($B41,클레임목록!$O$2:$O$2000,0))="","",INDEX(클레임목록!$I$2:$I$2000,MATCH($B41,클레임목록!$O$2:$O$2000,0))))</f>
        <v/>
      </c>
      <c r="L41" s="49" t="str">
        <f aca="false">IF($B41="","",IF(INDEX(클레임목록!$J$2:$J$2000,MATCH($B41,클레임목록!$O$2:$O$2000,0))="","",INDEX(클레임목록!$J$2:$J$2000,MATCH($B41,클레임목록!$O$2:$O$2000,0))))</f>
        <v/>
      </c>
    </row>
    <row r="42" customFormat="false" ht="15" hidden="false" customHeight="false" outlineLevel="0" collapsed="false">
      <c r="B42" s="48" t="str">
        <f aca="false">IF(29&lt;=$C$11,29,"")</f>
        <v/>
      </c>
      <c r="C42" s="49" t="str">
        <f aca="false">IF($B42="","",IF(INDEX(클레임목록!$A$2:$A$2000,MATCH($B42,클레임목록!$O$2:$O$2000,0))="","",INDEX(클레임목록!$A$2:$A$2000,MATCH($B42,클레임목록!$O$2:$O$2000,0))))</f>
        <v/>
      </c>
      <c r="D42" s="50" t="str">
        <f aca="false">IF($B42="","",IF(INDEX(클레임목록!$B$2:$B$2000,MATCH($B42,클레임목록!$O$2:$O$2000,0))="","",INDEX(클레임목록!$B$2:$B$2000,MATCH($B42,클레임목록!$O$2:$O$2000,0))))</f>
        <v/>
      </c>
      <c r="E42" s="4" t="str">
        <f aca="false">IF($B42="","",IF(INDEX(클레임목록!$C$2:$C$2000,MATCH($B42,클레임목록!$O$2:$O$2000,0))="","",INDEX(클레임목록!$C$2:$C$2000,MATCH($B42,클레임목록!$O$2:$O$2000,0))))</f>
        <v/>
      </c>
      <c r="F42" s="49" t="str">
        <f aca="false">IF($B42="","",IF(INDEX(클레임목록!$D$2:$D$2000,MATCH($B42,클레임목록!$O$2:$O$2000,0))="","",INDEX(클레임목록!$D$2:$D$2000,MATCH($B42,클레임목록!$O$2:$O$2000,0))))</f>
        <v/>
      </c>
      <c r="G42" s="49" t="str">
        <f aca="false">IF($B42="","",IF(INDEX(클레임목록!$E$2:$E$2000,MATCH($B42,클레임목록!$O$2:$O$2000,0))="","",INDEX(클레임목록!$E$2:$E$2000,MATCH($B42,클레임목록!$O$2:$O$2000,0))))</f>
        <v/>
      </c>
      <c r="H42" s="4" t="str">
        <f aca="false">IF($B42="","",IF(INDEX(클레임목록!$F$2:$F$2000,MATCH($B42,클레임목록!$O$2:$O$2000,0))="","",INDEX(클레임목록!$F$2:$F$2000,MATCH($B42,클레임목록!$O$2:$O$2000,0))))</f>
        <v/>
      </c>
      <c r="I42" s="4" t="str">
        <f aca="false">IF($B42="","",IF(INDEX(클레임목록!$G$2:$G$2000,MATCH($B42,클레임목록!$O$2:$O$2000,0))="","",INDEX(클레임목록!$G$2:$G$2000,MATCH($B42,클레임목록!$O$2:$O$2000,0))))</f>
        <v/>
      </c>
      <c r="J42" s="4" t="str">
        <f aca="false">IF($B42="","",IF(INDEX(클레임목록!$H$2:$H$2000,MATCH($B42,클레임목록!$O$2:$O$2000,0))="","",INDEX(클레임목록!$H$2:$H$2000,MATCH($B42,클레임목록!$O$2:$O$2000,0))))</f>
        <v/>
      </c>
      <c r="K42" s="50" t="str">
        <f aca="false">IF($B42="","",IF(INDEX(클레임목록!$I$2:$I$2000,MATCH($B42,클레임목록!$O$2:$O$2000,0))="","",INDEX(클레임목록!$I$2:$I$2000,MATCH($B42,클레임목록!$O$2:$O$2000,0))))</f>
        <v/>
      </c>
      <c r="L42" s="49" t="str">
        <f aca="false">IF($B42="","",IF(INDEX(클레임목록!$J$2:$J$2000,MATCH($B42,클레임목록!$O$2:$O$2000,0))="","",INDEX(클레임목록!$J$2:$J$2000,MATCH($B42,클레임목록!$O$2:$O$2000,0))))</f>
        <v/>
      </c>
    </row>
    <row r="43" customFormat="false" ht="15" hidden="false" customHeight="false" outlineLevel="0" collapsed="false">
      <c r="B43" s="48" t="str">
        <f aca="false">IF(30&lt;=$C$11,30,"")</f>
        <v/>
      </c>
      <c r="C43" s="49" t="str">
        <f aca="false">IF($B43="","",IF(INDEX(클레임목록!$A$2:$A$2000,MATCH($B43,클레임목록!$O$2:$O$2000,0))="","",INDEX(클레임목록!$A$2:$A$2000,MATCH($B43,클레임목록!$O$2:$O$2000,0))))</f>
        <v/>
      </c>
      <c r="D43" s="50" t="str">
        <f aca="false">IF($B43="","",IF(INDEX(클레임목록!$B$2:$B$2000,MATCH($B43,클레임목록!$O$2:$O$2000,0))="","",INDEX(클레임목록!$B$2:$B$2000,MATCH($B43,클레임목록!$O$2:$O$2000,0))))</f>
        <v/>
      </c>
      <c r="E43" s="4" t="str">
        <f aca="false">IF($B43="","",IF(INDEX(클레임목록!$C$2:$C$2000,MATCH($B43,클레임목록!$O$2:$O$2000,0))="","",INDEX(클레임목록!$C$2:$C$2000,MATCH($B43,클레임목록!$O$2:$O$2000,0))))</f>
        <v/>
      </c>
      <c r="F43" s="49" t="str">
        <f aca="false">IF($B43="","",IF(INDEX(클레임목록!$D$2:$D$2000,MATCH($B43,클레임목록!$O$2:$O$2000,0))="","",INDEX(클레임목록!$D$2:$D$2000,MATCH($B43,클레임목록!$O$2:$O$2000,0))))</f>
        <v/>
      </c>
      <c r="G43" s="49" t="str">
        <f aca="false">IF($B43="","",IF(INDEX(클레임목록!$E$2:$E$2000,MATCH($B43,클레임목록!$O$2:$O$2000,0))="","",INDEX(클레임목록!$E$2:$E$2000,MATCH($B43,클레임목록!$O$2:$O$2000,0))))</f>
        <v/>
      </c>
      <c r="H43" s="4" t="str">
        <f aca="false">IF($B43="","",IF(INDEX(클레임목록!$F$2:$F$2000,MATCH($B43,클레임목록!$O$2:$O$2000,0))="","",INDEX(클레임목록!$F$2:$F$2000,MATCH($B43,클레임목록!$O$2:$O$2000,0))))</f>
        <v/>
      </c>
      <c r="I43" s="4" t="str">
        <f aca="false">IF($B43="","",IF(INDEX(클레임목록!$G$2:$G$2000,MATCH($B43,클레임목록!$O$2:$O$2000,0))="","",INDEX(클레임목록!$G$2:$G$2000,MATCH($B43,클레임목록!$O$2:$O$2000,0))))</f>
        <v/>
      </c>
      <c r="J43" s="4" t="str">
        <f aca="false">IF($B43="","",IF(INDEX(클레임목록!$H$2:$H$2000,MATCH($B43,클레임목록!$O$2:$O$2000,0))="","",INDEX(클레임목록!$H$2:$H$2000,MATCH($B43,클레임목록!$O$2:$O$2000,0))))</f>
        <v/>
      </c>
      <c r="K43" s="50" t="str">
        <f aca="false">IF($B43="","",IF(INDEX(클레임목록!$I$2:$I$2000,MATCH($B43,클레임목록!$O$2:$O$2000,0))="","",INDEX(클레임목록!$I$2:$I$2000,MATCH($B43,클레임목록!$O$2:$O$2000,0))))</f>
        <v/>
      </c>
      <c r="L43" s="49" t="str">
        <f aca="false">IF($B43="","",IF(INDEX(클레임목록!$J$2:$J$2000,MATCH($B43,클레임목록!$O$2:$O$2000,0))="","",INDEX(클레임목록!$J$2:$J$2000,MATCH($B43,클레임목록!$O$2:$O$2000,0))))</f>
        <v/>
      </c>
    </row>
    <row r="44" customFormat="false" ht="15" hidden="false" customHeight="false" outlineLevel="0" collapsed="false">
      <c r="B44" s="48" t="str">
        <f aca="false">IF(31&lt;=$C$11,31,"")</f>
        <v/>
      </c>
      <c r="C44" s="49" t="str">
        <f aca="false">IF($B44="","",IF(INDEX(클레임목록!$A$2:$A$2000,MATCH($B44,클레임목록!$O$2:$O$2000,0))="","",INDEX(클레임목록!$A$2:$A$2000,MATCH($B44,클레임목록!$O$2:$O$2000,0))))</f>
        <v/>
      </c>
      <c r="D44" s="50" t="str">
        <f aca="false">IF($B44="","",IF(INDEX(클레임목록!$B$2:$B$2000,MATCH($B44,클레임목록!$O$2:$O$2000,0))="","",INDEX(클레임목록!$B$2:$B$2000,MATCH($B44,클레임목록!$O$2:$O$2000,0))))</f>
        <v/>
      </c>
      <c r="E44" s="4" t="str">
        <f aca="false">IF($B44="","",IF(INDEX(클레임목록!$C$2:$C$2000,MATCH($B44,클레임목록!$O$2:$O$2000,0))="","",INDEX(클레임목록!$C$2:$C$2000,MATCH($B44,클레임목록!$O$2:$O$2000,0))))</f>
        <v/>
      </c>
      <c r="F44" s="49" t="str">
        <f aca="false">IF($B44="","",IF(INDEX(클레임목록!$D$2:$D$2000,MATCH($B44,클레임목록!$O$2:$O$2000,0))="","",INDEX(클레임목록!$D$2:$D$2000,MATCH($B44,클레임목록!$O$2:$O$2000,0))))</f>
        <v/>
      </c>
      <c r="G44" s="49" t="str">
        <f aca="false">IF($B44="","",IF(INDEX(클레임목록!$E$2:$E$2000,MATCH($B44,클레임목록!$O$2:$O$2000,0))="","",INDEX(클레임목록!$E$2:$E$2000,MATCH($B44,클레임목록!$O$2:$O$2000,0))))</f>
        <v/>
      </c>
      <c r="H44" s="4" t="str">
        <f aca="false">IF($B44="","",IF(INDEX(클레임목록!$F$2:$F$2000,MATCH($B44,클레임목록!$O$2:$O$2000,0))="","",INDEX(클레임목록!$F$2:$F$2000,MATCH($B44,클레임목록!$O$2:$O$2000,0))))</f>
        <v/>
      </c>
      <c r="I44" s="4" t="str">
        <f aca="false">IF($B44="","",IF(INDEX(클레임목록!$G$2:$G$2000,MATCH($B44,클레임목록!$O$2:$O$2000,0))="","",INDEX(클레임목록!$G$2:$G$2000,MATCH($B44,클레임목록!$O$2:$O$2000,0))))</f>
        <v/>
      </c>
      <c r="J44" s="4" t="str">
        <f aca="false">IF($B44="","",IF(INDEX(클레임목록!$H$2:$H$2000,MATCH($B44,클레임목록!$O$2:$O$2000,0))="","",INDEX(클레임목록!$H$2:$H$2000,MATCH($B44,클레임목록!$O$2:$O$2000,0))))</f>
        <v/>
      </c>
      <c r="K44" s="50" t="str">
        <f aca="false">IF($B44="","",IF(INDEX(클레임목록!$I$2:$I$2000,MATCH($B44,클레임목록!$O$2:$O$2000,0))="","",INDEX(클레임목록!$I$2:$I$2000,MATCH($B44,클레임목록!$O$2:$O$2000,0))))</f>
        <v/>
      </c>
      <c r="L44" s="49" t="str">
        <f aca="false">IF($B44="","",IF(INDEX(클레임목록!$J$2:$J$2000,MATCH($B44,클레임목록!$O$2:$O$2000,0))="","",INDEX(클레임목록!$J$2:$J$2000,MATCH($B44,클레임목록!$O$2:$O$2000,0))))</f>
        <v/>
      </c>
    </row>
    <row r="45" customFormat="false" ht="15" hidden="false" customHeight="false" outlineLevel="0" collapsed="false">
      <c r="B45" s="48" t="str">
        <f aca="false">IF(32&lt;=$C$11,32,"")</f>
        <v/>
      </c>
      <c r="C45" s="49" t="str">
        <f aca="false">IF($B45="","",IF(INDEX(클레임목록!$A$2:$A$2000,MATCH($B45,클레임목록!$O$2:$O$2000,0))="","",INDEX(클레임목록!$A$2:$A$2000,MATCH($B45,클레임목록!$O$2:$O$2000,0))))</f>
        <v/>
      </c>
      <c r="D45" s="50" t="str">
        <f aca="false">IF($B45="","",IF(INDEX(클레임목록!$B$2:$B$2000,MATCH($B45,클레임목록!$O$2:$O$2000,0))="","",INDEX(클레임목록!$B$2:$B$2000,MATCH($B45,클레임목록!$O$2:$O$2000,0))))</f>
        <v/>
      </c>
      <c r="E45" s="4" t="str">
        <f aca="false">IF($B45="","",IF(INDEX(클레임목록!$C$2:$C$2000,MATCH($B45,클레임목록!$O$2:$O$2000,0))="","",INDEX(클레임목록!$C$2:$C$2000,MATCH($B45,클레임목록!$O$2:$O$2000,0))))</f>
        <v/>
      </c>
      <c r="F45" s="49" t="str">
        <f aca="false">IF($B45="","",IF(INDEX(클레임목록!$D$2:$D$2000,MATCH($B45,클레임목록!$O$2:$O$2000,0))="","",INDEX(클레임목록!$D$2:$D$2000,MATCH($B45,클레임목록!$O$2:$O$2000,0))))</f>
        <v/>
      </c>
      <c r="G45" s="49" t="str">
        <f aca="false">IF($B45="","",IF(INDEX(클레임목록!$E$2:$E$2000,MATCH($B45,클레임목록!$O$2:$O$2000,0))="","",INDEX(클레임목록!$E$2:$E$2000,MATCH($B45,클레임목록!$O$2:$O$2000,0))))</f>
        <v/>
      </c>
      <c r="H45" s="4" t="str">
        <f aca="false">IF($B45="","",IF(INDEX(클레임목록!$F$2:$F$2000,MATCH($B45,클레임목록!$O$2:$O$2000,0))="","",INDEX(클레임목록!$F$2:$F$2000,MATCH($B45,클레임목록!$O$2:$O$2000,0))))</f>
        <v/>
      </c>
      <c r="I45" s="4" t="str">
        <f aca="false">IF($B45="","",IF(INDEX(클레임목록!$G$2:$G$2000,MATCH($B45,클레임목록!$O$2:$O$2000,0))="","",INDEX(클레임목록!$G$2:$G$2000,MATCH($B45,클레임목록!$O$2:$O$2000,0))))</f>
        <v/>
      </c>
      <c r="J45" s="4" t="str">
        <f aca="false">IF($B45="","",IF(INDEX(클레임목록!$H$2:$H$2000,MATCH($B45,클레임목록!$O$2:$O$2000,0))="","",INDEX(클레임목록!$H$2:$H$2000,MATCH($B45,클레임목록!$O$2:$O$2000,0))))</f>
        <v/>
      </c>
      <c r="K45" s="50" t="str">
        <f aca="false">IF($B45="","",IF(INDEX(클레임목록!$I$2:$I$2000,MATCH($B45,클레임목록!$O$2:$O$2000,0))="","",INDEX(클레임목록!$I$2:$I$2000,MATCH($B45,클레임목록!$O$2:$O$2000,0))))</f>
        <v/>
      </c>
      <c r="L45" s="49" t="str">
        <f aca="false">IF($B45="","",IF(INDEX(클레임목록!$J$2:$J$2000,MATCH($B45,클레임목록!$O$2:$O$2000,0))="","",INDEX(클레임목록!$J$2:$J$2000,MATCH($B45,클레임목록!$O$2:$O$2000,0))))</f>
        <v/>
      </c>
    </row>
    <row r="46" customFormat="false" ht="15" hidden="false" customHeight="false" outlineLevel="0" collapsed="false">
      <c r="B46" s="48" t="str">
        <f aca="false">IF(33&lt;=$C$11,33,"")</f>
        <v/>
      </c>
      <c r="C46" s="49" t="str">
        <f aca="false">IF($B46="","",IF(INDEX(클레임목록!$A$2:$A$2000,MATCH($B46,클레임목록!$O$2:$O$2000,0))="","",INDEX(클레임목록!$A$2:$A$2000,MATCH($B46,클레임목록!$O$2:$O$2000,0))))</f>
        <v/>
      </c>
      <c r="D46" s="50" t="str">
        <f aca="false">IF($B46="","",IF(INDEX(클레임목록!$B$2:$B$2000,MATCH($B46,클레임목록!$O$2:$O$2000,0))="","",INDEX(클레임목록!$B$2:$B$2000,MATCH($B46,클레임목록!$O$2:$O$2000,0))))</f>
        <v/>
      </c>
      <c r="E46" s="4" t="str">
        <f aca="false">IF($B46="","",IF(INDEX(클레임목록!$C$2:$C$2000,MATCH($B46,클레임목록!$O$2:$O$2000,0))="","",INDEX(클레임목록!$C$2:$C$2000,MATCH($B46,클레임목록!$O$2:$O$2000,0))))</f>
        <v/>
      </c>
      <c r="F46" s="49" t="str">
        <f aca="false">IF($B46="","",IF(INDEX(클레임목록!$D$2:$D$2000,MATCH($B46,클레임목록!$O$2:$O$2000,0))="","",INDEX(클레임목록!$D$2:$D$2000,MATCH($B46,클레임목록!$O$2:$O$2000,0))))</f>
        <v/>
      </c>
      <c r="G46" s="49" t="str">
        <f aca="false">IF($B46="","",IF(INDEX(클레임목록!$E$2:$E$2000,MATCH($B46,클레임목록!$O$2:$O$2000,0))="","",INDEX(클레임목록!$E$2:$E$2000,MATCH($B46,클레임목록!$O$2:$O$2000,0))))</f>
        <v/>
      </c>
      <c r="H46" s="4" t="str">
        <f aca="false">IF($B46="","",IF(INDEX(클레임목록!$F$2:$F$2000,MATCH($B46,클레임목록!$O$2:$O$2000,0))="","",INDEX(클레임목록!$F$2:$F$2000,MATCH($B46,클레임목록!$O$2:$O$2000,0))))</f>
        <v/>
      </c>
      <c r="I46" s="4" t="str">
        <f aca="false">IF($B46="","",IF(INDEX(클레임목록!$G$2:$G$2000,MATCH($B46,클레임목록!$O$2:$O$2000,0))="","",INDEX(클레임목록!$G$2:$G$2000,MATCH($B46,클레임목록!$O$2:$O$2000,0))))</f>
        <v/>
      </c>
      <c r="J46" s="4" t="str">
        <f aca="false">IF($B46="","",IF(INDEX(클레임목록!$H$2:$H$2000,MATCH($B46,클레임목록!$O$2:$O$2000,0))="","",INDEX(클레임목록!$H$2:$H$2000,MATCH($B46,클레임목록!$O$2:$O$2000,0))))</f>
        <v/>
      </c>
      <c r="K46" s="50" t="str">
        <f aca="false">IF($B46="","",IF(INDEX(클레임목록!$I$2:$I$2000,MATCH($B46,클레임목록!$O$2:$O$2000,0))="","",INDEX(클레임목록!$I$2:$I$2000,MATCH($B46,클레임목록!$O$2:$O$2000,0))))</f>
        <v/>
      </c>
      <c r="L46" s="49" t="str">
        <f aca="false">IF($B46="","",IF(INDEX(클레임목록!$J$2:$J$2000,MATCH($B46,클레임목록!$O$2:$O$2000,0))="","",INDEX(클레임목록!$J$2:$J$2000,MATCH($B46,클레임목록!$O$2:$O$2000,0))))</f>
        <v/>
      </c>
    </row>
    <row r="47" customFormat="false" ht="15" hidden="false" customHeight="false" outlineLevel="0" collapsed="false">
      <c r="B47" s="48" t="str">
        <f aca="false">IF(34&lt;=$C$11,34,"")</f>
        <v/>
      </c>
      <c r="C47" s="49" t="str">
        <f aca="false">IF($B47="","",IF(INDEX(클레임목록!$A$2:$A$2000,MATCH($B47,클레임목록!$O$2:$O$2000,0))="","",INDEX(클레임목록!$A$2:$A$2000,MATCH($B47,클레임목록!$O$2:$O$2000,0))))</f>
        <v/>
      </c>
      <c r="D47" s="50" t="str">
        <f aca="false">IF($B47="","",IF(INDEX(클레임목록!$B$2:$B$2000,MATCH($B47,클레임목록!$O$2:$O$2000,0))="","",INDEX(클레임목록!$B$2:$B$2000,MATCH($B47,클레임목록!$O$2:$O$2000,0))))</f>
        <v/>
      </c>
      <c r="E47" s="4" t="str">
        <f aca="false">IF($B47="","",IF(INDEX(클레임목록!$C$2:$C$2000,MATCH($B47,클레임목록!$O$2:$O$2000,0))="","",INDEX(클레임목록!$C$2:$C$2000,MATCH($B47,클레임목록!$O$2:$O$2000,0))))</f>
        <v/>
      </c>
      <c r="F47" s="49" t="str">
        <f aca="false">IF($B47="","",IF(INDEX(클레임목록!$D$2:$D$2000,MATCH($B47,클레임목록!$O$2:$O$2000,0))="","",INDEX(클레임목록!$D$2:$D$2000,MATCH($B47,클레임목록!$O$2:$O$2000,0))))</f>
        <v/>
      </c>
      <c r="G47" s="49" t="str">
        <f aca="false">IF($B47="","",IF(INDEX(클레임목록!$E$2:$E$2000,MATCH($B47,클레임목록!$O$2:$O$2000,0))="","",INDEX(클레임목록!$E$2:$E$2000,MATCH($B47,클레임목록!$O$2:$O$2000,0))))</f>
        <v/>
      </c>
      <c r="H47" s="4" t="str">
        <f aca="false">IF($B47="","",IF(INDEX(클레임목록!$F$2:$F$2000,MATCH($B47,클레임목록!$O$2:$O$2000,0))="","",INDEX(클레임목록!$F$2:$F$2000,MATCH($B47,클레임목록!$O$2:$O$2000,0))))</f>
        <v/>
      </c>
      <c r="I47" s="4" t="str">
        <f aca="false">IF($B47="","",IF(INDEX(클레임목록!$G$2:$G$2000,MATCH($B47,클레임목록!$O$2:$O$2000,0))="","",INDEX(클레임목록!$G$2:$G$2000,MATCH($B47,클레임목록!$O$2:$O$2000,0))))</f>
        <v/>
      </c>
      <c r="J47" s="4" t="str">
        <f aca="false">IF($B47="","",IF(INDEX(클레임목록!$H$2:$H$2000,MATCH($B47,클레임목록!$O$2:$O$2000,0))="","",INDEX(클레임목록!$H$2:$H$2000,MATCH($B47,클레임목록!$O$2:$O$2000,0))))</f>
        <v/>
      </c>
      <c r="K47" s="50" t="str">
        <f aca="false">IF($B47="","",IF(INDEX(클레임목록!$I$2:$I$2000,MATCH($B47,클레임목록!$O$2:$O$2000,0))="","",INDEX(클레임목록!$I$2:$I$2000,MATCH($B47,클레임목록!$O$2:$O$2000,0))))</f>
        <v/>
      </c>
      <c r="L47" s="49" t="str">
        <f aca="false">IF($B47="","",IF(INDEX(클레임목록!$J$2:$J$2000,MATCH($B47,클레임목록!$O$2:$O$2000,0))="","",INDEX(클레임목록!$J$2:$J$2000,MATCH($B47,클레임목록!$O$2:$O$2000,0))))</f>
        <v/>
      </c>
    </row>
    <row r="48" customFormat="false" ht="15" hidden="false" customHeight="false" outlineLevel="0" collapsed="false">
      <c r="B48" s="48" t="str">
        <f aca="false">IF(35&lt;=$C$11,35,"")</f>
        <v/>
      </c>
      <c r="C48" s="49" t="str">
        <f aca="false">IF($B48="","",IF(INDEX(클레임목록!$A$2:$A$2000,MATCH($B48,클레임목록!$O$2:$O$2000,0))="","",INDEX(클레임목록!$A$2:$A$2000,MATCH($B48,클레임목록!$O$2:$O$2000,0))))</f>
        <v/>
      </c>
      <c r="D48" s="50" t="str">
        <f aca="false">IF($B48="","",IF(INDEX(클레임목록!$B$2:$B$2000,MATCH($B48,클레임목록!$O$2:$O$2000,0))="","",INDEX(클레임목록!$B$2:$B$2000,MATCH($B48,클레임목록!$O$2:$O$2000,0))))</f>
        <v/>
      </c>
      <c r="E48" s="4" t="str">
        <f aca="false">IF($B48="","",IF(INDEX(클레임목록!$C$2:$C$2000,MATCH($B48,클레임목록!$O$2:$O$2000,0))="","",INDEX(클레임목록!$C$2:$C$2000,MATCH($B48,클레임목록!$O$2:$O$2000,0))))</f>
        <v/>
      </c>
      <c r="F48" s="49" t="str">
        <f aca="false">IF($B48="","",IF(INDEX(클레임목록!$D$2:$D$2000,MATCH($B48,클레임목록!$O$2:$O$2000,0))="","",INDEX(클레임목록!$D$2:$D$2000,MATCH($B48,클레임목록!$O$2:$O$2000,0))))</f>
        <v/>
      </c>
      <c r="G48" s="49" t="str">
        <f aca="false">IF($B48="","",IF(INDEX(클레임목록!$E$2:$E$2000,MATCH($B48,클레임목록!$O$2:$O$2000,0))="","",INDEX(클레임목록!$E$2:$E$2000,MATCH($B48,클레임목록!$O$2:$O$2000,0))))</f>
        <v/>
      </c>
      <c r="H48" s="4" t="str">
        <f aca="false">IF($B48="","",IF(INDEX(클레임목록!$F$2:$F$2000,MATCH($B48,클레임목록!$O$2:$O$2000,0))="","",INDEX(클레임목록!$F$2:$F$2000,MATCH($B48,클레임목록!$O$2:$O$2000,0))))</f>
        <v/>
      </c>
      <c r="I48" s="4" t="str">
        <f aca="false">IF($B48="","",IF(INDEX(클레임목록!$G$2:$G$2000,MATCH($B48,클레임목록!$O$2:$O$2000,0))="","",INDEX(클레임목록!$G$2:$G$2000,MATCH($B48,클레임목록!$O$2:$O$2000,0))))</f>
        <v/>
      </c>
      <c r="J48" s="4" t="str">
        <f aca="false">IF($B48="","",IF(INDEX(클레임목록!$H$2:$H$2000,MATCH($B48,클레임목록!$O$2:$O$2000,0))="","",INDEX(클레임목록!$H$2:$H$2000,MATCH($B48,클레임목록!$O$2:$O$2000,0))))</f>
        <v/>
      </c>
      <c r="K48" s="50" t="str">
        <f aca="false">IF($B48="","",IF(INDEX(클레임목록!$I$2:$I$2000,MATCH($B48,클레임목록!$O$2:$O$2000,0))="","",INDEX(클레임목록!$I$2:$I$2000,MATCH($B48,클레임목록!$O$2:$O$2000,0))))</f>
        <v/>
      </c>
      <c r="L48" s="49" t="str">
        <f aca="false">IF($B48="","",IF(INDEX(클레임목록!$J$2:$J$2000,MATCH($B48,클레임목록!$O$2:$O$2000,0))="","",INDEX(클레임목록!$J$2:$J$2000,MATCH($B48,클레임목록!$O$2:$O$2000,0))))</f>
        <v/>
      </c>
    </row>
    <row r="49" customFormat="false" ht="15" hidden="false" customHeight="false" outlineLevel="0" collapsed="false">
      <c r="B49" s="48" t="str">
        <f aca="false">IF(36&lt;=$C$11,36,"")</f>
        <v/>
      </c>
      <c r="C49" s="49" t="str">
        <f aca="false">IF($B49="","",IF(INDEX(클레임목록!$A$2:$A$2000,MATCH($B49,클레임목록!$O$2:$O$2000,0))="","",INDEX(클레임목록!$A$2:$A$2000,MATCH($B49,클레임목록!$O$2:$O$2000,0))))</f>
        <v/>
      </c>
      <c r="D49" s="50" t="str">
        <f aca="false">IF($B49="","",IF(INDEX(클레임목록!$B$2:$B$2000,MATCH($B49,클레임목록!$O$2:$O$2000,0))="","",INDEX(클레임목록!$B$2:$B$2000,MATCH($B49,클레임목록!$O$2:$O$2000,0))))</f>
        <v/>
      </c>
      <c r="E49" s="4" t="str">
        <f aca="false">IF($B49="","",IF(INDEX(클레임목록!$C$2:$C$2000,MATCH($B49,클레임목록!$O$2:$O$2000,0))="","",INDEX(클레임목록!$C$2:$C$2000,MATCH($B49,클레임목록!$O$2:$O$2000,0))))</f>
        <v/>
      </c>
      <c r="F49" s="49" t="str">
        <f aca="false">IF($B49="","",IF(INDEX(클레임목록!$D$2:$D$2000,MATCH($B49,클레임목록!$O$2:$O$2000,0))="","",INDEX(클레임목록!$D$2:$D$2000,MATCH($B49,클레임목록!$O$2:$O$2000,0))))</f>
        <v/>
      </c>
      <c r="G49" s="49" t="str">
        <f aca="false">IF($B49="","",IF(INDEX(클레임목록!$E$2:$E$2000,MATCH($B49,클레임목록!$O$2:$O$2000,0))="","",INDEX(클레임목록!$E$2:$E$2000,MATCH($B49,클레임목록!$O$2:$O$2000,0))))</f>
        <v/>
      </c>
      <c r="H49" s="4" t="str">
        <f aca="false">IF($B49="","",IF(INDEX(클레임목록!$F$2:$F$2000,MATCH($B49,클레임목록!$O$2:$O$2000,0))="","",INDEX(클레임목록!$F$2:$F$2000,MATCH($B49,클레임목록!$O$2:$O$2000,0))))</f>
        <v/>
      </c>
      <c r="I49" s="4" t="str">
        <f aca="false">IF($B49="","",IF(INDEX(클레임목록!$G$2:$G$2000,MATCH($B49,클레임목록!$O$2:$O$2000,0))="","",INDEX(클레임목록!$G$2:$G$2000,MATCH($B49,클레임목록!$O$2:$O$2000,0))))</f>
        <v/>
      </c>
      <c r="J49" s="4" t="str">
        <f aca="false">IF($B49="","",IF(INDEX(클레임목록!$H$2:$H$2000,MATCH($B49,클레임목록!$O$2:$O$2000,0))="","",INDEX(클레임목록!$H$2:$H$2000,MATCH($B49,클레임목록!$O$2:$O$2000,0))))</f>
        <v/>
      </c>
      <c r="K49" s="50" t="str">
        <f aca="false">IF($B49="","",IF(INDEX(클레임목록!$I$2:$I$2000,MATCH($B49,클레임목록!$O$2:$O$2000,0))="","",INDEX(클레임목록!$I$2:$I$2000,MATCH($B49,클레임목록!$O$2:$O$2000,0))))</f>
        <v/>
      </c>
      <c r="L49" s="49" t="str">
        <f aca="false">IF($B49="","",IF(INDEX(클레임목록!$J$2:$J$2000,MATCH($B49,클레임목록!$O$2:$O$2000,0))="","",INDEX(클레임목록!$J$2:$J$2000,MATCH($B49,클레임목록!$O$2:$O$2000,0))))</f>
        <v/>
      </c>
    </row>
    <row r="50" customFormat="false" ht="15" hidden="false" customHeight="false" outlineLevel="0" collapsed="false">
      <c r="B50" s="48" t="str">
        <f aca="false">IF(37&lt;=$C$11,37,"")</f>
        <v/>
      </c>
      <c r="C50" s="49" t="str">
        <f aca="false">IF($B50="","",IF(INDEX(클레임목록!$A$2:$A$2000,MATCH($B50,클레임목록!$O$2:$O$2000,0))="","",INDEX(클레임목록!$A$2:$A$2000,MATCH($B50,클레임목록!$O$2:$O$2000,0))))</f>
        <v/>
      </c>
      <c r="D50" s="50" t="str">
        <f aca="false">IF($B50="","",IF(INDEX(클레임목록!$B$2:$B$2000,MATCH($B50,클레임목록!$O$2:$O$2000,0))="","",INDEX(클레임목록!$B$2:$B$2000,MATCH($B50,클레임목록!$O$2:$O$2000,0))))</f>
        <v/>
      </c>
      <c r="E50" s="4" t="str">
        <f aca="false">IF($B50="","",IF(INDEX(클레임목록!$C$2:$C$2000,MATCH($B50,클레임목록!$O$2:$O$2000,0))="","",INDEX(클레임목록!$C$2:$C$2000,MATCH($B50,클레임목록!$O$2:$O$2000,0))))</f>
        <v/>
      </c>
      <c r="F50" s="49" t="str">
        <f aca="false">IF($B50="","",IF(INDEX(클레임목록!$D$2:$D$2000,MATCH($B50,클레임목록!$O$2:$O$2000,0))="","",INDEX(클레임목록!$D$2:$D$2000,MATCH($B50,클레임목록!$O$2:$O$2000,0))))</f>
        <v/>
      </c>
      <c r="G50" s="49" t="str">
        <f aca="false">IF($B50="","",IF(INDEX(클레임목록!$E$2:$E$2000,MATCH($B50,클레임목록!$O$2:$O$2000,0))="","",INDEX(클레임목록!$E$2:$E$2000,MATCH($B50,클레임목록!$O$2:$O$2000,0))))</f>
        <v/>
      </c>
      <c r="H50" s="4" t="str">
        <f aca="false">IF($B50="","",IF(INDEX(클레임목록!$F$2:$F$2000,MATCH($B50,클레임목록!$O$2:$O$2000,0))="","",INDEX(클레임목록!$F$2:$F$2000,MATCH($B50,클레임목록!$O$2:$O$2000,0))))</f>
        <v/>
      </c>
      <c r="I50" s="4" t="str">
        <f aca="false">IF($B50="","",IF(INDEX(클레임목록!$G$2:$G$2000,MATCH($B50,클레임목록!$O$2:$O$2000,0))="","",INDEX(클레임목록!$G$2:$G$2000,MATCH($B50,클레임목록!$O$2:$O$2000,0))))</f>
        <v/>
      </c>
      <c r="J50" s="4" t="str">
        <f aca="false">IF($B50="","",IF(INDEX(클레임목록!$H$2:$H$2000,MATCH($B50,클레임목록!$O$2:$O$2000,0))="","",INDEX(클레임목록!$H$2:$H$2000,MATCH($B50,클레임목록!$O$2:$O$2000,0))))</f>
        <v/>
      </c>
      <c r="K50" s="50" t="str">
        <f aca="false">IF($B50="","",IF(INDEX(클레임목록!$I$2:$I$2000,MATCH($B50,클레임목록!$O$2:$O$2000,0))="","",INDEX(클레임목록!$I$2:$I$2000,MATCH($B50,클레임목록!$O$2:$O$2000,0))))</f>
        <v/>
      </c>
      <c r="L50" s="49" t="str">
        <f aca="false">IF($B50="","",IF(INDEX(클레임목록!$J$2:$J$2000,MATCH($B50,클레임목록!$O$2:$O$2000,0))="","",INDEX(클레임목록!$J$2:$J$2000,MATCH($B50,클레임목록!$O$2:$O$2000,0))))</f>
        <v/>
      </c>
    </row>
    <row r="51" customFormat="false" ht="15" hidden="false" customHeight="false" outlineLevel="0" collapsed="false">
      <c r="B51" s="48" t="str">
        <f aca="false">IF(38&lt;=$C$11,38,"")</f>
        <v/>
      </c>
      <c r="C51" s="49" t="str">
        <f aca="false">IF($B51="","",IF(INDEX(클레임목록!$A$2:$A$2000,MATCH($B51,클레임목록!$O$2:$O$2000,0))="","",INDEX(클레임목록!$A$2:$A$2000,MATCH($B51,클레임목록!$O$2:$O$2000,0))))</f>
        <v/>
      </c>
      <c r="D51" s="50" t="str">
        <f aca="false">IF($B51="","",IF(INDEX(클레임목록!$B$2:$B$2000,MATCH($B51,클레임목록!$O$2:$O$2000,0))="","",INDEX(클레임목록!$B$2:$B$2000,MATCH($B51,클레임목록!$O$2:$O$2000,0))))</f>
        <v/>
      </c>
      <c r="E51" s="4" t="str">
        <f aca="false">IF($B51="","",IF(INDEX(클레임목록!$C$2:$C$2000,MATCH($B51,클레임목록!$O$2:$O$2000,0))="","",INDEX(클레임목록!$C$2:$C$2000,MATCH($B51,클레임목록!$O$2:$O$2000,0))))</f>
        <v/>
      </c>
      <c r="F51" s="49" t="str">
        <f aca="false">IF($B51="","",IF(INDEX(클레임목록!$D$2:$D$2000,MATCH($B51,클레임목록!$O$2:$O$2000,0))="","",INDEX(클레임목록!$D$2:$D$2000,MATCH($B51,클레임목록!$O$2:$O$2000,0))))</f>
        <v/>
      </c>
      <c r="G51" s="49" t="str">
        <f aca="false">IF($B51="","",IF(INDEX(클레임목록!$E$2:$E$2000,MATCH($B51,클레임목록!$O$2:$O$2000,0))="","",INDEX(클레임목록!$E$2:$E$2000,MATCH($B51,클레임목록!$O$2:$O$2000,0))))</f>
        <v/>
      </c>
      <c r="H51" s="4" t="str">
        <f aca="false">IF($B51="","",IF(INDEX(클레임목록!$F$2:$F$2000,MATCH($B51,클레임목록!$O$2:$O$2000,0))="","",INDEX(클레임목록!$F$2:$F$2000,MATCH($B51,클레임목록!$O$2:$O$2000,0))))</f>
        <v/>
      </c>
      <c r="I51" s="4" t="str">
        <f aca="false">IF($B51="","",IF(INDEX(클레임목록!$G$2:$G$2000,MATCH($B51,클레임목록!$O$2:$O$2000,0))="","",INDEX(클레임목록!$G$2:$G$2000,MATCH($B51,클레임목록!$O$2:$O$2000,0))))</f>
        <v/>
      </c>
      <c r="J51" s="4" t="str">
        <f aca="false">IF($B51="","",IF(INDEX(클레임목록!$H$2:$H$2000,MATCH($B51,클레임목록!$O$2:$O$2000,0))="","",INDEX(클레임목록!$H$2:$H$2000,MATCH($B51,클레임목록!$O$2:$O$2000,0))))</f>
        <v/>
      </c>
      <c r="K51" s="50" t="str">
        <f aca="false">IF($B51="","",IF(INDEX(클레임목록!$I$2:$I$2000,MATCH($B51,클레임목록!$O$2:$O$2000,0))="","",INDEX(클레임목록!$I$2:$I$2000,MATCH($B51,클레임목록!$O$2:$O$2000,0))))</f>
        <v/>
      </c>
      <c r="L51" s="49" t="str">
        <f aca="false">IF($B51="","",IF(INDEX(클레임목록!$J$2:$J$2000,MATCH($B51,클레임목록!$O$2:$O$2000,0))="","",INDEX(클레임목록!$J$2:$J$2000,MATCH($B51,클레임목록!$O$2:$O$2000,0))))</f>
        <v/>
      </c>
    </row>
    <row r="52" customFormat="false" ht="15" hidden="false" customHeight="false" outlineLevel="0" collapsed="false">
      <c r="B52" s="48" t="str">
        <f aca="false">IF(39&lt;=$C$11,39,"")</f>
        <v/>
      </c>
      <c r="C52" s="49" t="str">
        <f aca="false">IF($B52="","",IF(INDEX(클레임목록!$A$2:$A$2000,MATCH($B52,클레임목록!$O$2:$O$2000,0))="","",INDEX(클레임목록!$A$2:$A$2000,MATCH($B52,클레임목록!$O$2:$O$2000,0))))</f>
        <v/>
      </c>
      <c r="D52" s="50" t="str">
        <f aca="false">IF($B52="","",IF(INDEX(클레임목록!$B$2:$B$2000,MATCH($B52,클레임목록!$O$2:$O$2000,0))="","",INDEX(클레임목록!$B$2:$B$2000,MATCH($B52,클레임목록!$O$2:$O$2000,0))))</f>
        <v/>
      </c>
      <c r="E52" s="4" t="str">
        <f aca="false">IF($B52="","",IF(INDEX(클레임목록!$C$2:$C$2000,MATCH($B52,클레임목록!$O$2:$O$2000,0))="","",INDEX(클레임목록!$C$2:$C$2000,MATCH($B52,클레임목록!$O$2:$O$2000,0))))</f>
        <v/>
      </c>
      <c r="F52" s="49" t="str">
        <f aca="false">IF($B52="","",IF(INDEX(클레임목록!$D$2:$D$2000,MATCH($B52,클레임목록!$O$2:$O$2000,0))="","",INDEX(클레임목록!$D$2:$D$2000,MATCH($B52,클레임목록!$O$2:$O$2000,0))))</f>
        <v/>
      </c>
      <c r="G52" s="49" t="str">
        <f aca="false">IF($B52="","",IF(INDEX(클레임목록!$E$2:$E$2000,MATCH($B52,클레임목록!$O$2:$O$2000,0))="","",INDEX(클레임목록!$E$2:$E$2000,MATCH($B52,클레임목록!$O$2:$O$2000,0))))</f>
        <v/>
      </c>
      <c r="H52" s="4" t="str">
        <f aca="false">IF($B52="","",IF(INDEX(클레임목록!$F$2:$F$2000,MATCH($B52,클레임목록!$O$2:$O$2000,0))="","",INDEX(클레임목록!$F$2:$F$2000,MATCH($B52,클레임목록!$O$2:$O$2000,0))))</f>
        <v/>
      </c>
      <c r="I52" s="4" t="str">
        <f aca="false">IF($B52="","",IF(INDEX(클레임목록!$G$2:$G$2000,MATCH($B52,클레임목록!$O$2:$O$2000,0))="","",INDEX(클레임목록!$G$2:$G$2000,MATCH($B52,클레임목록!$O$2:$O$2000,0))))</f>
        <v/>
      </c>
      <c r="J52" s="4" t="str">
        <f aca="false">IF($B52="","",IF(INDEX(클레임목록!$H$2:$H$2000,MATCH($B52,클레임목록!$O$2:$O$2000,0))="","",INDEX(클레임목록!$H$2:$H$2000,MATCH($B52,클레임목록!$O$2:$O$2000,0))))</f>
        <v/>
      </c>
      <c r="K52" s="50" t="str">
        <f aca="false">IF($B52="","",IF(INDEX(클레임목록!$I$2:$I$2000,MATCH($B52,클레임목록!$O$2:$O$2000,0))="","",INDEX(클레임목록!$I$2:$I$2000,MATCH($B52,클레임목록!$O$2:$O$2000,0))))</f>
        <v/>
      </c>
      <c r="L52" s="49" t="str">
        <f aca="false">IF($B52="","",IF(INDEX(클레임목록!$J$2:$J$2000,MATCH($B52,클레임목록!$O$2:$O$2000,0))="","",INDEX(클레임목록!$J$2:$J$2000,MATCH($B52,클레임목록!$O$2:$O$2000,0))))</f>
        <v/>
      </c>
    </row>
    <row r="53" customFormat="false" ht="15" hidden="false" customHeight="false" outlineLevel="0" collapsed="false">
      <c r="B53" s="48" t="str">
        <f aca="false">IF(40&lt;=$C$11,40,"")</f>
        <v/>
      </c>
      <c r="C53" s="49" t="str">
        <f aca="false">IF($B53="","",IF(INDEX(클레임목록!$A$2:$A$2000,MATCH($B53,클레임목록!$O$2:$O$2000,0))="","",INDEX(클레임목록!$A$2:$A$2000,MATCH($B53,클레임목록!$O$2:$O$2000,0))))</f>
        <v/>
      </c>
      <c r="D53" s="50" t="str">
        <f aca="false">IF($B53="","",IF(INDEX(클레임목록!$B$2:$B$2000,MATCH($B53,클레임목록!$O$2:$O$2000,0))="","",INDEX(클레임목록!$B$2:$B$2000,MATCH($B53,클레임목록!$O$2:$O$2000,0))))</f>
        <v/>
      </c>
      <c r="E53" s="4" t="str">
        <f aca="false">IF($B53="","",IF(INDEX(클레임목록!$C$2:$C$2000,MATCH($B53,클레임목록!$O$2:$O$2000,0))="","",INDEX(클레임목록!$C$2:$C$2000,MATCH($B53,클레임목록!$O$2:$O$2000,0))))</f>
        <v/>
      </c>
      <c r="F53" s="49" t="str">
        <f aca="false">IF($B53="","",IF(INDEX(클레임목록!$D$2:$D$2000,MATCH($B53,클레임목록!$O$2:$O$2000,0))="","",INDEX(클레임목록!$D$2:$D$2000,MATCH($B53,클레임목록!$O$2:$O$2000,0))))</f>
        <v/>
      </c>
      <c r="G53" s="49" t="str">
        <f aca="false">IF($B53="","",IF(INDEX(클레임목록!$E$2:$E$2000,MATCH($B53,클레임목록!$O$2:$O$2000,0))="","",INDEX(클레임목록!$E$2:$E$2000,MATCH($B53,클레임목록!$O$2:$O$2000,0))))</f>
        <v/>
      </c>
      <c r="H53" s="4" t="str">
        <f aca="false">IF($B53="","",IF(INDEX(클레임목록!$F$2:$F$2000,MATCH($B53,클레임목록!$O$2:$O$2000,0))="","",INDEX(클레임목록!$F$2:$F$2000,MATCH($B53,클레임목록!$O$2:$O$2000,0))))</f>
        <v/>
      </c>
      <c r="I53" s="4" t="str">
        <f aca="false">IF($B53="","",IF(INDEX(클레임목록!$G$2:$G$2000,MATCH($B53,클레임목록!$O$2:$O$2000,0))="","",INDEX(클레임목록!$G$2:$G$2000,MATCH($B53,클레임목록!$O$2:$O$2000,0))))</f>
        <v/>
      </c>
      <c r="J53" s="4" t="str">
        <f aca="false">IF($B53="","",IF(INDEX(클레임목록!$H$2:$H$2000,MATCH($B53,클레임목록!$O$2:$O$2000,0))="","",INDEX(클레임목록!$H$2:$H$2000,MATCH($B53,클레임목록!$O$2:$O$2000,0))))</f>
        <v/>
      </c>
      <c r="K53" s="50" t="str">
        <f aca="false">IF($B53="","",IF(INDEX(클레임목록!$I$2:$I$2000,MATCH($B53,클레임목록!$O$2:$O$2000,0))="","",INDEX(클레임목록!$I$2:$I$2000,MATCH($B53,클레임목록!$O$2:$O$2000,0))))</f>
        <v/>
      </c>
      <c r="L53" s="49" t="str">
        <f aca="false">IF($B53="","",IF(INDEX(클레임목록!$J$2:$J$2000,MATCH($B53,클레임목록!$O$2:$O$2000,0))="","",INDEX(클레임목록!$J$2:$J$2000,MATCH($B53,클레임목록!$O$2:$O$2000,0))))</f>
        <v/>
      </c>
    </row>
    <row r="54" customFormat="false" ht="15" hidden="false" customHeight="false" outlineLevel="0" collapsed="false">
      <c r="B54" s="48" t="str">
        <f aca="false">IF(41&lt;=$C$11,41,"")</f>
        <v/>
      </c>
      <c r="C54" s="49" t="str">
        <f aca="false">IF($B54="","",IF(INDEX(클레임목록!$A$2:$A$2000,MATCH($B54,클레임목록!$O$2:$O$2000,0))="","",INDEX(클레임목록!$A$2:$A$2000,MATCH($B54,클레임목록!$O$2:$O$2000,0))))</f>
        <v/>
      </c>
      <c r="D54" s="50" t="str">
        <f aca="false">IF($B54="","",IF(INDEX(클레임목록!$B$2:$B$2000,MATCH($B54,클레임목록!$O$2:$O$2000,0))="","",INDEX(클레임목록!$B$2:$B$2000,MATCH($B54,클레임목록!$O$2:$O$2000,0))))</f>
        <v/>
      </c>
      <c r="E54" s="4" t="str">
        <f aca="false">IF($B54="","",IF(INDEX(클레임목록!$C$2:$C$2000,MATCH($B54,클레임목록!$O$2:$O$2000,0))="","",INDEX(클레임목록!$C$2:$C$2000,MATCH($B54,클레임목록!$O$2:$O$2000,0))))</f>
        <v/>
      </c>
      <c r="F54" s="49" t="str">
        <f aca="false">IF($B54="","",IF(INDEX(클레임목록!$D$2:$D$2000,MATCH($B54,클레임목록!$O$2:$O$2000,0))="","",INDEX(클레임목록!$D$2:$D$2000,MATCH($B54,클레임목록!$O$2:$O$2000,0))))</f>
        <v/>
      </c>
      <c r="G54" s="49" t="str">
        <f aca="false">IF($B54="","",IF(INDEX(클레임목록!$E$2:$E$2000,MATCH($B54,클레임목록!$O$2:$O$2000,0))="","",INDEX(클레임목록!$E$2:$E$2000,MATCH($B54,클레임목록!$O$2:$O$2000,0))))</f>
        <v/>
      </c>
      <c r="H54" s="4" t="str">
        <f aca="false">IF($B54="","",IF(INDEX(클레임목록!$F$2:$F$2000,MATCH($B54,클레임목록!$O$2:$O$2000,0))="","",INDEX(클레임목록!$F$2:$F$2000,MATCH($B54,클레임목록!$O$2:$O$2000,0))))</f>
        <v/>
      </c>
      <c r="I54" s="4" t="str">
        <f aca="false">IF($B54="","",IF(INDEX(클레임목록!$G$2:$G$2000,MATCH($B54,클레임목록!$O$2:$O$2000,0))="","",INDEX(클레임목록!$G$2:$G$2000,MATCH($B54,클레임목록!$O$2:$O$2000,0))))</f>
        <v/>
      </c>
      <c r="J54" s="4" t="str">
        <f aca="false">IF($B54="","",IF(INDEX(클레임목록!$H$2:$H$2000,MATCH($B54,클레임목록!$O$2:$O$2000,0))="","",INDEX(클레임목록!$H$2:$H$2000,MATCH($B54,클레임목록!$O$2:$O$2000,0))))</f>
        <v/>
      </c>
      <c r="K54" s="50" t="str">
        <f aca="false">IF($B54="","",IF(INDEX(클레임목록!$I$2:$I$2000,MATCH($B54,클레임목록!$O$2:$O$2000,0))="","",INDEX(클레임목록!$I$2:$I$2000,MATCH($B54,클레임목록!$O$2:$O$2000,0))))</f>
        <v/>
      </c>
      <c r="L54" s="49" t="str">
        <f aca="false">IF($B54="","",IF(INDEX(클레임목록!$J$2:$J$2000,MATCH($B54,클레임목록!$O$2:$O$2000,0))="","",INDEX(클레임목록!$J$2:$J$2000,MATCH($B54,클레임목록!$O$2:$O$2000,0))))</f>
        <v/>
      </c>
    </row>
    <row r="55" customFormat="false" ht="15" hidden="false" customHeight="false" outlineLevel="0" collapsed="false">
      <c r="B55" s="48" t="str">
        <f aca="false">IF(42&lt;=$C$11,42,"")</f>
        <v/>
      </c>
      <c r="C55" s="49" t="str">
        <f aca="false">IF($B55="","",IF(INDEX(클레임목록!$A$2:$A$2000,MATCH($B55,클레임목록!$O$2:$O$2000,0))="","",INDEX(클레임목록!$A$2:$A$2000,MATCH($B55,클레임목록!$O$2:$O$2000,0))))</f>
        <v/>
      </c>
      <c r="D55" s="50" t="str">
        <f aca="false">IF($B55="","",IF(INDEX(클레임목록!$B$2:$B$2000,MATCH($B55,클레임목록!$O$2:$O$2000,0))="","",INDEX(클레임목록!$B$2:$B$2000,MATCH($B55,클레임목록!$O$2:$O$2000,0))))</f>
        <v/>
      </c>
      <c r="E55" s="4" t="str">
        <f aca="false">IF($B55="","",IF(INDEX(클레임목록!$C$2:$C$2000,MATCH($B55,클레임목록!$O$2:$O$2000,0))="","",INDEX(클레임목록!$C$2:$C$2000,MATCH($B55,클레임목록!$O$2:$O$2000,0))))</f>
        <v/>
      </c>
      <c r="F55" s="49" t="str">
        <f aca="false">IF($B55="","",IF(INDEX(클레임목록!$D$2:$D$2000,MATCH($B55,클레임목록!$O$2:$O$2000,0))="","",INDEX(클레임목록!$D$2:$D$2000,MATCH($B55,클레임목록!$O$2:$O$2000,0))))</f>
        <v/>
      </c>
      <c r="G55" s="49" t="str">
        <f aca="false">IF($B55="","",IF(INDEX(클레임목록!$E$2:$E$2000,MATCH($B55,클레임목록!$O$2:$O$2000,0))="","",INDEX(클레임목록!$E$2:$E$2000,MATCH($B55,클레임목록!$O$2:$O$2000,0))))</f>
        <v/>
      </c>
      <c r="H55" s="4" t="str">
        <f aca="false">IF($B55="","",IF(INDEX(클레임목록!$F$2:$F$2000,MATCH($B55,클레임목록!$O$2:$O$2000,0))="","",INDEX(클레임목록!$F$2:$F$2000,MATCH($B55,클레임목록!$O$2:$O$2000,0))))</f>
        <v/>
      </c>
      <c r="I55" s="4" t="str">
        <f aca="false">IF($B55="","",IF(INDEX(클레임목록!$G$2:$G$2000,MATCH($B55,클레임목록!$O$2:$O$2000,0))="","",INDEX(클레임목록!$G$2:$G$2000,MATCH($B55,클레임목록!$O$2:$O$2000,0))))</f>
        <v/>
      </c>
      <c r="J55" s="4" t="str">
        <f aca="false">IF($B55="","",IF(INDEX(클레임목록!$H$2:$H$2000,MATCH($B55,클레임목록!$O$2:$O$2000,0))="","",INDEX(클레임목록!$H$2:$H$2000,MATCH($B55,클레임목록!$O$2:$O$2000,0))))</f>
        <v/>
      </c>
      <c r="K55" s="50" t="str">
        <f aca="false">IF($B55="","",IF(INDEX(클레임목록!$I$2:$I$2000,MATCH($B55,클레임목록!$O$2:$O$2000,0))="","",INDEX(클레임목록!$I$2:$I$2000,MATCH($B55,클레임목록!$O$2:$O$2000,0))))</f>
        <v/>
      </c>
      <c r="L55" s="49" t="str">
        <f aca="false">IF($B55="","",IF(INDEX(클레임목록!$J$2:$J$2000,MATCH($B55,클레임목록!$O$2:$O$2000,0))="","",INDEX(클레임목록!$J$2:$J$2000,MATCH($B55,클레임목록!$O$2:$O$2000,0))))</f>
        <v/>
      </c>
    </row>
    <row r="56" customFormat="false" ht="15" hidden="false" customHeight="false" outlineLevel="0" collapsed="false">
      <c r="B56" s="48" t="str">
        <f aca="false">IF(43&lt;=$C$11,43,"")</f>
        <v/>
      </c>
      <c r="C56" s="49" t="str">
        <f aca="false">IF($B56="","",IF(INDEX(클레임목록!$A$2:$A$2000,MATCH($B56,클레임목록!$O$2:$O$2000,0))="","",INDEX(클레임목록!$A$2:$A$2000,MATCH($B56,클레임목록!$O$2:$O$2000,0))))</f>
        <v/>
      </c>
      <c r="D56" s="50" t="str">
        <f aca="false">IF($B56="","",IF(INDEX(클레임목록!$B$2:$B$2000,MATCH($B56,클레임목록!$O$2:$O$2000,0))="","",INDEX(클레임목록!$B$2:$B$2000,MATCH($B56,클레임목록!$O$2:$O$2000,0))))</f>
        <v/>
      </c>
      <c r="E56" s="4" t="str">
        <f aca="false">IF($B56="","",IF(INDEX(클레임목록!$C$2:$C$2000,MATCH($B56,클레임목록!$O$2:$O$2000,0))="","",INDEX(클레임목록!$C$2:$C$2000,MATCH($B56,클레임목록!$O$2:$O$2000,0))))</f>
        <v/>
      </c>
      <c r="F56" s="49" t="str">
        <f aca="false">IF($B56="","",IF(INDEX(클레임목록!$D$2:$D$2000,MATCH($B56,클레임목록!$O$2:$O$2000,0))="","",INDEX(클레임목록!$D$2:$D$2000,MATCH($B56,클레임목록!$O$2:$O$2000,0))))</f>
        <v/>
      </c>
      <c r="G56" s="49" t="str">
        <f aca="false">IF($B56="","",IF(INDEX(클레임목록!$E$2:$E$2000,MATCH($B56,클레임목록!$O$2:$O$2000,0))="","",INDEX(클레임목록!$E$2:$E$2000,MATCH($B56,클레임목록!$O$2:$O$2000,0))))</f>
        <v/>
      </c>
      <c r="H56" s="4" t="str">
        <f aca="false">IF($B56="","",IF(INDEX(클레임목록!$F$2:$F$2000,MATCH($B56,클레임목록!$O$2:$O$2000,0))="","",INDEX(클레임목록!$F$2:$F$2000,MATCH($B56,클레임목록!$O$2:$O$2000,0))))</f>
        <v/>
      </c>
      <c r="I56" s="4" t="str">
        <f aca="false">IF($B56="","",IF(INDEX(클레임목록!$G$2:$G$2000,MATCH($B56,클레임목록!$O$2:$O$2000,0))="","",INDEX(클레임목록!$G$2:$G$2000,MATCH($B56,클레임목록!$O$2:$O$2000,0))))</f>
        <v/>
      </c>
      <c r="J56" s="4" t="str">
        <f aca="false">IF($B56="","",IF(INDEX(클레임목록!$H$2:$H$2000,MATCH($B56,클레임목록!$O$2:$O$2000,0))="","",INDEX(클레임목록!$H$2:$H$2000,MATCH($B56,클레임목록!$O$2:$O$2000,0))))</f>
        <v/>
      </c>
      <c r="K56" s="50" t="str">
        <f aca="false">IF($B56="","",IF(INDEX(클레임목록!$I$2:$I$2000,MATCH($B56,클레임목록!$O$2:$O$2000,0))="","",INDEX(클레임목록!$I$2:$I$2000,MATCH($B56,클레임목록!$O$2:$O$2000,0))))</f>
        <v/>
      </c>
      <c r="L56" s="49" t="str">
        <f aca="false">IF($B56="","",IF(INDEX(클레임목록!$J$2:$J$2000,MATCH($B56,클레임목록!$O$2:$O$2000,0))="","",INDEX(클레임목록!$J$2:$J$2000,MATCH($B56,클레임목록!$O$2:$O$2000,0))))</f>
        <v/>
      </c>
    </row>
    <row r="57" customFormat="false" ht="15" hidden="false" customHeight="false" outlineLevel="0" collapsed="false">
      <c r="B57" s="48" t="str">
        <f aca="false">IF(44&lt;=$C$11,44,"")</f>
        <v/>
      </c>
      <c r="C57" s="49" t="str">
        <f aca="false">IF($B57="","",IF(INDEX(클레임목록!$A$2:$A$2000,MATCH($B57,클레임목록!$O$2:$O$2000,0))="","",INDEX(클레임목록!$A$2:$A$2000,MATCH($B57,클레임목록!$O$2:$O$2000,0))))</f>
        <v/>
      </c>
      <c r="D57" s="50" t="str">
        <f aca="false">IF($B57="","",IF(INDEX(클레임목록!$B$2:$B$2000,MATCH($B57,클레임목록!$O$2:$O$2000,0))="","",INDEX(클레임목록!$B$2:$B$2000,MATCH($B57,클레임목록!$O$2:$O$2000,0))))</f>
        <v/>
      </c>
      <c r="E57" s="4" t="str">
        <f aca="false">IF($B57="","",IF(INDEX(클레임목록!$C$2:$C$2000,MATCH($B57,클레임목록!$O$2:$O$2000,0))="","",INDEX(클레임목록!$C$2:$C$2000,MATCH($B57,클레임목록!$O$2:$O$2000,0))))</f>
        <v/>
      </c>
      <c r="F57" s="49" t="str">
        <f aca="false">IF($B57="","",IF(INDEX(클레임목록!$D$2:$D$2000,MATCH($B57,클레임목록!$O$2:$O$2000,0))="","",INDEX(클레임목록!$D$2:$D$2000,MATCH($B57,클레임목록!$O$2:$O$2000,0))))</f>
        <v/>
      </c>
      <c r="G57" s="49" t="str">
        <f aca="false">IF($B57="","",IF(INDEX(클레임목록!$E$2:$E$2000,MATCH($B57,클레임목록!$O$2:$O$2000,0))="","",INDEX(클레임목록!$E$2:$E$2000,MATCH($B57,클레임목록!$O$2:$O$2000,0))))</f>
        <v/>
      </c>
      <c r="H57" s="4" t="str">
        <f aca="false">IF($B57="","",IF(INDEX(클레임목록!$F$2:$F$2000,MATCH($B57,클레임목록!$O$2:$O$2000,0))="","",INDEX(클레임목록!$F$2:$F$2000,MATCH($B57,클레임목록!$O$2:$O$2000,0))))</f>
        <v/>
      </c>
      <c r="I57" s="4" t="str">
        <f aca="false">IF($B57="","",IF(INDEX(클레임목록!$G$2:$G$2000,MATCH($B57,클레임목록!$O$2:$O$2000,0))="","",INDEX(클레임목록!$G$2:$G$2000,MATCH($B57,클레임목록!$O$2:$O$2000,0))))</f>
        <v/>
      </c>
      <c r="J57" s="4" t="str">
        <f aca="false">IF($B57="","",IF(INDEX(클레임목록!$H$2:$H$2000,MATCH($B57,클레임목록!$O$2:$O$2000,0))="","",INDEX(클레임목록!$H$2:$H$2000,MATCH($B57,클레임목록!$O$2:$O$2000,0))))</f>
        <v/>
      </c>
      <c r="K57" s="50" t="str">
        <f aca="false">IF($B57="","",IF(INDEX(클레임목록!$I$2:$I$2000,MATCH($B57,클레임목록!$O$2:$O$2000,0))="","",INDEX(클레임목록!$I$2:$I$2000,MATCH($B57,클레임목록!$O$2:$O$2000,0))))</f>
        <v/>
      </c>
      <c r="L57" s="49" t="str">
        <f aca="false">IF($B57="","",IF(INDEX(클레임목록!$J$2:$J$2000,MATCH($B57,클레임목록!$O$2:$O$2000,0))="","",INDEX(클레임목록!$J$2:$J$2000,MATCH($B57,클레임목록!$O$2:$O$2000,0))))</f>
        <v/>
      </c>
    </row>
    <row r="58" customFormat="false" ht="15" hidden="false" customHeight="false" outlineLevel="0" collapsed="false">
      <c r="B58" s="48" t="str">
        <f aca="false">IF(45&lt;=$C$11,45,"")</f>
        <v/>
      </c>
      <c r="C58" s="49" t="str">
        <f aca="false">IF($B58="","",IF(INDEX(클레임목록!$A$2:$A$2000,MATCH($B58,클레임목록!$O$2:$O$2000,0))="","",INDEX(클레임목록!$A$2:$A$2000,MATCH($B58,클레임목록!$O$2:$O$2000,0))))</f>
        <v/>
      </c>
      <c r="D58" s="50" t="str">
        <f aca="false">IF($B58="","",IF(INDEX(클레임목록!$B$2:$B$2000,MATCH($B58,클레임목록!$O$2:$O$2000,0))="","",INDEX(클레임목록!$B$2:$B$2000,MATCH($B58,클레임목록!$O$2:$O$2000,0))))</f>
        <v/>
      </c>
      <c r="E58" s="4" t="str">
        <f aca="false">IF($B58="","",IF(INDEX(클레임목록!$C$2:$C$2000,MATCH($B58,클레임목록!$O$2:$O$2000,0))="","",INDEX(클레임목록!$C$2:$C$2000,MATCH($B58,클레임목록!$O$2:$O$2000,0))))</f>
        <v/>
      </c>
      <c r="F58" s="49" t="str">
        <f aca="false">IF($B58="","",IF(INDEX(클레임목록!$D$2:$D$2000,MATCH($B58,클레임목록!$O$2:$O$2000,0))="","",INDEX(클레임목록!$D$2:$D$2000,MATCH($B58,클레임목록!$O$2:$O$2000,0))))</f>
        <v/>
      </c>
      <c r="G58" s="49" t="str">
        <f aca="false">IF($B58="","",IF(INDEX(클레임목록!$E$2:$E$2000,MATCH($B58,클레임목록!$O$2:$O$2000,0))="","",INDEX(클레임목록!$E$2:$E$2000,MATCH($B58,클레임목록!$O$2:$O$2000,0))))</f>
        <v/>
      </c>
      <c r="H58" s="4" t="str">
        <f aca="false">IF($B58="","",IF(INDEX(클레임목록!$F$2:$F$2000,MATCH($B58,클레임목록!$O$2:$O$2000,0))="","",INDEX(클레임목록!$F$2:$F$2000,MATCH($B58,클레임목록!$O$2:$O$2000,0))))</f>
        <v/>
      </c>
      <c r="I58" s="4" t="str">
        <f aca="false">IF($B58="","",IF(INDEX(클레임목록!$G$2:$G$2000,MATCH($B58,클레임목록!$O$2:$O$2000,0))="","",INDEX(클레임목록!$G$2:$G$2000,MATCH($B58,클레임목록!$O$2:$O$2000,0))))</f>
        <v/>
      </c>
      <c r="J58" s="4" t="str">
        <f aca="false">IF($B58="","",IF(INDEX(클레임목록!$H$2:$H$2000,MATCH($B58,클레임목록!$O$2:$O$2000,0))="","",INDEX(클레임목록!$H$2:$H$2000,MATCH($B58,클레임목록!$O$2:$O$2000,0))))</f>
        <v/>
      </c>
      <c r="K58" s="50" t="str">
        <f aca="false">IF($B58="","",IF(INDEX(클레임목록!$I$2:$I$2000,MATCH($B58,클레임목록!$O$2:$O$2000,0))="","",INDEX(클레임목록!$I$2:$I$2000,MATCH($B58,클레임목록!$O$2:$O$2000,0))))</f>
        <v/>
      </c>
      <c r="L58" s="49" t="str">
        <f aca="false">IF($B58="","",IF(INDEX(클레임목록!$J$2:$J$2000,MATCH($B58,클레임목록!$O$2:$O$2000,0))="","",INDEX(클레임목록!$J$2:$J$2000,MATCH($B58,클레임목록!$O$2:$O$2000,0))))</f>
        <v/>
      </c>
    </row>
    <row r="59" customFormat="false" ht="15" hidden="false" customHeight="false" outlineLevel="0" collapsed="false">
      <c r="B59" s="48" t="str">
        <f aca="false">IF(46&lt;=$C$11,46,"")</f>
        <v/>
      </c>
      <c r="C59" s="49" t="str">
        <f aca="false">IF($B59="","",IF(INDEX(클레임목록!$A$2:$A$2000,MATCH($B59,클레임목록!$O$2:$O$2000,0))="","",INDEX(클레임목록!$A$2:$A$2000,MATCH($B59,클레임목록!$O$2:$O$2000,0))))</f>
        <v/>
      </c>
      <c r="D59" s="50" t="str">
        <f aca="false">IF($B59="","",IF(INDEX(클레임목록!$B$2:$B$2000,MATCH($B59,클레임목록!$O$2:$O$2000,0))="","",INDEX(클레임목록!$B$2:$B$2000,MATCH($B59,클레임목록!$O$2:$O$2000,0))))</f>
        <v/>
      </c>
      <c r="E59" s="4" t="str">
        <f aca="false">IF($B59="","",IF(INDEX(클레임목록!$C$2:$C$2000,MATCH($B59,클레임목록!$O$2:$O$2000,0))="","",INDEX(클레임목록!$C$2:$C$2000,MATCH($B59,클레임목록!$O$2:$O$2000,0))))</f>
        <v/>
      </c>
      <c r="F59" s="49" t="str">
        <f aca="false">IF($B59="","",IF(INDEX(클레임목록!$D$2:$D$2000,MATCH($B59,클레임목록!$O$2:$O$2000,0))="","",INDEX(클레임목록!$D$2:$D$2000,MATCH($B59,클레임목록!$O$2:$O$2000,0))))</f>
        <v/>
      </c>
      <c r="G59" s="49" t="str">
        <f aca="false">IF($B59="","",IF(INDEX(클레임목록!$E$2:$E$2000,MATCH($B59,클레임목록!$O$2:$O$2000,0))="","",INDEX(클레임목록!$E$2:$E$2000,MATCH($B59,클레임목록!$O$2:$O$2000,0))))</f>
        <v/>
      </c>
      <c r="H59" s="4" t="str">
        <f aca="false">IF($B59="","",IF(INDEX(클레임목록!$F$2:$F$2000,MATCH($B59,클레임목록!$O$2:$O$2000,0))="","",INDEX(클레임목록!$F$2:$F$2000,MATCH($B59,클레임목록!$O$2:$O$2000,0))))</f>
        <v/>
      </c>
      <c r="I59" s="4" t="str">
        <f aca="false">IF($B59="","",IF(INDEX(클레임목록!$G$2:$G$2000,MATCH($B59,클레임목록!$O$2:$O$2000,0))="","",INDEX(클레임목록!$G$2:$G$2000,MATCH($B59,클레임목록!$O$2:$O$2000,0))))</f>
        <v/>
      </c>
      <c r="J59" s="4" t="str">
        <f aca="false">IF($B59="","",IF(INDEX(클레임목록!$H$2:$H$2000,MATCH($B59,클레임목록!$O$2:$O$2000,0))="","",INDEX(클레임목록!$H$2:$H$2000,MATCH($B59,클레임목록!$O$2:$O$2000,0))))</f>
        <v/>
      </c>
      <c r="K59" s="50" t="str">
        <f aca="false">IF($B59="","",IF(INDEX(클레임목록!$I$2:$I$2000,MATCH($B59,클레임목록!$O$2:$O$2000,0))="","",INDEX(클레임목록!$I$2:$I$2000,MATCH($B59,클레임목록!$O$2:$O$2000,0))))</f>
        <v/>
      </c>
      <c r="L59" s="49" t="str">
        <f aca="false">IF($B59="","",IF(INDEX(클레임목록!$J$2:$J$2000,MATCH($B59,클레임목록!$O$2:$O$2000,0))="","",INDEX(클레임목록!$J$2:$J$2000,MATCH($B59,클레임목록!$O$2:$O$2000,0))))</f>
        <v/>
      </c>
    </row>
    <row r="60" customFormat="false" ht="15" hidden="false" customHeight="false" outlineLevel="0" collapsed="false">
      <c r="B60" s="48" t="str">
        <f aca="false">IF(47&lt;=$C$11,47,"")</f>
        <v/>
      </c>
      <c r="C60" s="49" t="str">
        <f aca="false">IF($B60="","",IF(INDEX(클레임목록!$A$2:$A$2000,MATCH($B60,클레임목록!$O$2:$O$2000,0))="","",INDEX(클레임목록!$A$2:$A$2000,MATCH($B60,클레임목록!$O$2:$O$2000,0))))</f>
        <v/>
      </c>
      <c r="D60" s="50" t="str">
        <f aca="false">IF($B60="","",IF(INDEX(클레임목록!$B$2:$B$2000,MATCH($B60,클레임목록!$O$2:$O$2000,0))="","",INDEX(클레임목록!$B$2:$B$2000,MATCH($B60,클레임목록!$O$2:$O$2000,0))))</f>
        <v/>
      </c>
      <c r="E60" s="4" t="str">
        <f aca="false">IF($B60="","",IF(INDEX(클레임목록!$C$2:$C$2000,MATCH($B60,클레임목록!$O$2:$O$2000,0))="","",INDEX(클레임목록!$C$2:$C$2000,MATCH($B60,클레임목록!$O$2:$O$2000,0))))</f>
        <v/>
      </c>
      <c r="F60" s="49" t="str">
        <f aca="false">IF($B60="","",IF(INDEX(클레임목록!$D$2:$D$2000,MATCH($B60,클레임목록!$O$2:$O$2000,0))="","",INDEX(클레임목록!$D$2:$D$2000,MATCH($B60,클레임목록!$O$2:$O$2000,0))))</f>
        <v/>
      </c>
      <c r="G60" s="49" t="str">
        <f aca="false">IF($B60="","",IF(INDEX(클레임목록!$E$2:$E$2000,MATCH($B60,클레임목록!$O$2:$O$2000,0))="","",INDEX(클레임목록!$E$2:$E$2000,MATCH($B60,클레임목록!$O$2:$O$2000,0))))</f>
        <v/>
      </c>
      <c r="H60" s="4" t="str">
        <f aca="false">IF($B60="","",IF(INDEX(클레임목록!$F$2:$F$2000,MATCH($B60,클레임목록!$O$2:$O$2000,0))="","",INDEX(클레임목록!$F$2:$F$2000,MATCH($B60,클레임목록!$O$2:$O$2000,0))))</f>
        <v/>
      </c>
      <c r="I60" s="4" t="str">
        <f aca="false">IF($B60="","",IF(INDEX(클레임목록!$G$2:$G$2000,MATCH($B60,클레임목록!$O$2:$O$2000,0))="","",INDEX(클레임목록!$G$2:$G$2000,MATCH($B60,클레임목록!$O$2:$O$2000,0))))</f>
        <v/>
      </c>
      <c r="J60" s="4" t="str">
        <f aca="false">IF($B60="","",IF(INDEX(클레임목록!$H$2:$H$2000,MATCH($B60,클레임목록!$O$2:$O$2000,0))="","",INDEX(클레임목록!$H$2:$H$2000,MATCH($B60,클레임목록!$O$2:$O$2000,0))))</f>
        <v/>
      </c>
      <c r="K60" s="50" t="str">
        <f aca="false">IF($B60="","",IF(INDEX(클레임목록!$I$2:$I$2000,MATCH($B60,클레임목록!$O$2:$O$2000,0))="","",INDEX(클레임목록!$I$2:$I$2000,MATCH($B60,클레임목록!$O$2:$O$2000,0))))</f>
        <v/>
      </c>
      <c r="L60" s="49" t="str">
        <f aca="false">IF($B60="","",IF(INDEX(클레임목록!$J$2:$J$2000,MATCH($B60,클레임목록!$O$2:$O$2000,0))="","",INDEX(클레임목록!$J$2:$J$2000,MATCH($B60,클레임목록!$O$2:$O$2000,0))))</f>
        <v/>
      </c>
    </row>
    <row r="61" customFormat="false" ht="15" hidden="false" customHeight="false" outlineLevel="0" collapsed="false">
      <c r="B61" s="48" t="str">
        <f aca="false">IF(48&lt;=$C$11,48,"")</f>
        <v/>
      </c>
      <c r="C61" s="49" t="str">
        <f aca="false">IF($B61="","",IF(INDEX(클레임목록!$A$2:$A$2000,MATCH($B61,클레임목록!$O$2:$O$2000,0))="","",INDEX(클레임목록!$A$2:$A$2000,MATCH($B61,클레임목록!$O$2:$O$2000,0))))</f>
        <v/>
      </c>
      <c r="D61" s="50" t="str">
        <f aca="false">IF($B61="","",IF(INDEX(클레임목록!$B$2:$B$2000,MATCH($B61,클레임목록!$O$2:$O$2000,0))="","",INDEX(클레임목록!$B$2:$B$2000,MATCH($B61,클레임목록!$O$2:$O$2000,0))))</f>
        <v/>
      </c>
      <c r="E61" s="4" t="str">
        <f aca="false">IF($B61="","",IF(INDEX(클레임목록!$C$2:$C$2000,MATCH($B61,클레임목록!$O$2:$O$2000,0))="","",INDEX(클레임목록!$C$2:$C$2000,MATCH($B61,클레임목록!$O$2:$O$2000,0))))</f>
        <v/>
      </c>
      <c r="F61" s="49" t="str">
        <f aca="false">IF($B61="","",IF(INDEX(클레임목록!$D$2:$D$2000,MATCH($B61,클레임목록!$O$2:$O$2000,0))="","",INDEX(클레임목록!$D$2:$D$2000,MATCH($B61,클레임목록!$O$2:$O$2000,0))))</f>
        <v/>
      </c>
      <c r="G61" s="49" t="str">
        <f aca="false">IF($B61="","",IF(INDEX(클레임목록!$E$2:$E$2000,MATCH($B61,클레임목록!$O$2:$O$2000,0))="","",INDEX(클레임목록!$E$2:$E$2000,MATCH($B61,클레임목록!$O$2:$O$2000,0))))</f>
        <v/>
      </c>
      <c r="H61" s="4" t="str">
        <f aca="false">IF($B61="","",IF(INDEX(클레임목록!$F$2:$F$2000,MATCH($B61,클레임목록!$O$2:$O$2000,0))="","",INDEX(클레임목록!$F$2:$F$2000,MATCH($B61,클레임목록!$O$2:$O$2000,0))))</f>
        <v/>
      </c>
      <c r="I61" s="4" t="str">
        <f aca="false">IF($B61="","",IF(INDEX(클레임목록!$G$2:$G$2000,MATCH($B61,클레임목록!$O$2:$O$2000,0))="","",INDEX(클레임목록!$G$2:$G$2000,MATCH($B61,클레임목록!$O$2:$O$2000,0))))</f>
        <v/>
      </c>
      <c r="J61" s="4" t="str">
        <f aca="false">IF($B61="","",IF(INDEX(클레임목록!$H$2:$H$2000,MATCH($B61,클레임목록!$O$2:$O$2000,0))="","",INDEX(클레임목록!$H$2:$H$2000,MATCH($B61,클레임목록!$O$2:$O$2000,0))))</f>
        <v/>
      </c>
      <c r="K61" s="50" t="str">
        <f aca="false">IF($B61="","",IF(INDEX(클레임목록!$I$2:$I$2000,MATCH($B61,클레임목록!$O$2:$O$2000,0))="","",INDEX(클레임목록!$I$2:$I$2000,MATCH($B61,클레임목록!$O$2:$O$2000,0))))</f>
        <v/>
      </c>
      <c r="L61" s="49" t="str">
        <f aca="false">IF($B61="","",IF(INDEX(클레임목록!$J$2:$J$2000,MATCH($B61,클레임목록!$O$2:$O$2000,0))="","",INDEX(클레임목록!$J$2:$J$2000,MATCH($B61,클레임목록!$O$2:$O$2000,0))))</f>
        <v/>
      </c>
    </row>
    <row r="62" customFormat="false" ht="15" hidden="false" customHeight="false" outlineLevel="0" collapsed="false">
      <c r="B62" s="48" t="str">
        <f aca="false">IF(49&lt;=$C$11,49,"")</f>
        <v/>
      </c>
      <c r="C62" s="49" t="str">
        <f aca="false">IF($B62="","",IF(INDEX(클레임목록!$A$2:$A$2000,MATCH($B62,클레임목록!$O$2:$O$2000,0))="","",INDEX(클레임목록!$A$2:$A$2000,MATCH($B62,클레임목록!$O$2:$O$2000,0))))</f>
        <v/>
      </c>
      <c r="D62" s="50" t="str">
        <f aca="false">IF($B62="","",IF(INDEX(클레임목록!$B$2:$B$2000,MATCH($B62,클레임목록!$O$2:$O$2000,0))="","",INDEX(클레임목록!$B$2:$B$2000,MATCH($B62,클레임목록!$O$2:$O$2000,0))))</f>
        <v/>
      </c>
      <c r="E62" s="4" t="str">
        <f aca="false">IF($B62="","",IF(INDEX(클레임목록!$C$2:$C$2000,MATCH($B62,클레임목록!$O$2:$O$2000,0))="","",INDEX(클레임목록!$C$2:$C$2000,MATCH($B62,클레임목록!$O$2:$O$2000,0))))</f>
        <v/>
      </c>
      <c r="F62" s="49" t="str">
        <f aca="false">IF($B62="","",IF(INDEX(클레임목록!$D$2:$D$2000,MATCH($B62,클레임목록!$O$2:$O$2000,0))="","",INDEX(클레임목록!$D$2:$D$2000,MATCH($B62,클레임목록!$O$2:$O$2000,0))))</f>
        <v/>
      </c>
      <c r="G62" s="49" t="str">
        <f aca="false">IF($B62="","",IF(INDEX(클레임목록!$E$2:$E$2000,MATCH($B62,클레임목록!$O$2:$O$2000,0))="","",INDEX(클레임목록!$E$2:$E$2000,MATCH($B62,클레임목록!$O$2:$O$2000,0))))</f>
        <v/>
      </c>
      <c r="H62" s="4" t="str">
        <f aca="false">IF($B62="","",IF(INDEX(클레임목록!$F$2:$F$2000,MATCH($B62,클레임목록!$O$2:$O$2000,0))="","",INDEX(클레임목록!$F$2:$F$2000,MATCH($B62,클레임목록!$O$2:$O$2000,0))))</f>
        <v/>
      </c>
      <c r="I62" s="4" t="str">
        <f aca="false">IF($B62="","",IF(INDEX(클레임목록!$G$2:$G$2000,MATCH($B62,클레임목록!$O$2:$O$2000,0))="","",INDEX(클레임목록!$G$2:$G$2000,MATCH($B62,클레임목록!$O$2:$O$2000,0))))</f>
        <v/>
      </c>
      <c r="J62" s="4" t="str">
        <f aca="false">IF($B62="","",IF(INDEX(클레임목록!$H$2:$H$2000,MATCH($B62,클레임목록!$O$2:$O$2000,0))="","",INDEX(클레임목록!$H$2:$H$2000,MATCH($B62,클레임목록!$O$2:$O$2000,0))))</f>
        <v/>
      </c>
      <c r="K62" s="50" t="str">
        <f aca="false">IF($B62="","",IF(INDEX(클레임목록!$I$2:$I$2000,MATCH($B62,클레임목록!$O$2:$O$2000,0))="","",INDEX(클레임목록!$I$2:$I$2000,MATCH($B62,클레임목록!$O$2:$O$2000,0))))</f>
        <v/>
      </c>
      <c r="L62" s="49" t="str">
        <f aca="false">IF($B62="","",IF(INDEX(클레임목록!$J$2:$J$2000,MATCH($B62,클레임목록!$O$2:$O$2000,0))="","",INDEX(클레임목록!$J$2:$J$2000,MATCH($B62,클레임목록!$O$2:$O$2000,0))))</f>
        <v/>
      </c>
    </row>
    <row r="63" customFormat="false" ht="15" hidden="false" customHeight="false" outlineLevel="0" collapsed="false">
      <c r="B63" s="48" t="str">
        <f aca="false">IF(50&lt;=$C$11,50,"")</f>
        <v/>
      </c>
      <c r="C63" s="49" t="str">
        <f aca="false">IF($B63="","",IF(INDEX(클레임목록!$A$2:$A$2000,MATCH($B63,클레임목록!$O$2:$O$2000,0))="","",INDEX(클레임목록!$A$2:$A$2000,MATCH($B63,클레임목록!$O$2:$O$2000,0))))</f>
        <v/>
      </c>
      <c r="D63" s="50" t="str">
        <f aca="false">IF($B63="","",IF(INDEX(클레임목록!$B$2:$B$2000,MATCH($B63,클레임목록!$O$2:$O$2000,0))="","",INDEX(클레임목록!$B$2:$B$2000,MATCH($B63,클레임목록!$O$2:$O$2000,0))))</f>
        <v/>
      </c>
      <c r="E63" s="4" t="str">
        <f aca="false">IF($B63="","",IF(INDEX(클레임목록!$C$2:$C$2000,MATCH($B63,클레임목록!$O$2:$O$2000,0))="","",INDEX(클레임목록!$C$2:$C$2000,MATCH($B63,클레임목록!$O$2:$O$2000,0))))</f>
        <v/>
      </c>
      <c r="F63" s="49" t="str">
        <f aca="false">IF($B63="","",IF(INDEX(클레임목록!$D$2:$D$2000,MATCH($B63,클레임목록!$O$2:$O$2000,0))="","",INDEX(클레임목록!$D$2:$D$2000,MATCH($B63,클레임목록!$O$2:$O$2000,0))))</f>
        <v/>
      </c>
      <c r="G63" s="49" t="str">
        <f aca="false">IF($B63="","",IF(INDEX(클레임목록!$E$2:$E$2000,MATCH($B63,클레임목록!$O$2:$O$2000,0))="","",INDEX(클레임목록!$E$2:$E$2000,MATCH($B63,클레임목록!$O$2:$O$2000,0))))</f>
        <v/>
      </c>
      <c r="H63" s="4" t="str">
        <f aca="false">IF($B63="","",IF(INDEX(클레임목록!$F$2:$F$2000,MATCH($B63,클레임목록!$O$2:$O$2000,0))="","",INDEX(클레임목록!$F$2:$F$2000,MATCH($B63,클레임목록!$O$2:$O$2000,0))))</f>
        <v/>
      </c>
      <c r="I63" s="4" t="str">
        <f aca="false">IF($B63="","",IF(INDEX(클레임목록!$G$2:$G$2000,MATCH($B63,클레임목록!$O$2:$O$2000,0))="","",INDEX(클레임목록!$G$2:$G$2000,MATCH($B63,클레임목록!$O$2:$O$2000,0))))</f>
        <v/>
      </c>
      <c r="J63" s="4" t="str">
        <f aca="false">IF($B63="","",IF(INDEX(클레임목록!$H$2:$H$2000,MATCH($B63,클레임목록!$O$2:$O$2000,0))="","",INDEX(클레임목록!$H$2:$H$2000,MATCH($B63,클레임목록!$O$2:$O$2000,0))))</f>
        <v/>
      </c>
      <c r="K63" s="50" t="str">
        <f aca="false">IF($B63="","",IF(INDEX(클레임목록!$I$2:$I$2000,MATCH($B63,클레임목록!$O$2:$O$2000,0))="","",INDEX(클레임목록!$I$2:$I$2000,MATCH($B63,클레임목록!$O$2:$O$2000,0))))</f>
        <v/>
      </c>
      <c r="L63" s="49" t="str">
        <f aca="false">IF($B63="","",IF(INDEX(클레임목록!$J$2:$J$2000,MATCH($B63,클레임목록!$O$2:$O$2000,0))="","",INDEX(클레임목록!$J$2:$J$2000,MATCH($B63,클레임목록!$O$2:$O$2000,0))))</f>
        <v/>
      </c>
    </row>
    <row r="64" customFormat="false" ht="15" hidden="false" customHeight="false" outlineLevel="0" collapsed="false">
      <c r="B64" s="48" t="str">
        <f aca="false">IF(51&lt;=$C$11,51,"")</f>
        <v/>
      </c>
      <c r="C64" s="49" t="str">
        <f aca="false">IF($B64="","",IF(INDEX(클레임목록!$A$2:$A$2000,MATCH($B64,클레임목록!$O$2:$O$2000,0))="","",INDEX(클레임목록!$A$2:$A$2000,MATCH($B64,클레임목록!$O$2:$O$2000,0))))</f>
        <v/>
      </c>
      <c r="D64" s="50" t="str">
        <f aca="false">IF($B64="","",IF(INDEX(클레임목록!$B$2:$B$2000,MATCH($B64,클레임목록!$O$2:$O$2000,0))="","",INDEX(클레임목록!$B$2:$B$2000,MATCH($B64,클레임목록!$O$2:$O$2000,0))))</f>
        <v/>
      </c>
      <c r="E64" s="4" t="str">
        <f aca="false">IF($B64="","",IF(INDEX(클레임목록!$C$2:$C$2000,MATCH($B64,클레임목록!$O$2:$O$2000,0))="","",INDEX(클레임목록!$C$2:$C$2000,MATCH($B64,클레임목록!$O$2:$O$2000,0))))</f>
        <v/>
      </c>
      <c r="F64" s="49" t="str">
        <f aca="false">IF($B64="","",IF(INDEX(클레임목록!$D$2:$D$2000,MATCH($B64,클레임목록!$O$2:$O$2000,0))="","",INDEX(클레임목록!$D$2:$D$2000,MATCH($B64,클레임목록!$O$2:$O$2000,0))))</f>
        <v/>
      </c>
      <c r="G64" s="49" t="str">
        <f aca="false">IF($B64="","",IF(INDEX(클레임목록!$E$2:$E$2000,MATCH($B64,클레임목록!$O$2:$O$2000,0))="","",INDEX(클레임목록!$E$2:$E$2000,MATCH($B64,클레임목록!$O$2:$O$2000,0))))</f>
        <v/>
      </c>
      <c r="H64" s="4" t="str">
        <f aca="false">IF($B64="","",IF(INDEX(클레임목록!$F$2:$F$2000,MATCH($B64,클레임목록!$O$2:$O$2000,0))="","",INDEX(클레임목록!$F$2:$F$2000,MATCH($B64,클레임목록!$O$2:$O$2000,0))))</f>
        <v/>
      </c>
      <c r="I64" s="4" t="str">
        <f aca="false">IF($B64="","",IF(INDEX(클레임목록!$G$2:$G$2000,MATCH($B64,클레임목록!$O$2:$O$2000,0))="","",INDEX(클레임목록!$G$2:$G$2000,MATCH($B64,클레임목록!$O$2:$O$2000,0))))</f>
        <v/>
      </c>
      <c r="J64" s="4" t="str">
        <f aca="false">IF($B64="","",IF(INDEX(클레임목록!$H$2:$H$2000,MATCH($B64,클레임목록!$O$2:$O$2000,0))="","",INDEX(클레임목록!$H$2:$H$2000,MATCH($B64,클레임목록!$O$2:$O$2000,0))))</f>
        <v/>
      </c>
      <c r="K64" s="50" t="str">
        <f aca="false">IF($B64="","",IF(INDEX(클레임목록!$I$2:$I$2000,MATCH($B64,클레임목록!$O$2:$O$2000,0))="","",INDEX(클레임목록!$I$2:$I$2000,MATCH($B64,클레임목록!$O$2:$O$2000,0))))</f>
        <v/>
      </c>
      <c r="L64" s="49" t="str">
        <f aca="false">IF($B64="","",IF(INDEX(클레임목록!$J$2:$J$2000,MATCH($B64,클레임목록!$O$2:$O$2000,0))="","",INDEX(클레임목록!$J$2:$J$2000,MATCH($B64,클레임목록!$O$2:$O$2000,0))))</f>
        <v/>
      </c>
    </row>
    <row r="65" customFormat="false" ht="15" hidden="false" customHeight="false" outlineLevel="0" collapsed="false">
      <c r="B65" s="48" t="str">
        <f aca="false">IF(52&lt;=$C$11,52,"")</f>
        <v/>
      </c>
      <c r="C65" s="49" t="str">
        <f aca="false">IF($B65="","",IF(INDEX(클레임목록!$A$2:$A$2000,MATCH($B65,클레임목록!$O$2:$O$2000,0))="","",INDEX(클레임목록!$A$2:$A$2000,MATCH($B65,클레임목록!$O$2:$O$2000,0))))</f>
        <v/>
      </c>
      <c r="D65" s="50" t="str">
        <f aca="false">IF($B65="","",IF(INDEX(클레임목록!$B$2:$B$2000,MATCH($B65,클레임목록!$O$2:$O$2000,0))="","",INDEX(클레임목록!$B$2:$B$2000,MATCH($B65,클레임목록!$O$2:$O$2000,0))))</f>
        <v/>
      </c>
      <c r="E65" s="4" t="str">
        <f aca="false">IF($B65="","",IF(INDEX(클레임목록!$C$2:$C$2000,MATCH($B65,클레임목록!$O$2:$O$2000,0))="","",INDEX(클레임목록!$C$2:$C$2000,MATCH($B65,클레임목록!$O$2:$O$2000,0))))</f>
        <v/>
      </c>
      <c r="F65" s="49" t="str">
        <f aca="false">IF($B65="","",IF(INDEX(클레임목록!$D$2:$D$2000,MATCH($B65,클레임목록!$O$2:$O$2000,0))="","",INDEX(클레임목록!$D$2:$D$2000,MATCH($B65,클레임목록!$O$2:$O$2000,0))))</f>
        <v/>
      </c>
      <c r="G65" s="49" t="str">
        <f aca="false">IF($B65="","",IF(INDEX(클레임목록!$E$2:$E$2000,MATCH($B65,클레임목록!$O$2:$O$2000,0))="","",INDEX(클레임목록!$E$2:$E$2000,MATCH($B65,클레임목록!$O$2:$O$2000,0))))</f>
        <v/>
      </c>
      <c r="H65" s="4" t="str">
        <f aca="false">IF($B65="","",IF(INDEX(클레임목록!$F$2:$F$2000,MATCH($B65,클레임목록!$O$2:$O$2000,0))="","",INDEX(클레임목록!$F$2:$F$2000,MATCH($B65,클레임목록!$O$2:$O$2000,0))))</f>
        <v/>
      </c>
      <c r="I65" s="4" t="str">
        <f aca="false">IF($B65="","",IF(INDEX(클레임목록!$G$2:$G$2000,MATCH($B65,클레임목록!$O$2:$O$2000,0))="","",INDEX(클레임목록!$G$2:$G$2000,MATCH($B65,클레임목록!$O$2:$O$2000,0))))</f>
        <v/>
      </c>
      <c r="J65" s="4" t="str">
        <f aca="false">IF($B65="","",IF(INDEX(클레임목록!$H$2:$H$2000,MATCH($B65,클레임목록!$O$2:$O$2000,0))="","",INDEX(클레임목록!$H$2:$H$2000,MATCH($B65,클레임목록!$O$2:$O$2000,0))))</f>
        <v/>
      </c>
      <c r="K65" s="50" t="str">
        <f aca="false">IF($B65="","",IF(INDEX(클레임목록!$I$2:$I$2000,MATCH($B65,클레임목록!$O$2:$O$2000,0))="","",INDEX(클레임목록!$I$2:$I$2000,MATCH($B65,클레임목록!$O$2:$O$2000,0))))</f>
        <v/>
      </c>
      <c r="L65" s="49" t="str">
        <f aca="false">IF($B65="","",IF(INDEX(클레임목록!$J$2:$J$2000,MATCH($B65,클레임목록!$O$2:$O$2000,0))="","",INDEX(클레임목록!$J$2:$J$2000,MATCH($B65,클레임목록!$O$2:$O$2000,0))))</f>
        <v/>
      </c>
    </row>
    <row r="66" customFormat="false" ht="15" hidden="false" customHeight="false" outlineLevel="0" collapsed="false">
      <c r="B66" s="48" t="str">
        <f aca="false">IF(53&lt;=$C$11,53,"")</f>
        <v/>
      </c>
      <c r="C66" s="49" t="str">
        <f aca="false">IF($B66="","",IF(INDEX(클레임목록!$A$2:$A$2000,MATCH($B66,클레임목록!$O$2:$O$2000,0))="","",INDEX(클레임목록!$A$2:$A$2000,MATCH($B66,클레임목록!$O$2:$O$2000,0))))</f>
        <v/>
      </c>
      <c r="D66" s="50" t="str">
        <f aca="false">IF($B66="","",IF(INDEX(클레임목록!$B$2:$B$2000,MATCH($B66,클레임목록!$O$2:$O$2000,0))="","",INDEX(클레임목록!$B$2:$B$2000,MATCH($B66,클레임목록!$O$2:$O$2000,0))))</f>
        <v/>
      </c>
      <c r="E66" s="4" t="str">
        <f aca="false">IF($B66="","",IF(INDEX(클레임목록!$C$2:$C$2000,MATCH($B66,클레임목록!$O$2:$O$2000,0))="","",INDEX(클레임목록!$C$2:$C$2000,MATCH($B66,클레임목록!$O$2:$O$2000,0))))</f>
        <v/>
      </c>
      <c r="F66" s="49" t="str">
        <f aca="false">IF($B66="","",IF(INDEX(클레임목록!$D$2:$D$2000,MATCH($B66,클레임목록!$O$2:$O$2000,0))="","",INDEX(클레임목록!$D$2:$D$2000,MATCH($B66,클레임목록!$O$2:$O$2000,0))))</f>
        <v/>
      </c>
      <c r="G66" s="49" t="str">
        <f aca="false">IF($B66="","",IF(INDEX(클레임목록!$E$2:$E$2000,MATCH($B66,클레임목록!$O$2:$O$2000,0))="","",INDEX(클레임목록!$E$2:$E$2000,MATCH($B66,클레임목록!$O$2:$O$2000,0))))</f>
        <v/>
      </c>
      <c r="H66" s="4" t="str">
        <f aca="false">IF($B66="","",IF(INDEX(클레임목록!$F$2:$F$2000,MATCH($B66,클레임목록!$O$2:$O$2000,0))="","",INDEX(클레임목록!$F$2:$F$2000,MATCH($B66,클레임목록!$O$2:$O$2000,0))))</f>
        <v/>
      </c>
      <c r="I66" s="4" t="str">
        <f aca="false">IF($B66="","",IF(INDEX(클레임목록!$G$2:$G$2000,MATCH($B66,클레임목록!$O$2:$O$2000,0))="","",INDEX(클레임목록!$G$2:$G$2000,MATCH($B66,클레임목록!$O$2:$O$2000,0))))</f>
        <v/>
      </c>
      <c r="J66" s="4" t="str">
        <f aca="false">IF($B66="","",IF(INDEX(클레임목록!$H$2:$H$2000,MATCH($B66,클레임목록!$O$2:$O$2000,0))="","",INDEX(클레임목록!$H$2:$H$2000,MATCH($B66,클레임목록!$O$2:$O$2000,0))))</f>
        <v/>
      </c>
      <c r="K66" s="50" t="str">
        <f aca="false">IF($B66="","",IF(INDEX(클레임목록!$I$2:$I$2000,MATCH($B66,클레임목록!$O$2:$O$2000,0))="","",INDEX(클레임목록!$I$2:$I$2000,MATCH($B66,클레임목록!$O$2:$O$2000,0))))</f>
        <v/>
      </c>
      <c r="L66" s="49" t="str">
        <f aca="false">IF($B66="","",IF(INDEX(클레임목록!$J$2:$J$2000,MATCH($B66,클레임목록!$O$2:$O$2000,0))="","",INDEX(클레임목록!$J$2:$J$2000,MATCH($B66,클레임목록!$O$2:$O$2000,0))))</f>
        <v/>
      </c>
    </row>
    <row r="67" customFormat="false" ht="15" hidden="false" customHeight="false" outlineLevel="0" collapsed="false">
      <c r="B67" s="48" t="str">
        <f aca="false">IF(54&lt;=$C$11,54,"")</f>
        <v/>
      </c>
      <c r="C67" s="49" t="str">
        <f aca="false">IF($B67="","",IF(INDEX(클레임목록!$A$2:$A$2000,MATCH($B67,클레임목록!$O$2:$O$2000,0))="","",INDEX(클레임목록!$A$2:$A$2000,MATCH($B67,클레임목록!$O$2:$O$2000,0))))</f>
        <v/>
      </c>
      <c r="D67" s="50" t="str">
        <f aca="false">IF($B67="","",IF(INDEX(클레임목록!$B$2:$B$2000,MATCH($B67,클레임목록!$O$2:$O$2000,0))="","",INDEX(클레임목록!$B$2:$B$2000,MATCH($B67,클레임목록!$O$2:$O$2000,0))))</f>
        <v/>
      </c>
      <c r="E67" s="4" t="str">
        <f aca="false">IF($B67="","",IF(INDEX(클레임목록!$C$2:$C$2000,MATCH($B67,클레임목록!$O$2:$O$2000,0))="","",INDEX(클레임목록!$C$2:$C$2000,MATCH($B67,클레임목록!$O$2:$O$2000,0))))</f>
        <v/>
      </c>
      <c r="F67" s="49" t="str">
        <f aca="false">IF($B67="","",IF(INDEX(클레임목록!$D$2:$D$2000,MATCH($B67,클레임목록!$O$2:$O$2000,0))="","",INDEX(클레임목록!$D$2:$D$2000,MATCH($B67,클레임목록!$O$2:$O$2000,0))))</f>
        <v/>
      </c>
      <c r="G67" s="49" t="str">
        <f aca="false">IF($B67="","",IF(INDEX(클레임목록!$E$2:$E$2000,MATCH($B67,클레임목록!$O$2:$O$2000,0))="","",INDEX(클레임목록!$E$2:$E$2000,MATCH($B67,클레임목록!$O$2:$O$2000,0))))</f>
        <v/>
      </c>
      <c r="H67" s="4" t="str">
        <f aca="false">IF($B67="","",IF(INDEX(클레임목록!$F$2:$F$2000,MATCH($B67,클레임목록!$O$2:$O$2000,0))="","",INDEX(클레임목록!$F$2:$F$2000,MATCH($B67,클레임목록!$O$2:$O$2000,0))))</f>
        <v/>
      </c>
      <c r="I67" s="4" t="str">
        <f aca="false">IF($B67="","",IF(INDEX(클레임목록!$G$2:$G$2000,MATCH($B67,클레임목록!$O$2:$O$2000,0))="","",INDEX(클레임목록!$G$2:$G$2000,MATCH($B67,클레임목록!$O$2:$O$2000,0))))</f>
        <v/>
      </c>
      <c r="J67" s="4" t="str">
        <f aca="false">IF($B67="","",IF(INDEX(클레임목록!$H$2:$H$2000,MATCH($B67,클레임목록!$O$2:$O$2000,0))="","",INDEX(클레임목록!$H$2:$H$2000,MATCH($B67,클레임목록!$O$2:$O$2000,0))))</f>
        <v/>
      </c>
      <c r="K67" s="50" t="str">
        <f aca="false">IF($B67="","",IF(INDEX(클레임목록!$I$2:$I$2000,MATCH($B67,클레임목록!$O$2:$O$2000,0))="","",INDEX(클레임목록!$I$2:$I$2000,MATCH($B67,클레임목록!$O$2:$O$2000,0))))</f>
        <v/>
      </c>
      <c r="L67" s="49" t="str">
        <f aca="false">IF($B67="","",IF(INDEX(클레임목록!$J$2:$J$2000,MATCH($B67,클레임목록!$O$2:$O$2000,0))="","",INDEX(클레임목록!$J$2:$J$2000,MATCH($B67,클레임목록!$O$2:$O$2000,0))))</f>
        <v/>
      </c>
    </row>
    <row r="68" customFormat="false" ht="15" hidden="false" customHeight="false" outlineLevel="0" collapsed="false">
      <c r="B68" s="48" t="str">
        <f aca="false">IF(55&lt;=$C$11,55,"")</f>
        <v/>
      </c>
      <c r="C68" s="49" t="str">
        <f aca="false">IF($B68="","",IF(INDEX(클레임목록!$A$2:$A$2000,MATCH($B68,클레임목록!$O$2:$O$2000,0))="","",INDEX(클레임목록!$A$2:$A$2000,MATCH($B68,클레임목록!$O$2:$O$2000,0))))</f>
        <v/>
      </c>
      <c r="D68" s="50" t="str">
        <f aca="false">IF($B68="","",IF(INDEX(클레임목록!$B$2:$B$2000,MATCH($B68,클레임목록!$O$2:$O$2000,0))="","",INDEX(클레임목록!$B$2:$B$2000,MATCH($B68,클레임목록!$O$2:$O$2000,0))))</f>
        <v/>
      </c>
      <c r="E68" s="4" t="str">
        <f aca="false">IF($B68="","",IF(INDEX(클레임목록!$C$2:$C$2000,MATCH($B68,클레임목록!$O$2:$O$2000,0))="","",INDEX(클레임목록!$C$2:$C$2000,MATCH($B68,클레임목록!$O$2:$O$2000,0))))</f>
        <v/>
      </c>
      <c r="F68" s="49" t="str">
        <f aca="false">IF($B68="","",IF(INDEX(클레임목록!$D$2:$D$2000,MATCH($B68,클레임목록!$O$2:$O$2000,0))="","",INDEX(클레임목록!$D$2:$D$2000,MATCH($B68,클레임목록!$O$2:$O$2000,0))))</f>
        <v/>
      </c>
      <c r="G68" s="49" t="str">
        <f aca="false">IF($B68="","",IF(INDEX(클레임목록!$E$2:$E$2000,MATCH($B68,클레임목록!$O$2:$O$2000,0))="","",INDEX(클레임목록!$E$2:$E$2000,MATCH($B68,클레임목록!$O$2:$O$2000,0))))</f>
        <v/>
      </c>
      <c r="H68" s="4" t="str">
        <f aca="false">IF($B68="","",IF(INDEX(클레임목록!$F$2:$F$2000,MATCH($B68,클레임목록!$O$2:$O$2000,0))="","",INDEX(클레임목록!$F$2:$F$2000,MATCH($B68,클레임목록!$O$2:$O$2000,0))))</f>
        <v/>
      </c>
      <c r="I68" s="4" t="str">
        <f aca="false">IF($B68="","",IF(INDEX(클레임목록!$G$2:$G$2000,MATCH($B68,클레임목록!$O$2:$O$2000,0))="","",INDEX(클레임목록!$G$2:$G$2000,MATCH($B68,클레임목록!$O$2:$O$2000,0))))</f>
        <v/>
      </c>
      <c r="J68" s="4" t="str">
        <f aca="false">IF($B68="","",IF(INDEX(클레임목록!$H$2:$H$2000,MATCH($B68,클레임목록!$O$2:$O$2000,0))="","",INDEX(클레임목록!$H$2:$H$2000,MATCH($B68,클레임목록!$O$2:$O$2000,0))))</f>
        <v/>
      </c>
      <c r="K68" s="50" t="str">
        <f aca="false">IF($B68="","",IF(INDEX(클레임목록!$I$2:$I$2000,MATCH($B68,클레임목록!$O$2:$O$2000,0))="","",INDEX(클레임목록!$I$2:$I$2000,MATCH($B68,클레임목록!$O$2:$O$2000,0))))</f>
        <v/>
      </c>
      <c r="L68" s="49" t="str">
        <f aca="false">IF($B68="","",IF(INDEX(클레임목록!$J$2:$J$2000,MATCH($B68,클레임목록!$O$2:$O$2000,0))="","",INDEX(클레임목록!$J$2:$J$2000,MATCH($B68,클레임목록!$O$2:$O$2000,0))))</f>
        <v/>
      </c>
    </row>
    <row r="69" customFormat="false" ht="15" hidden="false" customHeight="false" outlineLevel="0" collapsed="false">
      <c r="B69" s="48" t="str">
        <f aca="false">IF(56&lt;=$C$11,56,"")</f>
        <v/>
      </c>
      <c r="C69" s="49" t="str">
        <f aca="false">IF($B69="","",IF(INDEX(클레임목록!$A$2:$A$2000,MATCH($B69,클레임목록!$O$2:$O$2000,0))="","",INDEX(클레임목록!$A$2:$A$2000,MATCH($B69,클레임목록!$O$2:$O$2000,0))))</f>
        <v/>
      </c>
      <c r="D69" s="50" t="str">
        <f aca="false">IF($B69="","",IF(INDEX(클레임목록!$B$2:$B$2000,MATCH($B69,클레임목록!$O$2:$O$2000,0))="","",INDEX(클레임목록!$B$2:$B$2000,MATCH($B69,클레임목록!$O$2:$O$2000,0))))</f>
        <v/>
      </c>
      <c r="E69" s="4" t="str">
        <f aca="false">IF($B69="","",IF(INDEX(클레임목록!$C$2:$C$2000,MATCH($B69,클레임목록!$O$2:$O$2000,0))="","",INDEX(클레임목록!$C$2:$C$2000,MATCH($B69,클레임목록!$O$2:$O$2000,0))))</f>
        <v/>
      </c>
      <c r="F69" s="49" t="str">
        <f aca="false">IF($B69="","",IF(INDEX(클레임목록!$D$2:$D$2000,MATCH($B69,클레임목록!$O$2:$O$2000,0))="","",INDEX(클레임목록!$D$2:$D$2000,MATCH($B69,클레임목록!$O$2:$O$2000,0))))</f>
        <v/>
      </c>
      <c r="G69" s="49" t="str">
        <f aca="false">IF($B69="","",IF(INDEX(클레임목록!$E$2:$E$2000,MATCH($B69,클레임목록!$O$2:$O$2000,0))="","",INDEX(클레임목록!$E$2:$E$2000,MATCH($B69,클레임목록!$O$2:$O$2000,0))))</f>
        <v/>
      </c>
      <c r="H69" s="4" t="str">
        <f aca="false">IF($B69="","",IF(INDEX(클레임목록!$F$2:$F$2000,MATCH($B69,클레임목록!$O$2:$O$2000,0))="","",INDEX(클레임목록!$F$2:$F$2000,MATCH($B69,클레임목록!$O$2:$O$2000,0))))</f>
        <v/>
      </c>
      <c r="I69" s="4" t="str">
        <f aca="false">IF($B69="","",IF(INDEX(클레임목록!$G$2:$G$2000,MATCH($B69,클레임목록!$O$2:$O$2000,0))="","",INDEX(클레임목록!$G$2:$G$2000,MATCH($B69,클레임목록!$O$2:$O$2000,0))))</f>
        <v/>
      </c>
      <c r="J69" s="4" t="str">
        <f aca="false">IF($B69="","",IF(INDEX(클레임목록!$H$2:$H$2000,MATCH($B69,클레임목록!$O$2:$O$2000,0))="","",INDEX(클레임목록!$H$2:$H$2000,MATCH($B69,클레임목록!$O$2:$O$2000,0))))</f>
        <v/>
      </c>
      <c r="K69" s="50" t="str">
        <f aca="false">IF($B69="","",IF(INDEX(클레임목록!$I$2:$I$2000,MATCH($B69,클레임목록!$O$2:$O$2000,0))="","",INDEX(클레임목록!$I$2:$I$2000,MATCH($B69,클레임목록!$O$2:$O$2000,0))))</f>
        <v/>
      </c>
      <c r="L69" s="49" t="str">
        <f aca="false">IF($B69="","",IF(INDEX(클레임목록!$J$2:$J$2000,MATCH($B69,클레임목록!$O$2:$O$2000,0))="","",INDEX(클레임목록!$J$2:$J$2000,MATCH($B69,클레임목록!$O$2:$O$2000,0))))</f>
        <v/>
      </c>
    </row>
    <row r="70" customFormat="false" ht="15" hidden="false" customHeight="false" outlineLevel="0" collapsed="false">
      <c r="B70" s="48" t="str">
        <f aca="false">IF(57&lt;=$C$11,57,"")</f>
        <v/>
      </c>
      <c r="C70" s="49" t="str">
        <f aca="false">IF($B70="","",IF(INDEX(클레임목록!$A$2:$A$2000,MATCH($B70,클레임목록!$O$2:$O$2000,0))="","",INDEX(클레임목록!$A$2:$A$2000,MATCH($B70,클레임목록!$O$2:$O$2000,0))))</f>
        <v/>
      </c>
      <c r="D70" s="50" t="str">
        <f aca="false">IF($B70="","",IF(INDEX(클레임목록!$B$2:$B$2000,MATCH($B70,클레임목록!$O$2:$O$2000,0))="","",INDEX(클레임목록!$B$2:$B$2000,MATCH($B70,클레임목록!$O$2:$O$2000,0))))</f>
        <v/>
      </c>
      <c r="E70" s="4" t="str">
        <f aca="false">IF($B70="","",IF(INDEX(클레임목록!$C$2:$C$2000,MATCH($B70,클레임목록!$O$2:$O$2000,0))="","",INDEX(클레임목록!$C$2:$C$2000,MATCH($B70,클레임목록!$O$2:$O$2000,0))))</f>
        <v/>
      </c>
      <c r="F70" s="49" t="str">
        <f aca="false">IF($B70="","",IF(INDEX(클레임목록!$D$2:$D$2000,MATCH($B70,클레임목록!$O$2:$O$2000,0))="","",INDEX(클레임목록!$D$2:$D$2000,MATCH($B70,클레임목록!$O$2:$O$2000,0))))</f>
        <v/>
      </c>
      <c r="G70" s="49" t="str">
        <f aca="false">IF($B70="","",IF(INDEX(클레임목록!$E$2:$E$2000,MATCH($B70,클레임목록!$O$2:$O$2000,0))="","",INDEX(클레임목록!$E$2:$E$2000,MATCH($B70,클레임목록!$O$2:$O$2000,0))))</f>
        <v/>
      </c>
      <c r="H70" s="4" t="str">
        <f aca="false">IF($B70="","",IF(INDEX(클레임목록!$F$2:$F$2000,MATCH($B70,클레임목록!$O$2:$O$2000,0))="","",INDEX(클레임목록!$F$2:$F$2000,MATCH($B70,클레임목록!$O$2:$O$2000,0))))</f>
        <v/>
      </c>
      <c r="I70" s="4" t="str">
        <f aca="false">IF($B70="","",IF(INDEX(클레임목록!$G$2:$G$2000,MATCH($B70,클레임목록!$O$2:$O$2000,0))="","",INDEX(클레임목록!$G$2:$G$2000,MATCH($B70,클레임목록!$O$2:$O$2000,0))))</f>
        <v/>
      </c>
      <c r="J70" s="4" t="str">
        <f aca="false">IF($B70="","",IF(INDEX(클레임목록!$H$2:$H$2000,MATCH($B70,클레임목록!$O$2:$O$2000,0))="","",INDEX(클레임목록!$H$2:$H$2000,MATCH($B70,클레임목록!$O$2:$O$2000,0))))</f>
        <v/>
      </c>
      <c r="K70" s="50" t="str">
        <f aca="false">IF($B70="","",IF(INDEX(클레임목록!$I$2:$I$2000,MATCH($B70,클레임목록!$O$2:$O$2000,0))="","",INDEX(클레임목록!$I$2:$I$2000,MATCH($B70,클레임목록!$O$2:$O$2000,0))))</f>
        <v/>
      </c>
      <c r="L70" s="49" t="str">
        <f aca="false">IF($B70="","",IF(INDEX(클레임목록!$J$2:$J$2000,MATCH($B70,클레임목록!$O$2:$O$2000,0))="","",INDEX(클레임목록!$J$2:$J$2000,MATCH($B70,클레임목록!$O$2:$O$2000,0))))</f>
        <v/>
      </c>
    </row>
    <row r="71" customFormat="false" ht="15" hidden="false" customHeight="false" outlineLevel="0" collapsed="false">
      <c r="B71" s="48" t="str">
        <f aca="false">IF(58&lt;=$C$11,58,"")</f>
        <v/>
      </c>
      <c r="C71" s="49" t="str">
        <f aca="false">IF($B71="","",IF(INDEX(클레임목록!$A$2:$A$2000,MATCH($B71,클레임목록!$O$2:$O$2000,0))="","",INDEX(클레임목록!$A$2:$A$2000,MATCH($B71,클레임목록!$O$2:$O$2000,0))))</f>
        <v/>
      </c>
      <c r="D71" s="50" t="str">
        <f aca="false">IF($B71="","",IF(INDEX(클레임목록!$B$2:$B$2000,MATCH($B71,클레임목록!$O$2:$O$2000,0))="","",INDEX(클레임목록!$B$2:$B$2000,MATCH($B71,클레임목록!$O$2:$O$2000,0))))</f>
        <v/>
      </c>
      <c r="E71" s="4" t="str">
        <f aca="false">IF($B71="","",IF(INDEX(클레임목록!$C$2:$C$2000,MATCH($B71,클레임목록!$O$2:$O$2000,0))="","",INDEX(클레임목록!$C$2:$C$2000,MATCH($B71,클레임목록!$O$2:$O$2000,0))))</f>
        <v/>
      </c>
      <c r="F71" s="49" t="str">
        <f aca="false">IF($B71="","",IF(INDEX(클레임목록!$D$2:$D$2000,MATCH($B71,클레임목록!$O$2:$O$2000,0))="","",INDEX(클레임목록!$D$2:$D$2000,MATCH($B71,클레임목록!$O$2:$O$2000,0))))</f>
        <v/>
      </c>
      <c r="G71" s="49" t="str">
        <f aca="false">IF($B71="","",IF(INDEX(클레임목록!$E$2:$E$2000,MATCH($B71,클레임목록!$O$2:$O$2000,0))="","",INDEX(클레임목록!$E$2:$E$2000,MATCH($B71,클레임목록!$O$2:$O$2000,0))))</f>
        <v/>
      </c>
      <c r="H71" s="4" t="str">
        <f aca="false">IF($B71="","",IF(INDEX(클레임목록!$F$2:$F$2000,MATCH($B71,클레임목록!$O$2:$O$2000,0))="","",INDEX(클레임목록!$F$2:$F$2000,MATCH($B71,클레임목록!$O$2:$O$2000,0))))</f>
        <v/>
      </c>
      <c r="I71" s="4" t="str">
        <f aca="false">IF($B71="","",IF(INDEX(클레임목록!$G$2:$G$2000,MATCH($B71,클레임목록!$O$2:$O$2000,0))="","",INDEX(클레임목록!$G$2:$G$2000,MATCH($B71,클레임목록!$O$2:$O$2000,0))))</f>
        <v/>
      </c>
      <c r="J71" s="4" t="str">
        <f aca="false">IF($B71="","",IF(INDEX(클레임목록!$H$2:$H$2000,MATCH($B71,클레임목록!$O$2:$O$2000,0))="","",INDEX(클레임목록!$H$2:$H$2000,MATCH($B71,클레임목록!$O$2:$O$2000,0))))</f>
        <v/>
      </c>
      <c r="K71" s="50" t="str">
        <f aca="false">IF($B71="","",IF(INDEX(클레임목록!$I$2:$I$2000,MATCH($B71,클레임목록!$O$2:$O$2000,0))="","",INDEX(클레임목록!$I$2:$I$2000,MATCH($B71,클레임목록!$O$2:$O$2000,0))))</f>
        <v/>
      </c>
      <c r="L71" s="49" t="str">
        <f aca="false">IF($B71="","",IF(INDEX(클레임목록!$J$2:$J$2000,MATCH($B71,클레임목록!$O$2:$O$2000,0))="","",INDEX(클레임목록!$J$2:$J$2000,MATCH($B71,클레임목록!$O$2:$O$2000,0))))</f>
        <v/>
      </c>
    </row>
    <row r="72" customFormat="false" ht="15" hidden="false" customHeight="false" outlineLevel="0" collapsed="false">
      <c r="B72" s="48" t="str">
        <f aca="false">IF(59&lt;=$C$11,59,"")</f>
        <v/>
      </c>
      <c r="C72" s="49" t="str">
        <f aca="false">IF($B72="","",IF(INDEX(클레임목록!$A$2:$A$2000,MATCH($B72,클레임목록!$O$2:$O$2000,0))="","",INDEX(클레임목록!$A$2:$A$2000,MATCH($B72,클레임목록!$O$2:$O$2000,0))))</f>
        <v/>
      </c>
      <c r="D72" s="50" t="str">
        <f aca="false">IF($B72="","",IF(INDEX(클레임목록!$B$2:$B$2000,MATCH($B72,클레임목록!$O$2:$O$2000,0))="","",INDEX(클레임목록!$B$2:$B$2000,MATCH($B72,클레임목록!$O$2:$O$2000,0))))</f>
        <v/>
      </c>
      <c r="E72" s="4" t="str">
        <f aca="false">IF($B72="","",IF(INDEX(클레임목록!$C$2:$C$2000,MATCH($B72,클레임목록!$O$2:$O$2000,0))="","",INDEX(클레임목록!$C$2:$C$2000,MATCH($B72,클레임목록!$O$2:$O$2000,0))))</f>
        <v/>
      </c>
      <c r="F72" s="49" t="str">
        <f aca="false">IF($B72="","",IF(INDEX(클레임목록!$D$2:$D$2000,MATCH($B72,클레임목록!$O$2:$O$2000,0))="","",INDEX(클레임목록!$D$2:$D$2000,MATCH($B72,클레임목록!$O$2:$O$2000,0))))</f>
        <v/>
      </c>
      <c r="G72" s="49" t="str">
        <f aca="false">IF($B72="","",IF(INDEX(클레임목록!$E$2:$E$2000,MATCH($B72,클레임목록!$O$2:$O$2000,0))="","",INDEX(클레임목록!$E$2:$E$2000,MATCH($B72,클레임목록!$O$2:$O$2000,0))))</f>
        <v/>
      </c>
      <c r="H72" s="4" t="str">
        <f aca="false">IF($B72="","",IF(INDEX(클레임목록!$F$2:$F$2000,MATCH($B72,클레임목록!$O$2:$O$2000,0))="","",INDEX(클레임목록!$F$2:$F$2000,MATCH($B72,클레임목록!$O$2:$O$2000,0))))</f>
        <v/>
      </c>
      <c r="I72" s="4" t="str">
        <f aca="false">IF($B72="","",IF(INDEX(클레임목록!$G$2:$G$2000,MATCH($B72,클레임목록!$O$2:$O$2000,0))="","",INDEX(클레임목록!$G$2:$G$2000,MATCH($B72,클레임목록!$O$2:$O$2000,0))))</f>
        <v/>
      </c>
      <c r="J72" s="4" t="str">
        <f aca="false">IF($B72="","",IF(INDEX(클레임목록!$H$2:$H$2000,MATCH($B72,클레임목록!$O$2:$O$2000,0))="","",INDEX(클레임목록!$H$2:$H$2000,MATCH($B72,클레임목록!$O$2:$O$2000,0))))</f>
        <v/>
      </c>
      <c r="K72" s="50" t="str">
        <f aca="false">IF($B72="","",IF(INDEX(클레임목록!$I$2:$I$2000,MATCH($B72,클레임목록!$O$2:$O$2000,0))="","",INDEX(클레임목록!$I$2:$I$2000,MATCH($B72,클레임목록!$O$2:$O$2000,0))))</f>
        <v/>
      </c>
      <c r="L72" s="49" t="str">
        <f aca="false">IF($B72="","",IF(INDEX(클레임목록!$J$2:$J$2000,MATCH($B72,클레임목록!$O$2:$O$2000,0))="","",INDEX(클레임목록!$J$2:$J$2000,MATCH($B72,클레임목록!$O$2:$O$2000,0))))</f>
        <v/>
      </c>
    </row>
    <row r="73" customFormat="false" ht="15" hidden="false" customHeight="false" outlineLevel="0" collapsed="false">
      <c r="B73" s="48" t="str">
        <f aca="false">IF(60&lt;=$C$11,60,"")</f>
        <v/>
      </c>
      <c r="C73" s="49" t="str">
        <f aca="false">IF($B73="","",IF(INDEX(클레임목록!$A$2:$A$2000,MATCH($B73,클레임목록!$O$2:$O$2000,0))="","",INDEX(클레임목록!$A$2:$A$2000,MATCH($B73,클레임목록!$O$2:$O$2000,0))))</f>
        <v/>
      </c>
      <c r="D73" s="50" t="str">
        <f aca="false">IF($B73="","",IF(INDEX(클레임목록!$B$2:$B$2000,MATCH($B73,클레임목록!$O$2:$O$2000,0))="","",INDEX(클레임목록!$B$2:$B$2000,MATCH($B73,클레임목록!$O$2:$O$2000,0))))</f>
        <v/>
      </c>
      <c r="E73" s="4" t="str">
        <f aca="false">IF($B73="","",IF(INDEX(클레임목록!$C$2:$C$2000,MATCH($B73,클레임목록!$O$2:$O$2000,0))="","",INDEX(클레임목록!$C$2:$C$2000,MATCH($B73,클레임목록!$O$2:$O$2000,0))))</f>
        <v/>
      </c>
      <c r="F73" s="49" t="str">
        <f aca="false">IF($B73="","",IF(INDEX(클레임목록!$D$2:$D$2000,MATCH($B73,클레임목록!$O$2:$O$2000,0))="","",INDEX(클레임목록!$D$2:$D$2000,MATCH($B73,클레임목록!$O$2:$O$2000,0))))</f>
        <v/>
      </c>
      <c r="G73" s="49" t="str">
        <f aca="false">IF($B73="","",IF(INDEX(클레임목록!$E$2:$E$2000,MATCH($B73,클레임목록!$O$2:$O$2000,0))="","",INDEX(클레임목록!$E$2:$E$2000,MATCH($B73,클레임목록!$O$2:$O$2000,0))))</f>
        <v/>
      </c>
      <c r="H73" s="4" t="str">
        <f aca="false">IF($B73="","",IF(INDEX(클레임목록!$F$2:$F$2000,MATCH($B73,클레임목록!$O$2:$O$2000,0))="","",INDEX(클레임목록!$F$2:$F$2000,MATCH($B73,클레임목록!$O$2:$O$2000,0))))</f>
        <v/>
      </c>
      <c r="I73" s="4" t="str">
        <f aca="false">IF($B73="","",IF(INDEX(클레임목록!$G$2:$G$2000,MATCH($B73,클레임목록!$O$2:$O$2000,0))="","",INDEX(클레임목록!$G$2:$G$2000,MATCH($B73,클레임목록!$O$2:$O$2000,0))))</f>
        <v/>
      </c>
      <c r="J73" s="4" t="str">
        <f aca="false">IF($B73="","",IF(INDEX(클레임목록!$H$2:$H$2000,MATCH($B73,클레임목록!$O$2:$O$2000,0))="","",INDEX(클레임목록!$H$2:$H$2000,MATCH($B73,클레임목록!$O$2:$O$2000,0))))</f>
        <v/>
      </c>
      <c r="K73" s="50" t="str">
        <f aca="false">IF($B73="","",IF(INDEX(클레임목록!$I$2:$I$2000,MATCH($B73,클레임목록!$O$2:$O$2000,0))="","",INDEX(클레임목록!$I$2:$I$2000,MATCH($B73,클레임목록!$O$2:$O$2000,0))))</f>
        <v/>
      </c>
      <c r="L73" s="49" t="str">
        <f aca="false">IF($B73="","",IF(INDEX(클레임목록!$J$2:$J$2000,MATCH($B73,클레임목록!$O$2:$O$2000,0))="","",INDEX(클레임목록!$J$2:$J$2000,MATCH($B73,클레임목록!$O$2:$O$2000,0))))</f>
        <v/>
      </c>
    </row>
    <row r="74" customFormat="false" ht="15" hidden="false" customHeight="false" outlineLevel="0" collapsed="false">
      <c r="B74" s="48" t="str">
        <f aca="false">IF(61&lt;=$C$11,61,"")</f>
        <v/>
      </c>
      <c r="C74" s="49" t="str">
        <f aca="false">IF($B74="","",IF(INDEX(클레임목록!$A$2:$A$2000,MATCH($B74,클레임목록!$O$2:$O$2000,0))="","",INDEX(클레임목록!$A$2:$A$2000,MATCH($B74,클레임목록!$O$2:$O$2000,0))))</f>
        <v/>
      </c>
      <c r="D74" s="50" t="str">
        <f aca="false">IF($B74="","",IF(INDEX(클레임목록!$B$2:$B$2000,MATCH($B74,클레임목록!$O$2:$O$2000,0))="","",INDEX(클레임목록!$B$2:$B$2000,MATCH($B74,클레임목록!$O$2:$O$2000,0))))</f>
        <v/>
      </c>
      <c r="E74" s="4" t="str">
        <f aca="false">IF($B74="","",IF(INDEX(클레임목록!$C$2:$C$2000,MATCH($B74,클레임목록!$O$2:$O$2000,0))="","",INDEX(클레임목록!$C$2:$C$2000,MATCH($B74,클레임목록!$O$2:$O$2000,0))))</f>
        <v/>
      </c>
      <c r="F74" s="49" t="str">
        <f aca="false">IF($B74="","",IF(INDEX(클레임목록!$D$2:$D$2000,MATCH($B74,클레임목록!$O$2:$O$2000,0))="","",INDEX(클레임목록!$D$2:$D$2000,MATCH($B74,클레임목록!$O$2:$O$2000,0))))</f>
        <v/>
      </c>
      <c r="G74" s="49" t="str">
        <f aca="false">IF($B74="","",IF(INDEX(클레임목록!$E$2:$E$2000,MATCH($B74,클레임목록!$O$2:$O$2000,0))="","",INDEX(클레임목록!$E$2:$E$2000,MATCH($B74,클레임목록!$O$2:$O$2000,0))))</f>
        <v/>
      </c>
      <c r="H74" s="4" t="str">
        <f aca="false">IF($B74="","",IF(INDEX(클레임목록!$F$2:$F$2000,MATCH($B74,클레임목록!$O$2:$O$2000,0))="","",INDEX(클레임목록!$F$2:$F$2000,MATCH($B74,클레임목록!$O$2:$O$2000,0))))</f>
        <v/>
      </c>
      <c r="I74" s="4" t="str">
        <f aca="false">IF($B74="","",IF(INDEX(클레임목록!$G$2:$G$2000,MATCH($B74,클레임목록!$O$2:$O$2000,0))="","",INDEX(클레임목록!$G$2:$G$2000,MATCH($B74,클레임목록!$O$2:$O$2000,0))))</f>
        <v/>
      </c>
      <c r="J74" s="4" t="str">
        <f aca="false">IF($B74="","",IF(INDEX(클레임목록!$H$2:$H$2000,MATCH($B74,클레임목록!$O$2:$O$2000,0))="","",INDEX(클레임목록!$H$2:$H$2000,MATCH($B74,클레임목록!$O$2:$O$2000,0))))</f>
        <v/>
      </c>
      <c r="K74" s="50" t="str">
        <f aca="false">IF($B74="","",IF(INDEX(클레임목록!$I$2:$I$2000,MATCH($B74,클레임목록!$O$2:$O$2000,0))="","",INDEX(클레임목록!$I$2:$I$2000,MATCH($B74,클레임목록!$O$2:$O$2000,0))))</f>
        <v/>
      </c>
      <c r="L74" s="49" t="str">
        <f aca="false">IF($B74="","",IF(INDEX(클레임목록!$J$2:$J$2000,MATCH($B74,클레임목록!$O$2:$O$2000,0))="","",INDEX(클레임목록!$J$2:$J$2000,MATCH($B74,클레임목록!$O$2:$O$2000,0))))</f>
        <v/>
      </c>
    </row>
    <row r="75" customFormat="false" ht="15" hidden="false" customHeight="false" outlineLevel="0" collapsed="false">
      <c r="B75" s="48" t="str">
        <f aca="false">IF(62&lt;=$C$11,62,"")</f>
        <v/>
      </c>
      <c r="C75" s="49" t="str">
        <f aca="false">IF($B75="","",IF(INDEX(클레임목록!$A$2:$A$2000,MATCH($B75,클레임목록!$O$2:$O$2000,0))="","",INDEX(클레임목록!$A$2:$A$2000,MATCH($B75,클레임목록!$O$2:$O$2000,0))))</f>
        <v/>
      </c>
      <c r="D75" s="50" t="str">
        <f aca="false">IF($B75="","",IF(INDEX(클레임목록!$B$2:$B$2000,MATCH($B75,클레임목록!$O$2:$O$2000,0))="","",INDEX(클레임목록!$B$2:$B$2000,MATCH($B75,클레임목록!$O$2:$O$2000,0))))</f>
        <v/>
      </c>
      <c r="E75" s="4" t="str">
        <f aca="false">IF($B75="","",IF(INDEX(클레임목록!$C$2:$C$2000,MATCH($B75,클레임목록!$O$2:$O$2000,0))="","",INDEX(클레임목록!$C$2:$C$2000,MATCH($B75,클레임목록!$O$2:$O$2000,0))))</f>
        <v/>
      </c>
      <c r="F75" s="49" t="str">
        <f aca="false">IF($B75="","",IF(INDEX(클레임목록!$D$2:$D$2000,MATCH($B75,클레임목록!$O$2:$O$2000,0))="","",INDEX(클레임목록!$D$2:$D$2000,MATCH($B75,클레임목록!$O$2:$O$2000,0))))</f>
        <v/>
      </c>
      <c r="G75" s="49" t="str">
        <f aca="false">IF($B75="","",IF(INDEX(클레임목록!$E$2:$E$2000,MATCH($B75,클레임목록!$O$2:$O$2000,0))="","",INDEX(클레임목록!$E$2:$E$2000,MATCH($B75,클레임목록!$O$2:$O$2000,0))))</f>
        <v/>
      </c>
      <c r="H75" s="4" t="str">
        <f aca="false">IF($B75="","",IF(INDEX(클레임목록!$F$2:$F$2000,MATCH($B75,클레임목록!$O$2:$O$2000,0))="","",INDEX(클레임목록!$F$2:$F$2000,MATCH($B75,클레임목록!$O$2:$O$2000,0))))</f>
        <v/>
      </c>
      <c r="I75" s="4" t="str">
        <f aca="false">IF($B75="","",IF(INDEX(클레임목록!$G$2:$G$2000,MATCH($B75,클레임목록!$O$2:$O$2000,0))="","",INDEX(클레임목록!$G$2:$G$2000,MATCH($B75,클레임목록!$O$2:$O$2000,0))))</f>
        <v/>
      </c>
      <c r="J75" s="4" t="str">
        <f aca="false">IF($B75="","",IF(INDEX(클레임목록!$H$2:$H$2000,MATCH($B75,클레임목록!$O$2:$O$2000,0))="","",INDEX(클레임목록!$H$2:$H$2000,MATCH($B75,클레임목록!$O$2:$O$2000,0))))</f>
        <v/>
      </c>
      <c r="K75" s="50" t="str">
        <f aca="false">IF($B75="","",IF(INDEX(클레임목록!$I$2:$I$2000,MATCH($B75,클레임목록!$O$2:$O$2000,0))="","",INDEX(클레임목록!$I$2:$I$2000,MATCH($B75,클레임목록!$O$2:$O$2000,0))))</f>
        <v/>
      </c>
      <c r="L75" s="49" t="str">
        <f aca="false">IF($B75="","",IF(INDEX(클레임목록!$J$2:$J$2000,MATCH($B75,클레임목록!$O$2:$O$2000,0))="","",INDEX(클레임목록!$J$2:$J$2000,MATCH($B75,클레임목록!$O$2:$O$2000,0))))</f>
        <v/>
      </c>
    </row>
    <row r="76" customFormat="false" ht="15" hidden="false" customHeight="false" outlineLevel="0" collapsed="false">
      <c r="B76" s="48" t="str">
        <f aca="false">IF(63&lt;=$C$11,63,"")</f>
        <v/>
      </c>
      <c r="C76" s="49" t="str">
        <f aca="false">IF($B76="","",IF(INDEX(클레임목록!$A$2:$A$2000,MATCH($B76,클레임목록!$O$2:$O$2000,0))="","",INDEX(클레임목록!$A$2:$A$2000,MATCH($B76,클레임목록!$O$2:$O$2000,0))))</f>
        <v/>
      </c>
      <c r="D76" s="50" t="str">
        <f aca="false">IF($B76="","",IF(INDEX(클레임목록!$B$2:$B$2000,MATCH($B76,클레임목록!$O$2:$O$2000,0))="","",INDEX(클레임목록!$B$2:$B$2000,MATCH($B76,클레임목록!$O$2:$O$2000,0))))</f>
        <v/>
      </c>
      <c r="E76" s="4" t="str">
        <f aca="false">IF($B76="","",IF(INDEX(클레임목록!$C$2:$C$2000,MATCH($B76,클레임목록!$O$2:$O$2000,0))="","",INDEX(클레임목록!$C$2:$C$2000,MATCH($B76,클레임목록!$O$2:$O$2000,0))))</f>
        <v/>
      </c>
      <c r="F76" s="49" t="str">
        <f aca="false">IF($B76="","",IF(INDEX(클레임목록!$D$2:$D$2000,MATCH($B76,클레임목록!$O$2:$O$2000,0))="","",INDEX(클레임목록!$D$2:$D$2000,MATCH($B76,클레임목록!$O$2:$O$2000,0))))</f>
        <v/>
      </c>
      <c r="G76" s="49" t="str">
        <f aca="false">IF($B76="","",IF(INDEX(클레임목록!$E$2:$E$2000,MATCH($B76,클레임목록!$O$2:$O$2000,0))="","",INDEX(클레임목록!$E$2:$E$2000,MATCH($B76,클레임목록!$O$2:$O$2000,0))))</f>
        <v/>
      </c>
      <c r="H76" s="4" t="str">
        <f aca="false">IF($B76="","",IF(INDEX(클레임목록!$F$2:$F$2000,MATCH($B76,클레임목록!$O$2:$O$2000,0))="","",INDEX(클레임목록!$F$2:$F$2000,MATCH($B76,클레임목록!$O$2:$O$2000,0))))</f>
        <v/>
      </c>
      <c r="I76" s="4" t="str">
        <f aca="false">IF($B76="","",IF(INDEX(클레임목록!$G$2:$G$2000,MATCH($B76,클레임목록!$O$2:$O$2000,0))="","",INDEX(클레임목록!$G$2:$G$2000,MATCH($B76,클레임목록!$O$2:$O$2000,0))))</f>
        <v/>
      </c>
      <c r="J76" s="4" t="str">
        <f aca="false">IF($B76="","",IF(INDEX(클레임목록!$H$2:$H$2000,MATCH($B76,클레임목록!$O$2:$O$2000,0))="","",INDEX(클레임목록!$H$2:$H$2000,MATCH($B76,클레임목록!$O$2:$O$2000,0))))</f>
        <v/>
      </c>
      <c r="K76" s="50" t="str">
        <f aca="false">IF($B76="","",IF(INDEX(클레임목록!$I$2:$I$2000,MATCH($B76,클레임목록!$O$2:$O$2000,0))="","",INDEX(클레임목록!$I$2:$I$2000,MATCH($B76,클레임목록!$O$2:$O$2000,0))))</f>
        <v/>
      </c>
      <c r="L76" s="49" t="str">
        <f aca="false">IF($B76="","",IF(INDEX(클레임목록!$J$2:$J$2000,MATCH($B76,클레임목록!$O$2:$O$2000,0))="","",INDEX(클레임목록!$J$2:$J$2000,MATCH($B76,클레임목록!$O$2:$O$2000,0))))</f>
        <v/>
      </c>
    </row>
    <row r="77" customFormat="false" ht="15" hidden="false" customHeight="false" outlineLevel="0" collapsed="false">
      <c r="B77" s="48" t="str">
        <f aca="false">IF(64&lt;=$C$11,64,"")</f>
        <v/>
      </c>
      <c r="C77" s="49" t="str">
        <f aca="false">IF($B77="","",IF(INDEX(클레임목록!$A$2:$A$2000,MATCH($B77,클레임목록!$O$2:$O$2000,0))="","",INDEX(클레임목록!$A$2:$A$2000,MATCH($B77,클레임목록!$O$2:$O$2000,0))))</f>
        <v/>
      </c>
      <c r="D77" s="50" t="str">
        <f aca="false">IF($B77="","",IF(INDEX(클레임목록!$B$2:$B$2000,MATCH($B77,클레임목록!$O$2:$O$2000,0))="","",INDEX(클레임목록!$B$2:$B$2000,MATCH($B77,클레임목록!$O$2:$O$2000,0))))</f>
        <v/>
      </c>
      <c r="E77" s="4" t="str">
        <f aca="false">IF($B77="","",IF(INDEX(클레임목록!$C$2:$C$2000,MATCH($B77,클레임목록!$O$2:$O$2000,0))="","",INDEX(클레임목록!$C$2:$C$2000,MATCH($B77,클레임목록!$O$2:$O$2000,0))))</f>
        <v/>
      </c>
      <c r="F77" s="49" t="str">
        <f aca="false">IF($B77="","",IF(INDEX(클레임목록!$D$2:$D$2000,MATCH($B77,클레임목록!$O$2:$O$2000,0))="","",INDEX(클레임목록!$D$2:$D$2000,MATCH($B77,클레임목록!$O$2:$O$2000,0))))</f>
        <v/>
      </c>
      <c r="G77" s="49" t="str">
        <f aca="false">IF($B77="","",IF(INDEX(클레임목록!$E$2:$E$2000,MATCH($B77,클레임목록!$O$2:$O$2000,0))="","",INDEX(클레임목록!$E$2:$E$2000,MATCH($B77,클레임목록!$O$2:$O$2000,0))))</f>
        <v/>
      </c>
      <c r="H77" s="4" t="str">
        <f aca="false">IF($B77="","",IF(INDEX(클레임목록!$F$2:$F$2000,MATCH($B77,클레임목록!$O$2:$O$2000,0))="","",INDEX(클레임목록!$F$2:$F$2000,MATCH($B77,클레임목록!$O$2:$O$2000,0))))</f>
        <v/>
      </c>
      <c r="I77" s="4" t="str">
        <f aca="false">IF($B77="","",IF(INDEX(클레임목록!$G$2:$G$2000,MATCH($B77,클레임목록!$O$2:$O$2000,0))="","",INDEX(클레임목록!$G$2:$G$2000,MATCH($B77,클레임목록!$O$2:$O$2000,0))))</f>
        <v/>
      </c>
      <c r="J77" s="4" t="str">
        <f aca="false">IF($B77="","",IF(INDEX(클레임목록!$H$2:$H$2000,MATCH($B77,클레임목록!$O$2:$O$2000,0))="","",INDEX(클레임목록!$H$2:$H$2000,MATCH($B77,클레임목록!$O$2:$O$2000,0))))</f>
        <v/>
      </c>
      <c r="K77" s="50" t="str">
        <f aca="false">IF($B77="","",IF(INDEX(클레임목록!$I$2:$I$2000,MATCH($B77,클레임목록!$O$2:$O$2000,0))="","",INDEX(클레임목록!$I$2:$I$2000,MATCH($B77,클레임목록!$O$2:$O$2000,0))))</f>
        <v/>
      </c>
      <c r="L77" s="49" t="str">
        <f aca="false">IF($B77="","",IF(INDEX(클레임목록!$J$2:$J$2000,MATCH($B77,클레임목록!$O$2:$O$2000,0))="","",INDEX(클레임목록!$J$2:$J$2000,MATCH($B77,클레임목록!$O$2:$O$2000,0))))</f>
        <v/>
      </c>
    </row>
    <row r="78" customFormat="false" ht="15" hidden="false" customHeight="false" outlineLevel="0" collapsed="false">
      <c r="B78" s="48" t="str">
        <f aca="false">IF(65&lt;=$C$11,65,"")</f>
        <v/>
      </c>
      <c r="C78" s="49" t="str">
        <f aca="false">IF($B78="","",IF(INDEX(클레임목록!$A$2:$A$2000,MATCH($B78,클레임목록!$O$2:$O$2000,0))="","",INDEX(클레임목록!$A$2:$A$2000,MATCH($B78,클레임목록!$O$2:$O$2000,0))))</f>
        <v/>
      </c>
      <c r="D78" s="50" t="str">
        <f aca="false">IF($B78="","",IF(INDEX(클레임목록!$B$2:$B$2000,MATCH($B78,클레임목록!$O$2:$O$2000,0))="","",INDEX(클레임목록!$B$2:$B$2000,MATCH($B78,클레임목록!$O$2:$O$2000,0))))</f>
        <v/>
      </c>
      <c r="E78" s="4" t="str">
        <f aca="false">IF($B78="","",IF(INDEX(클레임목록!$C$2:$C$2000,MATCH($B78,클레임목록!$O$2:$O$2000,0))="","",INDEX(클레임목록!$C$2:$C$2000,MATCH($B78,클레임목록!$O$2:$O$2000,0))))</f>
        <v/>
      </c>
      <c r="F78" s="49" t="str">
        <f aca="false">IF($B78="","",IF(INDEX(클레임목록!$D$2:$D$2000,MATCH($B78,클레임목록!$O$2:$O$2000,0))="","",INDEX(클레임목록!$D$2:$D$2000,MATCH($B78,클레임목록!$O$2:$O$2000,0))))</f>
        <v/>
      </c>
      <c r="G78" s="49" t="str">
        <f aca="false">IF($B78="","",IF(INDEX(클레임목록!$E$2:$E$2000,MATCH($B78,클레임목록!$O$2:$O$2000,0))="","",INDEX(클레임목록!$E$2:$E$2000,MATCH($B78,클레임목록!$O$2:$O$2000,0))))</f>
        <v/>
      </c>
      <c r="H78" s="4" t="str">
        <f aca="false">IF($B78="","",IF(INDEX(클레임목록!$F$2:$F$2000,MATCH($B78,클레임목록!$O$2:$O$2000,0))="","",INDEX(클레임목록!$F$2:$F$2000,MATCH($B78,클레임목록!$O$2:$O$2000,0))))</f>
        <v/>
      </c>
      <c r="I78" s="4" t="str">
        <f aca="false">IF($B78="","",IF(INDEX(클레임목록!$G$2:$G$2000,MATCH($B78,클레임목록!$O$2:$O$2000,0))="","",INDEX(클레임목록!$G$2:$G$2000,MATCH($B78,클레임목록!$O$2:$O$2000,0))))</f>
        <v/>
      </c>
      <c r="J78" s="4" t="str">
        <f aca="false">IF($B78="","",IF(INDEX(클레임목록!$H$2:$H$2000,MATCH($B78,클레임목록!$O$2:$O$2000,0))="","",INDEX(클레임목록!$H$2:$H$2000,MATCH($B78,클레임목록!$O$2:$O$2000,0))))</f>
        <v/>
      </c>
      <c r="K78" s="50" t="str">
        <f aca="false">IF($B78="","",IF(INDEX(클레임목록!$I$2:$I$2000,MATCH($B78,클레임목록!$O$2:$O$2000,0))="","",INDEX(클레임목록!$I$2:$I$2000,MATCH($B78,클레임목록!$O$2:$O$2000,0))))</f>
        <v/>
      </c>
      <c r="L78" s="49" t="str">
        <f aca="false">IF($B78="","",IF(INDEX(클레임목록!$J$2:$J$2000,MATCH($B78,클레임목록!$O$2:$O$2000,0))="","",INDEX(클레임목록!$J$2:$J$2000,MATCH($B78,클레임목록!$O$2:$O$2000,0))))</f>
        <v/>
      </c>
    </row>
    <row r="79" customFormat="false" ht="15" hidden="false" customHeight="false" outlineLevel="0" collapsed="false">
      <c r="B79" s="48" t="str">
        <f aca="false">IF(66&lt;=$C$11,66,"")</f>
        <v/>
      </c>
      <c r="C79" s="49" t="str">
        <f aca="false">IF($B79="","",IF(INDEX(클레임목록!$A$2:$A$2000,MATCH($B79,클레임목록!$O$2:$O$2000,0))="","",INDEX(클레임목록!$A$2:$A$2000,MATCH($B79,클레임목록!$O$2:$O$2000,0))))</f>
        <v/>
      </c>
      <c r="D79" s="50" t="str">
        <f aca="false">IF($B79="","",IF(INDEX(클레임목록!$B$2:$B$2000,MATCH($B79,클레임목록!$O$2:$O$2000,0))="","",INDEX(클레임목록!$B$2:$B$2000,MATCH($B79,클레임목록!$O$2:$O$2000,0))))</f>
        <v/>
      </c>
      <c r="E79" s="4" t="str">
        <f aca="false">IF($B79="","",IF(INDEX(클레임목록!$C$2:$C$2000,MATCH($B79,클레임목록!$O$2:$O$2000,0))="","",INDEX(클레임목록!$C$2:$C$2000,MATCH($B79,클레임목록!$O$2:$O$2000,0))))</f>
        <v/>
      </c>
      <c r="F79" s="49" t="str">
        <f aca="false">IF($B79="","",IF(INDEX(클레임목록!$D$2:$D$2000,MATCH($B79,클레임목록!$O$2:$O$2000,0))="","",INDEX(클레임목록!$D$2:$D$2000,MATCH($B79,클레임목록!$O$2:$O$2000,0))))</f>
        <v/>
      </c>
      <c r="G79" s="49" t="str">
        <f aca="false">IF($B79="","",IF(INDEX(클레임목록!$E$2:$E$2000,MATCH($B79,클레임목록!$O$2:$O$2000,0))="","",INDEX(클레임목록!$E$2:$E$2000,MATCH($B79,클레임목록!$O$2:$O$2000,0))))</f>
        <v/>
      </c>
      <c r="H79" s="4" t="str">
        <f aca="false">IF($B79="","",IF(INDEX(클레임목록!$F$2:$F$2000,MATCH($B79,클레임목록!$O$2:$O$2000,0))="","",INDEX(클레임목록!$F$2:$F$2000,MATCH($B79,클레임목록!$O$2:$O$2000,0))))</f>
        <v/>
      </c>
      <c r="I79" s="4" t="str">
        <f aca="false">IF($B79="","",IF(INDEX(클레임목록!$G$2:$G$2000,MATCH($B79,클레임목록!$O$2:$O$2000,0))="","",INDEX(클레임목록!$G$2:$G$2000,MATCH($B79,클레임목록!$O$2:$O$2000,0))))</f>
        <v/>
      </c>
      <c r="J79" s="4" t="str">
        <f aca="false">IF($B79="","",IF(INDEX(클레임목록!$H$2:$H$2000,MATCH($B79,클레임목록!$O$2:$O$2000,0))="","",INDEX(클레임목록!$H$2:$H$2000,MATCH($B79,클레임목록!$O$2:$O$2000,0))))</f>
        <v/>
      </c>
      <c r="K79" s="50" t="str">
        <f aca="false">IF($B79="","",IF(INDEX(클레임목록!$I$2:$I$2000,MATCH($B79,클레임목록!$O$2:$O$2000,0))="","",INDEX(클레임목록!$I$2:$I$2000,MATCH($B79,클레임목록!$O$2:$O$2000,0))))</f>
        <v/>
      </c>
      <c r="L79" s="49" t="str">
        <f aca="false">IF($B79="","",IF(INDEX(클레임목록!$J$2:$J$2000,MATCH($B79,클레임목록!$O$2:$O$2000,0))="","",INDEX(클레임목록!$J$2:$J$2000,MATCH($B79,클레임목록!$O$2:$O$2000,0))))</f>
        <v/>
      </c>
    </row>
    <row r="80" customFormat="false" ht="15" hidden="false" customHeight="false" outlineLevel="0" collapsed="false">
      <c r="B80" s="48" t="str">
        <f aca="false">IF(67&lt;=$C$11,67,"")</f>
        <v/>
      </c>
      <c r="C80" s="49" t="str">
        <f aca="false">IF($B80="","",IF(INDEX(클레임목록!$A$2:$A$2000,MATCH($B80,클레임목록!$O$2:$O$2000,0))="","",INDEX(클레임목록!$A$2:$A$2000,MATCH($B80,클레임목록!$O$2:$O$2000,0))))</f>
        <v/>
      </c>
      <c r="D80" s="50" t="str">
        <f aca="false">IF($B80="","",IF(INDEX(클레임목록!$B$2:$B$2000,MATCH($B80,클레임목록!$O$2:$O$2000,0))="","",INDEX(클레임목록!$B$2:$B$2000,MATCH($B80,클레임목록!$O$2:$O$2000,0))))</f>
        <v/>
      </c>
      <c r="E80" s="4" t="str">
        <f aca="false">IF($B80="","",IF(INDEX(클레임목록!$C$2:$C$2000,MATCH($B80,클레임목록!$O$2:$O$2000,0))="","",INDEX(클레임목록!$C$2:$C$2000,MATCH($B80,클레임목록!$O$2:$O$2000,0))))</f>
        <v/>
      </c>
      <c r="F80" s="49" t="str">
        <f aca="false">IF($B80="","",IF(INDEX(클레임목록!$D$2:$D$2000,MATCH($B80,클레임목록!$O$2:$O$2000,0))="","",INDEX(클레임목록!$D$2:$D$2000,MATCH($B80,클레임목록!$O$2:$O$2000,0))))</f>
        <v/>
      </c>
      <c r="G80" s="49" t="str">
        <f aca="false">IF($B80="","",IF(INDEX(클레임목록!$E$2:$E$2000,MATCH($B80,클레임목록!$O$2:$O$2000,0))="","",INDEX(클레임목록!$E$2:$E$2000,MATCH($B80,클레임목록!$O$2:$O$2000,0))))</f>
        <v/>
      </c>
      <c r="H80" s="4" t="str">
        <f aca="false">IF($B80="","",IF(INDEX(클레임목록!$F$2:$F$2000,MATCH($B80,클레임목록!$O$2:$O$2000,0))="","",INDEX(클레임목록!$F$2:$F$2000,MATCH($B80,클레임목록!$O$2:$O$2000,0))))</f>
        <v/>
      </c>
      <c r="I80" s="4" t="str">
        <f aca="false">IF($B80="","",IF(INDEX(클레임목록!$G$2:$G$2000,MATCH($B80,클레임목록!$O$2:$O$2000,0))="","",INDEX(클레임목록!$G$2:$G$2000,MATCH($B80,클레임목록!$O$2:$O$2000,0))))</f>
        <v/>
      </c>
      <c r="J80" s="4" t="str">
        <f aca="false">IF($B80="","",IF(INDEX(클레임목록!$H$2:$H$2000,MATCH($B80,클레임목록!$O$2:$O$2000,0))="","",INDEX(클레임목록!$H$2:$H$2000,MATCH($B80,클레임목록!$O$2:$O$2000,0))))</f>
        <v/>
      </c>
      <c r="K80" s="50" t="str">
        <f aca="false">IF($B80="","",IF(INDEX(클레임목록!$I$2:$I$2000,MATCH($B80,클레임목록!$O$2:$O$2000,0))="","",INDEX(클레임목록!$I$2:$I$2000,MATCH($B80,클레임목록!$O$2:$O$2000,0))))</f>
        <v/>
      </c>
      <c r="L80" s="49" t="str">
        <f aca="false">IF($B80="","",IF(INDEX(클레임목록!$J$2:$J$2000,MATCH($B80,클레임목록!$O$2:$O$2000,0))="","",INDEX(클레임목록!$J$2:$J$2000,MATCH($B80,클레임목록!$O$2:$O$2000,0))))</f>
        <v/>
      </c>
    </row>
    <row r="81" customFormat="false" ht="15" hidden="false" customHeight="false" outlineLevel="0" collapsed="false">
      <c r="B81" s="48" t="str">
        <f aca="false">IF(68&lt;=$C$11,68,"")</f>
        <v/>
      </c>
      <c r="C81" s="49" t="str">
        <f aca="false">IF($B81="","",IF(INDEX(클레임목록!$A$2:$A$2000,MATCH($B81,클레임목록!$O$2:$O$2000,0))="","",INDEX(클레임목록!$A$2:$A$2000,MATCH($B81,클레임목록!$O$2:$O$2000,0))))</f>
        <v/>
      </c>
      <c r="D81" s="50" t="str">
        <f aca="false">IF($B81="","",IF(INDEX(클레임목록!$B$2:$B$2000,MATCH($B81,클레임목록!$O$2:$O$2000,0))="","",INDEX(클레임목록!$B$2:$B$2000,MATCH($B81,클레임목록!$O$2:$O$2000,0))))</f>
        <v/>
      </c>
      <c r="E81" s="4" t="str">
        <f aca="false">IF($B81="","",IF(INDEX(클레임목록!$C$2:$C$2000,MATCH($B81,클레임목록!$O$2:$O$2000,0))="","",INDEX(클레임목록!$C$2:$C$2000,MATCH($B81,클레임목록!$O$2:$O$2000,0))))</f>
        <v/>
      </c>
      <c r="F81" s="49" t="str">
        <f aca="false">IF($B81="","",IF(INDEX(클레임목록!$D$2:$D$2000,MATCH($B81,클레임목록!$O$2:$O$2000,0))="","",INDEX(클레임목록!$D$2:$D$2000,MATCH($B81,클레임목록!$O$2:$O$2000,0))))</f>
        <v/>
      </c>
      <c r="G81" s="49" t="str">
        <f aca="false">IF($B81="","",IF(INDEX(클레임목록!$E$2:$E$2000,MATCH($B81,클레임목록!$O$2:$O$2000,0))="","",INDEX(클레임목록!$E$2:$E$2000,MATCH($B81,클레임목록!$O$2:$O$2000,0))))</f>
        <v/>
      </c>
      <c r="H81" s="4" t="str">
        <f aca="false">IF($B81="","",IF(INDEX(클레임목록!$F$2:$F$2000,MATCH($B81,클레임목록!$O$2:$O$2000,0))="","",INDEX(클레임목록!$F$2:$F$2000,MATCH($B81,클레임목록!$O$2:$O$2000,0))))</f>
        <v/>
      </c>
      <c r="I81" s="4" t="str">
        <f aca="false">IF($B81="","",IF(INDEX(클레임목록!$G$2:$G$2000,MATCH($B81,클레임목록!$O$2:$O$2000,0))="","",INDEX(클레임목록!$G$2:$G$2000,MATCH($B81,클레임목록!$O$2:$O$2000,0))))</f>
        <v/>
      </c>
      <c r="J81" s="4" t="str">
        <f aca="false">IF($B81="","",IF(INDEX(클레임목록!$H$2:$H$2000,MATCH($B81,클레임목록!$O$2:$O$2000,0))="","",INDEX(클레임목록!$H$2:$H$2000,MATCH($B81,클레임목록!$O$2:$O$2000,0))))</f>
        <v/>
      </c>
      <c r="K81" s="50" t="str">
        <f aca="false">IF($B81="","",IF(INDEX(클레임목록!$I$2:$I$2000,MATCH($B81,클레임목록!$O$2:$O$2000,0))="","",INDEX(클레임목록!$I$2:$I$2000,MATCH($B81,클레임목록!$O$2:$O$2000,0))))</f>
        <v/>
      </c>
      <c r="L81" s="49" t="str">
        <f aca="false">IF($B81="","",IF(INDEX(클레임목록!$J$2:$J$2000,MATCH($B81,클레임목록!$O$2:$O$2000,0))="","",INDEX(클레임목록!$J$2:$J$2000,MATCH($B81,클레임목록!$O$2:$O$2000,0))))</f>
        <v/>
      </c>
    </row>
    <row r="82" customFormat="false" ht="15" hidden="false" customHeight="false" outlineLevel="0" collapsed="false">
      <c r="B82" s="48" t="str">
        <f aca="false">IF(69&lt;=$C$11,69,"")</f>
        <v/>
      </c>
      <c r="C82" s="49" t="str">
        <f aca="false">IF($B82="","",IF(INDEX(클레임목록!$A$2:$A$2000,MATCH($B82,클레임목록!$O$2:$O$2000,0))="","",INDEX(클레임목록!$A$2:$A$2000,MATCH($B82,클레임목록!$O$2:$O$2000,0))))</f>
        <v/>
      </c>
      <c r="D82" s="50" t="str">
        <f aca="false">IF($B82="","",IF(INDEX(클레임목록!$B$2:$B$2000,MATCH($B82,클레임목록!$O$2:$O$2000,0))="","",INDEX(클레임목록!$B$2:$B$2000,MATCH($B82,클레임목록!$O$2:$O$2000,0))))</f>
        <v/>
      </c>
      <c r="E82" s="4" t="str">
        <f aca="false">IF($B82="","",IF(INDEX(클레임목록!$C$2:$C$2000,MATCH($B82,클레임목록!$O$2:$O$2000,0))="","",INDEX(클레임목록!$C$2:$C$2000,MATCH($B82,클레임목록!$O$2:$O$2000,0))))</f>
        <v/>
      </c>
      <c r="F82" s="49" t="str">
        <f aca="false">IF($B82="","",IF(INDEX(클레임목록!$D$2:$D$2000,MATCH($B82,클레임목록!$O$2:$O$2000,0))="","",INDEX(클레임목록!$D$2:$D$2000,MATCH($B82,클레임목록!$O$2:$O$2000,0))))</f>
        <v/>
      </c>
      <c r="G82" s="49" t="str">
        <f aca="false">IF($B82="","",IF(INDEX(클레임목록!$E$2:$E$2000,MATCH($B82,클레임목록!$O$2:$O$2000,0))="","",INDEX(클레임목록!$E$2:$E$2000,MATCH($B82,클레임목록!$O$2:$O$2000,0))))</f>
        <v/>
      </c>
      <c r="H82" s="4" t="str">
        <f aca="false">IF($B82="","",IF(INDEX(클레임목록!$F$2:$F$2000,MATCH($B82,클레임목록!$O$2:$O$2000,0))="","",INDEX(클레임목록!$F$2:$F$2000,MATCH($B82,클레임목록!$O$2:$O$2000,0))))</f>
        <v/>
      </c>
      <c r="I82" s="4" t="str">
        <f aca="false">IF($B82="","",IF(INDEX(클레임목록!$G$2:$G$2000,MATCH($B82,클레임목록!$O$2:$O$2000,0))="","",INDEX(클레임목록!$G$2:$G$2000,MATCH($B82,클레임목록!$O$2:$O$2000,0))))</f>
        <v/>
      </c>
      <c r="J82" s="4" t="str">
        <f aca="false">IF($B82="","",IF(INDEX(클레임목록!$H$2:$H$2000,MATCH($B82,클레임목록!$O$2:$O$2000,0))="","",INDEX(클레임목록!$H$2:$H$2000,MATCH($B82,클레임목록!$O$2:$O$2000,0))))</f>
        <v/>
      </c>
      <c r="K82" s="50" t="str">
        <f aca="false">IF($B82="","",IF(INDEX(클레임목록!$I$2:$I$2000,MATCH($B82,클레임목록!$O$2:$O$2000,0))="","",INDEX(클레임목록!$I$2:$I$2000,MATCH($B82,클레임목록!$O$2:$O$2000,0))))</f>
        <v/>
      </c>
      <c r="L82" s="49" t="str">
        <f aca="false">IF($B82="","",IF(INDEX(클레임목록!$J$2:$J$2000,MATCH($B82,클레임목록!$O$2:$O$2000,0))="","",INDEX(클레임목록!$J$2:$J$2000,MATCH($B82,클레임목록!$O$2:$O$2000,0))))</f>
        <v/>
      </c>
    </row>
    <row r="83" customFormat="false" ht="15" hidden="false" customHeight="false" outlineLevel="0" collapsed="false">
      <c r="B83" s="48" t="str">
        <f aca="false">IF(70&lt;=$C$11,70,"")</f>
        <v/>
      </c>
      <c r="C83" s="49" t="str">
        <f aca="false">IF($B83="","",IF(INDEX(클레임목록!$A$2:$A$2000,MATCH($B83,클레임목록!$O$2:$O$2000,0))="","",INDEX(클레임목록!$A$2:$A$2000,MATCH($B83,클레임목록!$O$2:$O$2000,0))))</f>
        <v/>
      </c>
      <c r="D83" s="50" t="str">
        <f aca="false">IF($B83="","",IF(INDEX(클레임목록!$B$2:$B$2000,MATCH($B83,클레임목록!$O$2:$O$2000,0))="","",INDEX(클레임목록!$B$2:$B$2000,MATCH($B83,클레임목록!$O$2:$O$2000,0))))</f>
        <v/>
      </c>
      <c r="E83" s="4" t="str">
        <f aca="false">IF($B83="","",IF(INDEX(클레임목록!$C$2:$C$2000,MATCH($B83,클레임목록!$O$2:$O$2000,0))="","",INDEX(클레임목록!$C$2:$C$2000,MATCH($B83,클레임목록!$O$2:$O$2000,0))))</f>
        <v/>
      </c>
      <c r="F83" s="49" t="str">
        <f aca="false">IF($B83="","",IF(INDEX(클레임목록!$D$2:$D$2000,MATCH($B83,클레임목록!$O$2:$O$2000,0))="","",INDEX(클레임목록!$D$2:$D$2000,MATCH($B83,클레임목록!$O$2:$O$2000,0))))</f>
        <v/>
      </c>
      <c r="G83" s="49" t="str">
        <f aca="false">IF($B83="","",IF(INDEX(클레임목록!$E$2:$E$2000,MATCH($B83,클레임목록!$O$2:$O$2000,0))="","",INDEX(클레임목록!$E$2:$E$2000,MATCH($B83,클레임목록!$O$2:$O$2000,0))))</f>
        <v/>
      </c>
      <c r="H83" s="4" t="str">
        <f aca="false">IF($B83="","",IF(INDEX(클레임목록!$F$2:$F$2000,MATCH($B83,클레임목록!$O$2:$O$2000,0))="","",INDEX(클레임목록!$F$2:$F$2000,MATCH($B83,클레임목록!$O$2:$O$2000,0))))</f>
        <v/>
      </c>
      <c r="I83" s="4" t="str">
        <f aca="false">IF($B83="","",IF(INDEX(클레임목록!$G$2:$G$2000,MATCH($B83,클레임목록!$O$2:$O$2000,0))="","",INDEX(클레임목록!$G$2:$G$2000,MATCH($B83,클레임목록!$O$2:$O$2000,0))))</f>
        <v/>
      </c>
      <c r="J83" s="4" t="str">
        <f aca="false">IF($B83="","",IF(INDEX(클레임목록!$H$2:$H$2000,MATCH($B83,클레임목록!$O$2:$O$2000,0))="","",INDEX(클레임목록!$H$2:$H$2000,MATCH($B83,클레임목록!$O$2:$O$2000,0))))</f>
        <v/>
      </c>
      <c r="K83" s="50" t="str">
        <f aca="false">IF($B83="","",IF(INDEX(클레임목록!$I$2:$I$2000,MATCH($B83,클레임목록!$O$2:$O$2000,0))="","",INDEX(클레임목록!$I$2:$I$2000,MATCH($B83,클레임목록!$O$2:$O$2000,0))))</f>
        <v/>
      </c>
      <c r="L83" s="49" t="str">
        <f aca="false">IF($B83="","",IF(INDEX(클레임목록!$J$2:$J$2000,MATCH($B83,클레임목록!$O$2:$O$2000,0))="","",INDEX(클레임목록!$J$2:$J$2000,MATCH($B83,클레임목록!$O$2:$O$2000,0))))</f>
        <v/>
      </c>
    </row>
    <row r="84" customFormat="false" ht="15" hidden="false" customHeight="false" outlineLevel="0" collapsed="false">
      <c r="B84" s="48" t="str">
        <f aca="false">IF(71&lt;=$C$11,71,"")</f>
        <v/>
      </c>
      <c r="C84" s="49" t="str">
        <f aca="false">IF($B84="","",IF(INDEX(클레임목록!$A$2:$A$2000,MATCH($B84,클레임목록!$O$2:$O$2000,0))="","",INDEX(클레임목록!$A$2:$A$2000,MATCH($B84,클레임목록!$O$2:$O$2000,0))))</f>
        <v/>
      </c>
      <c r="D84" s="50" t="str">
        <f aca="false">IF($B84="","",IF(INDEX(클레임목록!$B$2:$B$2000,MATCH($B84,클레임목록!$O$2:$O$2000,0))="","",INDEX(클레임목록!$B$2:$B$2000,MATCH($B84,클레임목록!$O$2:$O$2000,0))))</f>
        <v/>
      </c>
      <c r="E84" s="4" t="str">
        <f aca="false">IF($B84="","",IF(INDEX(클레임목록!$C$2:$C$2000,MATCH($B84,클레임목록!$O$2:$O$2000,0))="","",INDEX(클레임목록!$C$2:$C$2000,MATCH($B84,클레임목록!$O$2:$O$2000,0))))</f>
        <v/>
      </c>
      <c r="F84" s="49" t="str">
        <f aca="false">IF($B84="","",IF(INDEX(클레임목록!$D$2:$D$2000,MATCH($B84,클레임목록!$O$2:$O$2000,0))="","",INDEX(클레임목록!$D$2:$D$2000,MATCH($B84,클레임목록!$O$2:$O$2000,0))))</f>
        <v/>
      </c>
      <c r="G84" s="49" t="str">
        <f aca="false">IF($B84="","",IF(INDEX(클레임목록!$E$2:$E$2000,MATCH($B84,클레임목록!$O$2:$O$2000,0))="","",INDEX(클레임목록!$E$2:$E$2000,MATCH($B84,클레임목록!$O$2:$O$2000,0))))</f>
        <v/>
      </c>
      <c r="H84" s="4" t="str">
        <f aca="false">IF($B84="","",IF(INDEX(클레임목록!$F$2:$F$2000,MATCH($B84,클레임목록!$O$2:$O$2000,0))="","",INDEX(클레임목록!$F$2:$F$2000,MATCH($B84,클레임목록!$O$2:$O$2000,0))))</f>
        <v/>
      </c>
      <c r="I84" s="4" t="str">
        <f aca="false">IF($B84="","",IF(INDEX(클레임목록!$G$2:$G$2000,MATCH($B84,클레임목록!$O$2:$O$2000,0))="","",INDEX(클레임목록!$G$2:$G$2000,MATCH($B84,클레임목록!$O$2:$O$2000,0))))</f>
        <v/>
      </c>
      <c r="J84" s="4" t="str">
        <f aca="false">IF($B84="","",IF(INDEX(클레임목록!$H$2:$H$2000,MATCH($B84,클레임목록!$O$2:$O$2000,0))="","",INDEX(클레임목록!$H$2:$H$2000,MATCH($B84,클레임목록!$O$2:$O$2000,0))))</f>
        <v/>
      </c>
      <c r="K84" s="50" t="str">
        <f aca="false">IF($B84="","",IF(INDEX(클레임목록!$I$2:$I$2000,MATCH($B84,클레임목록!$O$2:$O$2000,0))="","",INDEX(클레임목록!$I$2:$I$2000,MATCH($B84,클레임목록!$O$2:$O$2000,0))))</f>
        <v/>
      </c>
      <c r="L84" s="49" t="str">
        <f aca="false">IF($B84="","",IF(INDEX(클레임목록!$J$2:$J$2000,MATCH($B84,클레임목록!$O$2:$O$2000,0))="","",INDEX(클레임목록!$J$2:$J$2000,MATCH($B84,클레임목록!$O$2:$O$2000,0))))</f>
        <v/>
      </c>
    </row>
    <row r="85" customFormat="false" ht="15" hidden="false" customHeight="false" outlineLevel="0" collapsed="false">
      <c r="B85" s="48" t="str">
        <f aca="false">IF(72&lt;=$C$11,72,"")</f>
        <v/>
      </c>
      <c r="C85" s="49" t="str">
        <f aca="false">IF($B85="","",IF(INDEX(클레임목록!$A$2:$A$2000,MATCH($B85,클레임목록!$O$2:$O$2000,0))="","",INDEX(클레임목록!$A$2:$A$2000,MATCH($B85,클레임목록!$O$2:$O$2000,0))))</f>
        <v/>
      </c>
      <c r="D85" s="50" t="str">
        <f aca="false">IF($B85="","",IF(INDEX(클레임목록!$B$2:$B$2000,MATCH($B85,클레임목록!$O$2:$O$2000,0))="","",INDEX(클레임목록!$B$2:$B$2000,MATCH($B85,클레임목록!$O$2:$O$2000,0))))</f>
        <v/>
      </c>
      <c r="E85" s="4" t="str">
        <f aca="false">IF($B85="","",IF(INDEX(클레임목록!$C$2:$C$2000,MATCH($B85,클레임목록!$O$2:$O$2000,0))="","",INDEX(클레임목록!$C$2:$C$2000,MATCH($B85,클레임목록!$O$2:$O$2000,0))))</f>
        <v/>
      </c>
      <c r="F85" s="49" t="str">
        <f aca="false">IF($B85="","",IF(INDEX(클레임목록!$D$2:$D$2000,MATCH($B85,클레임목록!$O$2:$O$2000,0))="","",INDEX(클레임목록!$D$2:$D$2000,MATCH($B85,클레임목록!$O$2:$O$2000,0))))</f>
        <v/>
      </c>
      <c r="G85" s="49" t="str">
        <f aca="false">IF($B85="","",IF(INDEX(클레임목록!$E$2:$E$2000,MATCH($B85,클레임목록!$O$2:$O$2000,0))="","",INDEX(클레임목록!$E$2:$E$2000,MATCH($B85,클레임목록!$O$2:$O$2000,0))))</f>
        <v/>
      </c>
      <c r="H85" s="4" t="str">
        <f aca="false">IF($B85="","",IF(INDEX(클레임목록!$F$2:$F$2000,MATCH($B85,클레임목록!$O$2:$O$2000,0))="","",INDEX(클레임목록!$F$2:$F$2000,MATCH($B85,클레임목록!$O$2:$O$2000,0))))</f>
        <v/>
      </c>
      <c r="I85" s="4" t="str">
        <f aca="false">IF($B85="","",IF(INDEX(클레임목록!$G$2:$G$2000,MATCH($B85,클레임목록!$O$2:$O$2000,0))="","",INDEX(클레임목록!$G$2:$G$2000,MATCH($B85,클레임목록!$O$2:$O$2000,0))))</f>
        <v/>
      </c>
      <c r="J85" s="4" t="str">
        <f aca="false">IF($B85="","",IF(INDEX(클레임목록!$H$2:$H$2000,MATCH($B85,클레임목록!$O$2:$O$2000,0))="","",INDEX(클레임목록!$H$2:$H$2000,MATCH($B85,클레임목록!$O$2:$O$2000,0))))</f>
        <v/>
      </c>
      <c r="K85" s="50" t="str">
        <f aca="false">IF($B85="","",IF(INDEX(클레임목록!$I$2:$I$2000,MATCH($B85,클레임목록!$O$2:$O$2000,0))="","",INDEX(클레임목록!$I$2:$I$2000,MATCH($B85,클레임목록!$O$2:$O$2000,0))))</f>
        <v/>
      </c>
      <c r="L85" s="49" t="str">
        <f aca="false">IF($B85="","",IF(INDEX(클레임목록!$J$2:$J$2000,MATCH($B85,클레임목록!$O$2:$O$2000,0))="","",INDEX(클레임목록!$J$2:$J$2000,MATCH($B85,클레임목록!$O$2:$O$2000,0))))</f>
        <v/>
      </c>
    </row>
    <row r="86" customFormat="false" ht="15" hidden="false" customHeight="false" outlineLevel="0" collapsed="false">
      <c r="B86" s="48" t="str">
        <f aca="false">IF(73&lt;=$C$11,73,"")</f>
        <v/>
      </c>
      <c r="C86" s="49" t="str">
        <f aca="false">IF($B86="","",IF(INDEX(클레임목록!$A$2:$A$2000,MATCH($B86,클레임목록!$O$2:$O$2000,0))="","",INDEX(클레임목록!$A$2:$A$2000,MATCH($B86,클레임목록!$O$2:$O$2000,0))))</f>
        <v/>
      </c>
      <c r="D86" s="50" t="str">
        <f aca="false">IF($B86="","",IF(INDEX(클레임목록!$B$2:$B$2000,MATCH($B86,클레임목록!$O$2:$O$2000,0))="","",INDEX(클레임목록!$B$2:$B$2000,MATCH($B86,클레임목록!$O$2:$O$2000,0))))</f>
        <v/>
      </c>
      <c r="E86" s="4" t="str">
        <f aca="false">IF($B86="","",IF(INDEX(클레임목록!$C$2:$C$2000,MATCH($B86,클레임목록!$O$2:$O$2000,0))="","",INDEX(클레임목록!$C$2:$C$2000,MATCH($B86,클레임목록!$O$2:$O$2000,0))))</f>
        <v/>
      </c>
      <c r="F86" s="49" t="str">
        <f aca="false">IF($B86="","",IF(INDEX(클레임목록!$D$2:$D$2000,MATCH($B86,클레임목록!$O$2:$O$2000,0))="","",INDEX(클레임목록!$D$2:$D$2000,MATCH($B86,클레임목록!$O$2:$O$2000,0))))</f>
        <v/>
      </c>
      <c r="G86" s="49" t="str">
        <f aca="false">IF($B86="","",IF(INDEX(클레임목록!$E$2:$E$2000,MATCH($B86,클레임목록!$O$2:$O$2000,0))="","",INDEX(클레임목록!$E$2:$E$2000,MATCH($B86,클레임목록!$O$2:$O$2000,0))))</f>
        <v/>
      </c>
      <c r="H86" s="4" t="str">
        <f aca="false">IF($B86="","",IF(INDEX(클레임목록!$F$2:$F$2000,MATCH($B86,클레임목록!$O$2:$O$2000,0))="","",INDEX(클레임목록!$F$2:$F$2000,MATCH($B86,클레임목록!$O$2:$O$2000,0))))</f>
        <v/>
      </c>
      <c r="I86" s="4" t="str">
        <f aca="false">IF($B86="","",IF(INDEX(클레임목록!$G$2:$G$2000,MATCH($B86,클레임목록!$O$2:$O$2000,0))="","",INDEX(클레임목록!$G$2:$G$2000,MATCH($B86,클레임목록!$O$2:$O$2000,0))))</f>
        <v/>
      </c>
      <c r="J86" s="4" t="str">
        <f aca="false">IF($B86="","",IF(INDEX(클레임목록!$H$2:$H$2000,MATCH($B86,클레임목록!$O$2:$O$2000,0))="","",INDEX(클레임목록!$H$2:$H$2000,MATCH($B86,클레임목록!$O$2:$O$2000,0))))</f>
        <v/>
      </c>
      <c r="K86" s="50" t="str">
        <f aca="false">IF($B86="","",IF(INDEX(클레임목록!$I$2:$I$2000,MATCH($B86,클레임목록!$O$2:$O$2000,0))="","",INDEX(클레임목록!$I$2:$I$2000,MATCH($B86,클레임목록!$O$2:$O$2000,0))))</f>
        <v/>
      </c>
      <c r="L86" s="49" t="str">
        <f aca="false">IF($B86="","",IF(INDEX(클레임목록!$J$2:$J$2000,MATCH($B86,클레임목록!$O$2:$O$2000,0))="","",INDEX(클레임목록!$J$2:$J$2000,MATCH($B86,클레임목록!$O$2:$O$2000,0))))</f>
        <v/>
      </c>
    </row>
    <row r="87" customFormat="false" ht="15" hidden="false" customHeight="false" outlineLevel="0" collapsed="false">
      <c r="B87" s="48" t="str">
        <f aca="false">IF(74&lt;=$C$11,74,"")</f>
        <v/>
      </c>
      <c r="C87" s="49" t="str">
        <f aca="false">IF($B87="","",IF(INDEX(클레임목록!$A$2:$A$2000,MATCH($B87,클레임목록!$O$2:$O$2000,0))="","",INDEX(클레임목록!$A$2:$A$2000,MATCH($B87,클레임목록!$O$2:$O$2000,0))))</f>
        <v/>
      </c>
      <c r="D87" s="50" t="str">
        <f aca="false">IF($B87="","",IF(INDEX(클레임목록!$B$2:$B$2000,MATCH($B87,클레임목록!$O$2:$O$2000,0))="","",INDEX(클레임목록!$B$2:$B$2000,MATCH($B87,클레임목록!$O$2:$O$2000,0))))</f>
        <v/>
      </c>
      <c r="E87" s="4" t="str">
        <f aca="false">IF($B87="","",IF(INDEX(클레임목록!$C$2:$C$2000,MATCH($B87,클레임목록!$O$2:$O$2000,0))="","",INDEX(클레임목록!$C$2:$C$2000,MATCH($B87,클레임목록!$O$2:$O$2000,0))))</f>
        <v/>
      </c>
      <c r="F87" s="49" t="str">
        <f aca="false">IF($B87="","",IF(INDEX(클레임목록!$D$2:$D$2000,MATCH($B87,클레임목록!$O$2:$O$2000,0))="","",INDEX(클레임목록!$D$2:$D$2000,MATCH($B87,클레임목록!$O$2:$O$2000,0))))</f>
        <v/>
      </c>
      <c r="G87" s="49" t="str">
        <f aca="false">IF($B87="","",IF(INDEX(클레임목록!$E$2:$E$2000,MATCH($B87,클레임목록!$O$2:$O$2000,0))="","",INDEX(클레임목록!$E$2:$E$2000,MATCH($B87,클레임목록!$O$2:$O$2000,0))))</f>
        <v/>
      </c>
      <c r="H87" s="4" t="str">
        <f aca="false">IF($B87="","",IF(INDEX(클레임목록!$F$2:$F$2000,MATCH($B87,클레임목록!$O$2:$O$2000,0))="","",INDEX(클레임목록!$F$2:$F$2000,MATCH($B87,클레임목록!$O$2:$O$2000,0))))</f>
        <v/>
      </c>
      <c r="I87" s="4" t="str">
        <f aca="false">IF($B87="","",IF(INDEX(클레임목록!$G$2:$G$2000,MATCH($B87,클레임목록!$O$2:$O$2000,0))="","",INDEX(클레임목록!$G$2:$G$2000,MATCH($B87,클레임목록!$O$2:$O$2000,0))))</f>
        <v/>
      </c>
      <c r="J87" s="4" t="str">
        <f aca="false">IF($B87="","",IF(INDEX(클레임목록!$H$2:$H$2000,MATCH($B87,클레임목록!$O$2:$O$2000,0))="","",INDEX(클레임목록!$H$2:$H$2000,MATCH($B87,클레임목록!$O$2:$O$2000,0))))</f>
        <v/>
      </c>
      <c r="K87" s="50" t="str">
        <f aca="false">IF($B87="","",IF(INDEX(클레임목록!$I$2:$I$2000,MATCH($B87,클레임목록!$O$2:$O$2000,0))="","",INDEX(클레임목록!$I$2:$I$2000,MATCH($B87,클레임목록!$O$2:$O$2000,0))))</f>
        <v/>
      </c>
      <c r="L87" s="49" t="str">
        <f aca="false">IF($B87="","",IF(INDEX(클레임목록!$J$2:$J$2000,MATCH($B87,클레임목록!$O$2:$O$2000,0))="","",INDEX(클레임목록!$J$2:$J$2000,MATCH($B87,클레임목록!$O$2:$O$2000,0))))</f>
        <v/>
      </c>
    </row>
    <row r="88" customFormat="false" ht="15" hidden="false" customHeight="false" outlineLevel="0" collapsed="false">
      <c r="B88" s="48" t="str">
        <f aca="false">IF(75&lt;=$C$11,75,"")</f>
        <v/>
      </c>
      <c r="C88" s="49" t="str">
        <f aca="false">IF($B88="","",IF(INDEX(클레임목록!$A$2:$A$2000,MATCH($B88,클레임목록!$O$2:$O$2000,0))="","",INDEX(클레임목록!$A$2:$A$2000,MATCH($B88,클레임목록!$O$2:$O$2000,0))))</f>
        <v/>
      </c>
      <c r="D88" s="50" t="str">
        <f aca="false">IF($B88="","",IF(INDEX(클레임목록!$B$2:$B$2000,MATCH($B88,클레임목록!$O$2:$O$2000,0))="","",INDEX(클레임목록!$B$2:$B$2000,MATCH($B88,클레임목록!$O$2:$O$2000,0))))</f>
        <v/>
      </c>
      <c r="E88" s="4" t="str">
        <f aca="false">IF($B88="","",IF(INDEX(클레임목록!$C$2:$C$2000,MATCH($B88,클레임목록!$O$2:$O$2000,0))="","",INDEX(클레임목록!$C$2:$C$2000,MATCH($B88,클레임목록!$O$2:$O$2000,0))))</f>
        <v/>
      </c>
      <c r="F88" s="49" t="str">
        <f aca="false">IF($B88="","",IF(INDEX(클레임목록!$D$2:$D$2000,MATCH($B88,클레임목록!$O$2:$O$2000,0))="","",INDEX(클레임목록!$D$2:$D$2000,MATCH($B88,클레임목록!$O$2:$O$2000,0))))</f>
        <v/>
      </c>
      <c r="G88" s="49" t="str">
        <f aca="false">IF($B88="","",IF(INDEX(클레임목록!$E$2:$E$2000,MATCH($B88,클레임목록!$O$2:$O$2000,0))="","",INDEX(클레임목록!$E$2:$E$2000,MATCH($B88,클레임목록!$O$2:$O$2000,0))))</f>
        <v/>
      </c>
      <c r="H88" s="4" t="str">
        <f aca="false">IF($B88="","",IF(INDEX(클레임목록!$F$2:$F$2000,MATCH($B88,클레임목록!$O$2:$O$2000,0))="","",INDEX(클레임목록!$F$2:$F$2000,MATCH($B88,클레임목록!$O$2:$O$2000,0))))</f>
        <v/>
      </c>
      <c r="I88" s="4" t="str">
        <f aca="false">IF($B88="","",IF(INDEX(클레임목록!$G$2:$G$2000,MATCH($B88,클레임목록!$O$2:$O$2000,0))="","",INDEX(클레임목록!$G$2:$G$2000,MATCH($B88,클레임목록!$O$2:$O$2000,0))))</f>
        <v/>
      </c>
      <c r="J88" s="4" t="str">
        <f aca="false">IF($B88="","",IF(INDEX(클레임목록!$H$2:$H$2000,MATCH($B88,클레임목록!$O$2:$O$2000,0))="","",INDEX(클레임목록!$H$2:$H$2000,MATCH($B88,클레임목록!$O$2:$O$2000,0))))</f>
        <v/>
      </c>
      <c r="K88" s="50" t="str">
        <f aca="false">IF($B88="","",IF(INDEX(클레임목록!$I$2:$I$2000,MATCH($B88,클레임목록!$O$2:$O$2000,0))="","",INDEX(클레임목록!$I$2:$I$2000,MATCH($B88,클레임목록!$O$2:$O$2000,0))))</f>
        <v/>
      </c>
      <c r="L88" s="49" t="str">
        <f aca="false">IF($B88="","",IF(INDEX(클레임목록!$J$2:$J$2000,MATCH($B88,클레임목록!$O$2:$O$2000,0))="","",INDEX(클레임목록!$J$2:$J$2000,MATCH($B88,클레임목록!$O$2:$O$2000,0))))</f>
        <v/>
      </c>
    </row>
    <row r="89" customFormat="false" ht="15" hidden="false" customHeight="false" outlineLevel="0" collapsed="false">
      <c r="B89" s="48" t="str">
        <f aca="false">IF(76&lt;=$C$11,76,"")</f>
        <v/>
      </c>
      <c r="C89" s="49" t="str">
        <f aca="false">IF($B89="","",IF(INDEX(클레임목록!$A$2:$A$2000,MATCH($B89,클레임목록!$O$2:$O$2000,0))="","",INDEX(클레임목록!$A$2:$A$2000,MATCH($B89,클레임목록!$O$2:$O$2000,0))))</f>
        <v/>
      </c>
      <c r="D89" s="50" t="str">
        <f aca="false">IF($B89="","",IF(INDEX(클레임목록!$B$2:$B$2000,MATCH($B89,클레임목록!$O$2:$O$2000,0))="","",INDEX(클레임목록!$B$2:$B$2000,MATCH($B89,클레임목록!$O$2:$O$2000,0))))</f>
        <v/>
      </c>
      <c r="E89" s="4" t="str">
        <f aca="false">IF($B89="","",IF(INDEX(클레임목록!$C$2:$C$2000,MATCH($B89,클레임목록!$O$2:$O$2000,0))="","",INDEX(클레임목록!$C$2:$C$2000,MATCH($B89,클레임목록!$O$2:$O$2000,0))))</f>
        <v/>
      </c>
      <c r="F89" s="49" t="str">
        <f aca="false">IF($B89="","",IF(INDEX(클레임목록!$D$2:$D$2000,MATCH($B89,클레임목록!$O$2:$O$2000,0))="","",INDEX(클레임목록!$D$2:$D$2000,MATCH($B89,클레임목록!$O$2:$O$2000,0))))</f>
        <v/>
      </c>
      <c r="G89" s="49" t="str">
        <f aca="false">IF($B89="","",IF(INDEX(클레임목록!$E$2:$E$2000,MATCH($B89,클레임목록!$O$2:$O$2000,0))="","",INDEX(클레임목록!$E$2:$E$2000,MATCH($B89,클레임목록!$O$2:$O$2000,0))))</f>
        <v/>
      </c>
      <c r="H89" s="4" t="str">
        <f aca="false">IF($B89="","",IF(INDEX(클레임목록!$F$2:$F$2000,MATCH($B89,클레임목록!$O$2:$O$2000,0))="","",INDEX(클레임목록!$F$2:$F$2000,MATCH($B89,클레임목록!$O$2:$O$2000,0))))</f>
        <v/>
      </c>
      <c r="I89" s="4" t="str">
        <f aca="false">IF($B89="","",IF(INDEX(클레임목록!$G$2:$G$2000,MATCH($B89,클레임목록!$O$2:$O$2000,0))="","",INDEX(클레임목록!$G$2:$G$2000,MATCH($B89,클레임목록!$O$2:$O$2000,0))))</f>
        <v/>
      </c>
      <c r="J89" s="4" t="str">
        <f aca="false">IF($B89="","",IF(INDEX(클레임목록!$H$2:$H$2000,MATCH($B89,클레임목록!$O$2:$O$2000,0))="","",INDEX(클레임목록!$H$2:$H$2000,MATCH($B89,클레임목록!$O$2:$O$2000,0))))</f>
        <v/>
      </c>
      <c r="K89" s="50" t="str">
        <f aca="false">IF($B89="","",IF(INDEX(클레임목록!$I$2:$I$2000,MATCH($B89,클레임목록!$O$2:$O$2000,0))="","",INDEX(클레임목록!$I$2:$I$2000,MATCH($B89,클레임목록!$O$2:$O$2000,0))))</f>
        <v/>
      </c>
      <c r="L89" s="49" t="str">
        <f aca="false">IF($B89="","",IF(INDEX(클레임목록!$J$2:$J$2000,MATCH($B89,클레임목록!$O$2:$O$2000,0))="","",INDEX(클레임목록!$J$2:$J$2000,MATCH($B89,클레임목록!$O$2:$O$2000,0))))</f>
        <v/>
      </c>
    </row>
    <row r="90" customFormat="false" ht="15" hidden="false" customHeight="false" outlineLevel="0" collapsed="false">
      <c r="B90" s="48" t="str">
        <f aca="false">IF(77&lt;=$C$11,77,"")</f>
        <v/>
      </c>
      <c r="C90" s="49" t="str">
        <f aca="false">IF($B90="","",IF(INDEX(클레임목록!$A$2:$A$2000,MATCH($B90,클레임목록!$O$2:$O$2000,0))="","",INDEX(클레임목록!$A$2:$A$2000,MATCH($B90,클레임목록!$O$2:$O$2000,0))))</f>
        <v/>
      </c>
      <c r="D90" s="50" t="str">
        <f aca="false">IF($B90="","",IF(INDEX(클레임목록!$B$2:$B$2000,MATCH($B90,클레임목록!$O$2:$O$2000,0))="","",INDEX(클레임목록!$B$2:$B$2000,MATCH($B90,클레임목록!$O$2:$O$2000,0))))</f>
        <v/>
      </c>
      <c r="E90" s="4" t="str">
        <f aca="false">IF($B90="","",IF(INDEX(클레임목록!$C$2:$C$2000,MATCH($B90,클레임목록!$O$2:$O$2000,0))="","",INDEX(클레임목록!$C$2:$C$2000,MATCH($B90,클레임목록!$O$2:$O$2000,0))))</f>
        <v/>
      </c>
      <c r="F90" s="49" t="str">
        <f aca="false">IF($B90="","",IF(INDEX(클레임목록!$D$2:$D$2000,MATCH($B90,클레임목록!$O$2:$O$2000,0))="","",INDEX(클레임목록!$D$2:$D$2000,MATCH($B90,클레임목록!$O$2:$O$2000,0))))</f>
        <v/>
      </c>
      <c r="G90" s="49" t="str">
        <f aca="false">IF($B90="","",IF(INDEX(클레임목록!$E$2:$E$2000,MATCH($B90,클레임목록!$O$2:$O$2000,0))="","",INDEX(클레임목록!$E$2:$E$2000,MATCH($B90,클레임목록!$O$2:$O$2000,0))))</f>
        <v/>
      </c>
      <c r="H90" s="4" t="str">
        <f aca="false">IF($B90="","",IF(INDEX(클레임목록!$F$2:$F$2000,MATCH($B90,클레임목록!$O$2:$O$2000,0))="","",INDEX(클레임목록!$F$2:$F$2000,MATCH($B90,클레임목록!$O$2:$O$2000,0))))</f>
        <v/>
      </c>
      <c r="I90" s="4" t="str">
        <f aca="false">IF($B90="","",IF(INDEX(클레임목록!$G$2:$G$2000,MATCH($B90,클레임목록!$O$2:$O$2000,0))="","",INDEX(클레임목록!$G$2:$G$2000,MATCH($B90,클레임목록!$O$2:$O$2000,0))))</f>
        <v/>
      </c>
      <c r="J90" s="4" t="str">
        <f aca="false">IF($B90="","",IF(INDEX(클레임목록!$H$2:$H$2000,MATCH($B90,클레임목록!$O$2:$O$2000,0))="","",INDEX(클레임목록!$H$2:$H$2000,MATCH($B90,클레임목록!$O$2:$O$2000,0))))</f>
        <v/>
      </c>
      <c r="K90" s="50" t="str">
        <f aca="false">IF($B90="","",IF(INDEX(클레임목록!$I$2:$I$2000,MATCH($B90,클레임목록!$O$2:$O$2000,0))="","",INDEX(클레임목록!$I$2:$I$2000,MATCH($B90,클레임목록!$O$2:$O$2000,0))))</f>
        <v/>
      </c>
      <c r="L90" s="49" t="str">
        <f aca="false">IF($B90="","",IF(INDEX(클레임목록!$J$2:$J$2000,MATCH($B90,클레임목록!$O$2:$O$2000,0))="","",INDEX(클레임목록!$J$2:$J$2000,MATCH($B90,클레임목록!$O$2:$O$2000,0))))</f>
        <v/>
      </c>
    </row>
    <row r="91" customFormat="false" ht="15" hidden="false" customHeight="false" outlineLevel="0" collapsed="false">
      <c r="B91" s="48" t="str">
        <f aca="false">IF(78&lt;=$C$11,78,"")</f>
        <v/>
      </c>
      <c r="C91" s="49" t="str">
        <f aca="false">IF($B91="","",IF(INDEX(클레임목록!$A$2:$A$2000,MATCH($B91,클레임목록!$O$2:$O$2000,0))="","",INDEX(클레임목록!$A$2:$A$2000,MATCH($B91,클레임목록!$O$2:$O$2000,0))))</f>
        <v/>
      </c>
      <c r="D91" s="50" t="str">
        <f aca="false">IF($B91="","",IF(INDEX(클레임목록!$B$2:$B$2000,MATCH($B91,클레임목록!$O$2:$O$2000,0))="","",INDEX(클레임목록!$B$2:$B$2000,MATCH($B91,클레임목록!$O$2:$O$2000,0))))</f>
        <v/>
      </c>
      <c r="E91" s="4" t="str">
        <f aca="false">IF($B91="","",IF(INDEX(클레임목록!$C$2:$C$2000,MATCH($B91,클레임목록!$O$2:$O$2000,0))="","",INDEX(클레임목록!$C$2:$C$2000,MATCH($B91,클레임목록!$O$2:$O$2000,0))))</f>
        <v/>
      </c>
      <c r="F91" s="49" t="str">
        <f aca="false">IF($B91="","",IF(INDEX(클레임목록!$D$2:$D$2000,MATCH($B91,클레임목록!$O$2:$O$2000,0))="","",INDEX(클레임목록!$D$2:$D$2000,MATCH($B91,클레임목록!$O$2:$O$2000,0))))</f>
        <v/>
      </c>
      <c r="G91" s="49" t="str">
        <f aca="false">IF($B91="","",IF(INDEX(클레임목록!$E$2:$E$2000,MATCH($B91,클레임목록!$O$2:$O$2000,0))="","",INDEX(클레임목록!$E$2:$E$2000,MATCH($B91,클레임목록!$O$2:$O$2000,0))))</f>
        <v/>
      </c>
      <c r="H91" s="4" t="str">
        <f aca="false">IF($B91="","",IF(INDEX(클레임목록!$F$2:$F$2000,MATCH($B91,클레임목록!$O$2:$O$2000,0))="","",INDEX(클레임목록!$F$2:$F$2000,MATCH($B91,클레임목록!$O$2:$O$2000,0))))</f>
        <v/>
      </c>
      <c r="I91" s="4" t="str">
        <f aca="false">IF($B91="","",IF(INDEX(클레임목록!$G$2:$G$2000,MATCH($B91,클레임목록!$O$2:$O$2000,0))="","",INDEX(클레임목록!$G$2:$G$2000,MATCH($B91,클레임목록!$O$2:$O$2000,0))))</f>
        <v/>
      </c>
      <c r="J91" s="4" t="str">
        <f aca="false">IF($B91="","",IF(INDEX(클레임목록!$H$2:$H$2000,MATCH($B91,클레임목록!$O$2:$O$2000,0))="","",INDEX(클레임목록!$H$2:$H$2000,MATCH($B91,클레임목록!$O$2:$O$2000,0))))</f>
        <v/>
      </c>
      <c r="K91" s="50" t="str">
        <f aca="false">IF($B91="","",IF(INDEX(클레임목록!$I$2:$I$2000,MATCH($B91,클레임목록!$O$2:$O$2000,0))="","",INDEX(클레임목록!$I$2:$I$2000,MATCH($B91,클레임목록!$O$2:$O$2000,0))))</f>
        <v/>
      </c>
      <c r="L91" s="49" t="str">
        <f aca="false">IF($B91="","",IF(INDEX(클레임목록!$J$2:$J$2000,MATCH($B91,클레임목록!$O$2:$O$2000,0))="","",INDEX(클레임목록!$J$2:$J$2000,MATCH($B91,클레임목록!$O$2:$O$2000,0))))</f>
        <v/>
      </c>
    </row>
    <row r="92" customFormat="false" ht="15" hidden="false" customHeight="false" outlineLevel="0" collapsed="false">
      <c r="B92" s="48" t="str">
        <f aca="false">IF(79&lt;=$C$11,79,"")</f>
        <v/>
      </c>
      <c r="C92" s="49" t="str">
        <f aca="false">IF($B92="","",IF(INDEX(클레임목록!$A$2:$A$2000,MATCH($B92,클레임목록!$O$2:$O$2000,0))="","",INDEX(클레임목록!$A$2:$A$2000,MATCH($B92,클레임목록!$O$2:$O$2000,0))))</f>
        <v/>
      </c>
      <c r="D92" s="50" t="str">
        <f aca="false">IF($B92="","",IF(INDEX(클레임목록!$B$2:$B$2000,MATCH($B92,클레임목록!$O$2:$O$2000,0))="","",INDEX(클레임목록!$B$2:$B$2000,MATCH($B92,클레임목록!$O$2:$O$2000,0))))</f>
        <v/>
      </c>
      <c r="E92" s="4" t="str">
        <f aca="false">IF($B92="","",IF(INDEX(클레임목록!$C$2:$C$2000,MATCH($B92,클레임목록!$O$2:$O$2000,0))="","",INDEX(클레임목록!$C$2:$C$2000,MATCH($B92,클레임목록!$O$2:$O$2000,0))))</f>
        <v/>
      </c>
      <c r="F92" s="49" t="str">
        <f aca="false">IF($B92="","",IF(INDEX(클레임목록!$D$2:$D$2000,MATCH($B92,클레임목록!$O$2:$O$2000,0))="","",INDEX(클레임목록!$D$2:$D$2000,MATCH($B92,클레임목록!$O$2:$O$2000,0))))</f>
        <v/>
      </c>
      <c r="G92" s="49" t="str">
        <f aca="false">IF($B92="","",IF(INDEX(클레임목록!$E$2:$E$2000,MATCH($B92,클레임목록!$O$2:$O$2000,0))="","",INDEX(클레임목록!$E$2:$E$2000,MATCH($B92,클레임목록!$O$2:$O$2000,0))))</f>
        <v/>
      </c>
      <c r="H92" s="4" t="str">
        <f aca="false">IF($B92="","",IF(INDEX(클레임목록!$F$2:$F$2000,MATCH($B92,클레임목록!$O$2:$O$2000,0))="","",INDEX(클레임목록!$F$2:$F$2000,MATCH($B92,클레임목록!$O$2:$O$2000,0))))</f>
        <v/>
      </c>
      <c r="I92" s="4" t="str">
        <f aca="false">IF($B92="","",IF(INDEX(클레임목록!$G$2:$G$2000,MATCH($B92,클레임목록!$O$2:$O$2000,0))="","",INDEX(클레임목록!$G$2:$G$2000,MATCH($B92,클레임목록!$O$2:$O$2000,0))))</f>
        <v/>
      </c>
      <c r="J92" s="4" t="str">
        <f aca="false">IF($B92="","",IF(INDEX(클레임목록!$H$2:$H$2000,MATCH($B92,클레임목록!$O$2:$O$2000,0))="","",INDEX(클레임목록!$H$2:$H$2000,MATCH($B92,클레임목록!$O$2:$O$2000,0))))</f>
        <v/>
      </c>
      <c r="K92" s="50" t="str">
        <f aca="false">IF($B92="","",IF(INDEX(클레임목록!$I$2:$I$2000,MATCH($B92,클레임목록!$O$2:$O$2000,0))="","",INDEX(클레임목록!$I$2:$I$2000,MATCH($B92,클레임목록!$O$2:$O$2000,0))))</f>
        <v/>
      </c>
      <c r="L92" s="49" t="str">
        <f aca="false">IF($B92="","",IF(INDEX(클레임목록!$J$2:$J$2000,MATCH($B92,클레임목록!$O$2:$O$2000,0))="","",INDEX(클레임목록!$J$2:$J$2000,MATCH($B92,클레임목록!$O$2:$O$2000,0))))</f>
        <v/>
      </c>
    </row>
    <row r="93" customFormat="false" ht="15" hidden="false" customHeight="false" outlineLevel="0" collapsed="false">
      <c r="B93" s="48" t="str">
        <f aca="false">IF(80&lt;=$C$11,80,"")</f>
        <v/>
      </c>
      <c r="C93" s="49" t="str">
        <f aca="false">IF($B93="","",IF(INDEX(클레임목록!$A$2:$A$2000,MATCH($B93,클레임목록!$O$2:$O$2000,0))="","",INDEX(클레임목록!$A$2:$A$2000,MATCH($B93,클레임목록!$O$2:$O$2000,0))))</f>
        <v/>
      </c>
      <c r="D93" s="50" t="str">
        <f aca="false">IF($B93="","",IF(INDEX(클레임목록!$B$2:$B$2000,MATCH($B93,클레임목록!$O$2:$O$2000,0))="","",INDEX(클레임목록!$B$2:$B$2000,MATCH($B93,클레임목록!$O$2:$O$2000,0))))</f>
        <v/>
      </c>
      <c r="E93" s="4" t="str">
        <f aca="false">IF($B93="","",IF(INDEX(클레임목록!$C$2:$C$2000,MATCH($B93,클레임목록!$O$2:$O$2000,0))="","",INDEX(클레임목록!$C$2:$C$2000,MATCH($B93,클레임목록!$O$2:$O$2000,0))))</f>
        <v/>
      </c>
      <c r="F93" s="49" t="str">
        <f aca="false">IF($B93="","",IF(INDEX(클레임목록!$D$2:$D$2000,MATCH($B93,클레임목록!$O$2:$O$2000,0))="","",INDEX(클레임목록!$D$2:$D$2000,MATCH($B93,클레임목록!$O$2:$O$2000,0))))</f>
        <v/>
      </c>
      <c r="G93" s="49" t="str">
        <f aca="false">IF($B93="","",IF(INDEX(클레임목록!$E$2:$E$2000,MATCH($B93,클레임목록!$O$2:$O$2000,0))="","",INDEX(클레임목록!$E$2:$E$2000,MATCH($B93,클레임목록!$O$2:$O$2000,0))))</f>
        <v/>
      </c>
      <c r="H93" s="4" t="str">
        <f aca="false">IF($B93="","",IF(INDEX(클레임목록!$F$2:$F$2000,MATCH($B93,클레임목록!$O$2:$O$2000,0))="","",INDEX(클레임목록!$F$2:$F$2000,MATCH($B93,클레임목록!$O$2:$O$2000,0))))</f>
        <v/>
      </c>
      <c r="I93" s="4" t="str">
        <f aca="false">IF($B93="","",IF(INDEX(클레임목록!$G$2:$G$2000,MATCH($B93,클레임목록!$O$2:$O$2000,0))="","",INDEX(클레임목록!$G$2:$G$2000,MATCH($B93,클레임목록!$O$2:$O$2000,0))))</f>
        <v/>
      </c>
      <c r="J93" s="4" t="str">
        <f aca="false">IF($B93="","",IF(INDEX(클레임목록!$H$2:$H$2000,MATCH($B93,클레임목록!$O$2:$O$2000,0))="","",INDEX(클레임목록!$H$2:$H$2000,MATCH($B93,클레임목록!$O$2:$O$2000,0))))</f>
        <v/>
      </c>
      <c r="K93" s="50" t="str">
        <f aca="false">IF($B93="","",IF(INDEX(클레임목록!$I$2:$I$2000,MATCH($B93,클레임목록!$O$2:$O$2000,0))="","",INDEX(클레임목록!$I$2:$I$2000,MATCH($B93,클레임목록!$O$2:$O$2000,0))))</f>
        <v/>
      </c>
      <c r="L93" s="49" t="str">
        <f aca="false">IF($B93="","",IF(INDEX(클레임목록!$J$2:$J$2000,MATCH($B93,클레임목록!$O$2:$O$2000,0))="","",INDEX(클레임목록!$J$2:$J$2000,MATCH($B93,클레임목록!$O$2:$O$2000,0))))</f>
        <v/>
      </c>
    </row>
    <row r="94" customFormat="false" ht="15" hidden="false" customHeight="false" outlineLevel="0" collapsed="false">
      <c r="B94" s="48" t="str">
        <f aca="false">IF(81&lt;=$C$11,81,"")</f>
        <v/>
      </c>
      <c r="C94" s="49" t="str">
        <f aca="false">IF($B94="","",IF(INDEX(클레임목록!$A$2:$A$2000,MATCH($B94,클레임목록!$O$2:$O$2000,0))="","",INDEX(클레임목록!$A$2:$A$2000,MATCH($B94,클레임목록!$O$2:$O$2000,0))))</f>
        <v/>
      </c>
      <c r="D94" s="50" t="str">
        <f aca="false">IF($B94="","",IF(INDEX(클레임목록!$B$2:$B$2000,MATCH($B94,클레임목록!$O$2:$O$2000,0))="","",INDEX(클레임목록!$B$2:$B$2000,MATCH($B94,클레임목록!$O$2:$O$2000,0))))</f>
        <v/>
      </c>
      <c r="E94" s="4" t="str">
        <f aca="false">IF($B94="","",IF(INDEX(클레임목록!$C$2:$C$2000,MATCH($B94,클레임목록!$O$2:$O$2000,0))="","",INDEX(클레임목록!$C$2:$C$2000,MATCH($B94,클레임목록!$O$2:$O$2000,0))))</f>
        <v/>
      </c>
      <c r="F94" s="49" t="str">
        <f aca="false">IF($B94="","",IF(INDEX(클레임목록!$D$2:$D$2000,MATCH($B94,클레임목록!$O$2:$O$2000,0))="","",INDEX(클레임목록!$D$2:$D$2000,MATCH($B94,클레임목록!$O$2:$O$2000,0))))</f>
        <v/>
      </c>
      <c r="G94" s="49" t="str">
        <f aca="false">IF($B94="","",IF(INDEX(클레임목록!$E$2:$E$2000,MATCH($B94,클레임목록!$O$2:$O$2000,0))="","",INDEX(클레임목록!$E$2:$E$2000,MATCH($B94,클레임목록!$O$2:$O$2000,0))))</f>
        <v/>
      </c>
      <c r="H94" s="4" t="str">
        <f aca="false">IF($B94="","",IF(INDEX(클레임목록!$F$2:$F$2000,MATCH($B94,클레임목록!$O$2:$O$2000,0))="","",INDEX(클레임목록!$F$2:$F$2000,MATCH($B94,클레임목록!$O$2:$O$2000,0))))</f>
        <v/>
      </c>
      <c r="I94" s="4" t="str">
        <f aca="false">IF($B94="","",IF(INDEX(클레임목록!$G$2:$G$2000,MATCH($B94,클레임목록!$O$2:$O$2000,0))="","",INDEX(클레임목록!$G$2:$G$2000,MATCH($B94,클레임목록!$O$2:$O$2000,0))))</f>
        <v/>
      </c>
      <c r="J94" s="4" t="str">
        <f aca="false">IF($B94="","",IF(INDEX(클레임목록!$H$2:$H$2000,MATCH($B94,클레임목록!$O$2:$O$2000,0))="","",INDEX(클레임목록!$H$2:$H$2000,MATCH($B94,클레임목록!$O$2:$O$2000,0))))</f>
        <v/>
      </c>
      <c r="K94" s="50" t="str">
        <f aca="false">IF($B94="","",IF(INDEX(클레임목록!$I$2:$I$2000,MATCH($B94,클레임목록!$O$2:$O$2000,0))="","",INDEX(클레임목록!$I$2:$I$2000,MATCH($B94,클레임목록!$O$2:$O$2000,0))))</f>
        <v/>
      </c>
      <c r="L94" s="49" t="str">
        <f aca="false">IF($B94="","",IF(INDEX(클레임목록!$J$2:$J$2000,MATCH($B94,클레임목록!$O$2:$O$2000,0))="","",INDEX(클레임목록!$J$2:$J$2000,MATCH($B94,클레임목록!$O$2:$O$2000,0))))</f>
        <v/>
      </c>
    </row>
    <row r="95" customFormat="false" ht="15" hidden="false" customHeight="false" outlineLevel="0" collapsed="false">
      <c r="B95" s="48" t="str">
        <f aca="false">IF(82&lt;=$C$11,82,"")</f>
        <v/>
      </c>
      <c r="C95" s="49" t="str">
        <f aca="false">IF($B95="","",IF(INDEX(클레임목록!$A$2:$A$2000,MATCH($B95,클레임목록!$O$2:$O$2000,0))="","",INDEX(클레임목록!$A$2:$A$2000,MATCH($B95,클레임목록!$O$2:$O$2000,0))))</f>
        <v/>
      </c>
      <c r="D95" s="50" t="str">
        <f aca="false">IF($B95="","",IF(INDEX(클레임목록!$B$2:$B$2000,MATCH($B95,클레임목록!$O$2:$O$2000,0))="","",INDEX(클레임목록!$B$2:$B$2000,MATCH($B95,클레임목록!$O$2:$O$2000,0))))</f>
        <v/>
      </c>
      <c r="E95" s="4" t="str">
        <f aca="false">IF($B95="","",IF(INDEX(클레임목록!$C$2:$C$2000,MATCH($B95,클레임목록!$O$2:$O$2000,0))="","",INDEX(클레임목록!$C$2:$C$2000,MATCH($B95,클레임목록!$O$2:$O$2000,0))))</f>
        <v/>
      </c>
      <c r="F95" s="49" t="str">
        <f aca="false">IF($B95="","",IF(INDEX(클레임목록!$D$2:$D$2000,MATCH($B95,클레임목록!$O$2:$O$2000,0))="","",INDEX(클레임목록!$D$2:$D$2000,MATCH($B95,클레임목록!$O$2:$O$2000,0))))</f>
        <v/>
      </c>
      <c r="G95" s="49" t="str">
        <f aca="false">IF($B95="","",IF(INDEX(클레임목록!$E$2:$E$2000,MATCH($B95,클레임목록!$O$2:$O$2000,0))="","",INDEX(클레임목록!$E$2:$E$2000,MATCH($B95,클레임목록!$O$2:$O$2000,0))))</f>
        <v/>
      </c>
      <c r="H95" s="4" t="str">
        <f aca="false">IF($B95="","",IF(INDEX(클레임목록!$F$2:$F$2000,MATCH($B95,클레임목록!$O$2:$O$2000,0))="","",INDEX(클레임목록!$F$2:$F$2000,MATCH($B95,클레임목록!$O$2:$O$2000,0))))</f>
        <v/>
      </c>
      <c r="I95" s="4" t="str">
        <f aca="false">IF($B95="","",IF(INDEX(클레임목록!$G$2:$G$2000,MATCH($B95,클레임목록!$O$2:$O$2000,0))="","",INDEX(클레임목록!$G$2:$G$2000,MATCH($B95,클레임목록!$O$2:$O$2000,0))))</f>
        <v/>
      </c>
      <c r="J95" s="4" t="str">
        <f aca="false">IF($B95="","",IF(INDEX(클레임목록!$H$2:$H$2000,MATCH($B95,클레임목록!$O$2:$O$2000,0))="","",INDEX(클레임목록!$H$2:$H$2000,MATCH($B95,클레임목록!$O$2:$O$2000,0))))</f>
        <v/>
      </c>
      <c r="K95" s="50" t="str">
        <f aca="false">IF($B95="","",IF(INDEX(클레임목록!$I$2:$I$2000,MATCH($B95,클레임목록!$O$2:$O$2000,0))="","",INDEX(클레임목록!$I$2:$I$2000,MATCH($B95,클레임목록!$O$2:$O$2000,0))))</f>
        <v/>
      </c>
      <c r="L95" s="49" t="str">
        <f aca="false">IF($B95="","",IF(INDEX(클레임목록!$J$2:$J$2000,MATCH($B95,클레임목록!$O$2:$O$2000,0))="","",INDEX(클레임목록!$J$2:$J$2000,MATCH($B95,클레임목록!$O$2:$O$2000,0))))</f>
        <v/>
      </c>
    </row>
    <row r="96" customFormat="false" ht="15" hidden="false" customHeight="false" outlineLevel="0" collapsed="false">
      <c r="B96" s="48" t="str">
        <f aca="false">IF(83&lt;=$C$11,83,"")</f>
        <v/>
      </c>
      <c r="C96" s="49" t="str">
        <f aca="false">IF($B96="","",IF(INDEX(클레임목록!$A$2:$A$2000,MATCH($B96,클레임목록!$O$2:$O$2000,0))="","",INDEX(클레임목록!$A$2:$A$2000,MATCH($B96,클레임목록!$O$2:$O$2000,0))))</f>
        <v/>
      </c>
      <c r="D96" s="50" t="str">
        <f aca="false">IF($B96="","",IF(INDEX(클레임목록!$B$2:$B$2000,MATCH($B96,클레임목록!$O$2:$O$2000,0))="","",INDEX(클레임목록!$B$2:$B$2000,MATCH($B96,클레임목록!$O$2:$O$2000,0))))</f>
        <v/>
      </c>
      <c r="E96" s="4" t="str">
        <f aca="false">IF($B96="","",IF(INDEX(클레임목록!$C$2:$C$2000,MATCH($B96,클레임목록!$O$2:$O$2000,0))="","",INDEX(클레임목록!$C$2:$C$2000,MATCH($B96,클레임목록!$O$2:$O$2000,0))))</f>
        <v/>
      </c>
      <c r="F96" s="49" t="str">
        <f aca="false">IF($B96="","",IF(INDEX(클레임목록!$D$2:$D$2000,MATCH($B96,클레임목록!$O$2:$O$2000,0))="","",INDEX(클레임목록!$D$2:$D$2000,MATCH($B96,클레임목록!$O$2:$O$2000,0))))</f>
        <v/>
      </c>
      <c r="G96" s="49" t="str">
        <f aca="false">IF($B96="","",IF(INDEX(클레임목록!$E$2:$E$2000,MATCH($B96,클레임목록!$O$2:$O$2000,0))="","",INDEX(클레임목록!$E$2:$E$2000,MATCH($B96,클레임목록!$O$2:$O$2000,0))))</f>
        <v/>
      </c>
      <c r="H96" s="4" t="str">
        <f aca="false">IF($B96="","",IF(INDEX(클레임목록!$F$2:$F$2000,MATCH($B96,클레임목록!$O$2:$O$2000,0))="","",INDEX(클레임목록!$F$2:$F$2000,MATCH($B96,클레임목록!$O$2:$O$2000,0))))</f>
        <v/>
      </c>
      <c r="I96" s="4" t="str">
        <f aca="false">IF($B96="","",IF(INDEX(클레임목록!$G$2:$G$2000,MATCH($B96,클레임목록!$O$2:$O$2000,0))="","",INDEX(클레임목록!$G$2:$G$2000,MATCH($B96,클레임목록!$O$2:$O$2000,0))))</f>
        <v/>
      </c>
      <c r="J96" s="4" t="str">
        <f aca="false">IF($B96="","",IF(INDEX(클레임목록!$H$2:$H$2000,MATCH($B96,클레임목록!$O$2:$O$2000,0))="","",INDEX(클레임목록!$H$2:$H$2000,MATCH($B96,클레임목록!$O$2:$O$2000,0))))</f>
        <v/>
      </c>
      <c r="K96" s="50" t="str">
        <f aca="false">IF($B96="","",IF(INDEX(클레임목록!$I$2:$I$2000,MATCH($B96,클레임목록!$O$2:$O$2000,0))="","",INDEX(클레임목록!$I$2:$I$2000,MATCH($B96,클레임목록!$O$2:$O$2000,0))))</f>
        <v/>
      </c>
      <c r="L96" s="49" t="str">
        <f aca="false">IF($B96="","",IF(INDEX(클레임목록!$J$2:$J$2000,MATCH($B96,클레임목록!$O$2:$O$2000,0))="","",INDEX(클레임목록!$J$2:$J$2000,MATCH($B96,클레임목록!$O$2:$O$2000,0))))</f>
        <v/>
      </c>
    </row>
    <row r="97" customFormat="false" ht="15" hidden="false" customHeight="false" outlineLevel="0" collapsed="false">
      <c r="B97" s="48" t="str">
        <f aca="false">IF(84&lt;=$C$11,84,"")</f>
        <v/>
      </c>
      <c r="C97" s="49" t="str">
        <f aca="false">IF($B97="","",IF(INDEX(클레임목록!$A$2:$A$2000,MATCH($B97,클레임목록!$O$2:$O$2000,0))="","",INDEX(클레임목록!$A$2:$A$2000,MATCH($B97,클레임목록!$O$2:$O$2000,0))))</f>
        <v/>
      </c>
      <c r="D97" s="50" t="str">
        <f aca="false">IF($B97="","",IF(INDEX(클레임목록!$B$2:$B$2000,MATCH($B97,클레임목록!$O$2:$O$2000,0))="","",INDEX(클레임목록!$B$2:$B$2000,MATCH($B97,클레임목록!$O$2:$O$2000,0))))</f>
        <v/>
      </c>
      <c r="E97" s="4" t="str">
        <f aca="false">IF($B97="","",IF(INDEX(클레임목록!$C$2:$C$2000,MATCH($B97,클레임목록!$O$2:$O$2000,0))="","",INDEX(클레임목록!$C$2:$C$2000,MATCH($B97,클레임목록!$O$2:$O$2000,0))))</f>
        <v/>
      </c>
      <c r="F97" s="49" t="str">
        <f aca="false">IF($B97="","",IF(INDEX(클레임목록!$D$2:$D$2000,MATCH($B97,클레임목록!$O$2:$O$2000,0))="","",INDEX(클레임목록!$D$2:$D$2000,MATCH($B97,클레임목록!$O$2:$O$2000,0))))</f>
        <v/>
      </c>
      <c r="G97" s="49" t="str">
        <f aca="false">IF($B97="","",IF(INDEX(클레임목록!$E$2:$E$2000,MATCH($B97,클레임목록!$O$2:$O$2000,0))="","",INDEX(클레임목록!$E$2:$E$2000,MATCH($B97,클레임목록!$O$2:$O$2000,0))))</f>
        <v/>
      </c>
      <c r="H97" s="4" t="str">
        <f aca="false">IF($B97="","",IF(INDEX(클레임목록!$F$2:$F$2000,MATCH($B97,클레임목록!$O$2:$O$2000,0))="","",INDEX(클레임목록!$F$2:$F$2000,MATCH($B97,클레임목록!$O$2:$O$2000,0))))</f>
        <v/>
      </c>
      <c r="I97" s="4" t="str">
        <f aca="false">IF($B97="","",IF(INDEX(클레임목록!$G$2:$G$2000,MATCH($B97,클레임목록!$O$2:$O$2000,0))="","",INDEX(클레임목록!$G$2:$G$2000,MATCH($B97,클레임목록!$O$2:$O$2000,0))))</f>
        <v/>
      </c>
      <c r="J97" s="4" t="str">
        <f aca="false">IF($B97="","",IF(INDEX(클레임목록!$H$2:$H$2000,MATCH($B97,클레임목록!$O$2:$O$2000,0))="","",INDEX(클레임목록!$H$2:$H$2000,MATCH($B97,클레임목록!$O$2:$O$2000,0))))</f>
        <v/>
      </c>
      <c r="K97" s="50" t="str">
        <f aca="false">IF($B97="","",IF(INDEX(클레임목록!$I$2:$I$2000,MATCH($B97,클레임목록!$O$2:$O$2000,0))="","",INDEX(클레임목록!$I$2:$I$2000,MATCH($B97,클레임목록!$O$2:$O$2000,0))))</f>
        <v/>
      </c>
      <c r="L97" s="49" t="str">
        <f aca="false">IF($B97="","",IF(INDEX(클레임목록!$J$2:$J$2000,MATCH($B97,클레임목록!$O$2:$O$2000,0))="","",INDEX(클레임목록!$J$2:$J$2000,MATCH($B97,클레임목록!$O$2:$O$2000,0))))</f>
        <v/>
      </c>
    </row>
    <row r="98" customFormat="false" ht="15" hidden="false" customHeight="false" outlineLevel="0" collapsed="false">
      <c r="B98" s="48" t="str">
        <f aca="false">IF(85&lt;=$C$11,85,"")</f>
        <v/>
      </c>
      <c r="C98" s="49" t="str">
        <f aca="false">IF($B98="","",IF(INDEX(클레임목록!$A$2:$A$2000,MATCH($B98,클레임목록!$O$2:$O$2000,0))="","",INDEX(클레임목록!$A$2:$A$2000,MATCH($B98,클레임목록!$O$2:$O$2000,0))))</f>
        <v/>
      </c>
      <c r="D98" s="50" t="str">
        <f aca="false">IF($B98="","",IF(INDEX(클레임목록!$B$2:$B$2000,MATCH($B98,클레임목록!$O$2:$O$2000,0))="","",INDEX(클레임목록!$B$2:$B$2000,MATCH($B98,클레임목록!$O$2:$O$2000,0))))</f>
        <v/>
      </c>
      <c r="E98" s="4" t="str">
        <f aca="false">IF($B98="","",IF(INDEX(클레임목록!$C$2:$C$2000,MATCH($B98,클레임목록!$O$2:$O$2000,0))="","",INDEX(클레임목록!$C$2:$C$2000,MATCH($B98,클레임목록!$O$2:$O$2000,0))))</f>
        <v/>
      </c>
      <c r="F98" s="49" t="str">
        <f aca="false">IF($B98="","",IF(INDEX(클레임목록!$D$2:$D$2000,MATCH($B98,클레임목록!$O$2:$O$2000,0))="","",INDEX(클레임목록!$D$2:$D$2000,MATCH($B98,클레임목록!$O$2:$O$2000,0))))</f>
        <v/>
      </c>
      <c r="G98" s="49" t="str">
        <f aca="false">IF($B98="","",IF(INDEX(클레임목록!$E$2:$E$2000,MATCH($B98,클레임목록!$O$2:$O$2000,0))="","",INDEX(클레임목록!$E$2:$E$2000,MATCH($B98,클레임목록!$O$2:$O$2000,0))))</f>
        <v/>
      </c>
      <c r="H98" s="4" t="str">
        <f aca="false">IF($B98="","",IF(INDEX(클레임목록!$F$2:$F$2000,MATCH($B98,클레임목록!$O$2:$O$2000,0))="","",INDEX(클레임목록!$F$2:$F$2000,MATCH($B98,클레임목록!$O$2:$O$2000,0))))</f>
        <v/>
      </c>
      <c r="I98" s="4" t="str">
        <f aca="false">IF($B98="","",IF(INDEX(클레임목록!$G$2:$G$2000,MATCH($B98,클레임목록!$O$2:$O$2000,0))="","",INDEX(클레임목록!$G$2:$G$2000,MATCH($B98,클레임목록!$O$2:$O$2000,0))))</f>
        <v/>
      </c>
      <c r="J98" s="4" t="str">
        <f aca="false">IF($B98="","",IF(INDEX(클레임목록!$H$2:$H$2000,MATCH($B98,클레임목록!$O$2:$O$2000,0))="","",INDEX(클레임목록!$H$2:$H$2000,MATCH($B98,클레임목록!$O$2:$O$2000,0))))</f>
        <v/>
      </c>
      <c r="K98" s="50" t="str">
        <f aca="false">IF($B98="","",IF(INDEX(클레임목록!$I$2:$I$2000,MATCH($B98,클레임목록!$O$2:$O$2000,0))="","",INDEX(클레임목록!$I$2:$I$2000,MATCH($B98,클레임목록!$O$2:$O$2000,0))))</f>
        <v/>
      </c>
      <c r="L98" s="49" t="str">
        <f aca="false">IF($B98="","",IF(INDEX(클레임목록!$J$2:$J$2000,MATCH($B98,클레임목록!$O$2:$O$2000,0))="","",INDEX(클레임목록!$J$2:$J$2000,MATCH($B98,클레임목록!$O$2:$O$2000,0))))</f>
        <v/>
      </c>
    </row>
    <row r="99" customFormat="false" ht="15" hidden="false" customHeight="false" outlineLevel="0" collapsed="false">
      <c r="B99" s="48" t="str">
        <f aca="false">IF(86&lt;=$C$11,86,"")</f>
        <v/>
      </c>
      <c r="C99" s="49" t="str">
        <f aca="false">IF($B99="","",IF(INDEX(클레임목록!$A$2:$A$2000,MATCH($B99,클레임목록!$O$2:$O$2000,0))="","",INDEX(클레임목록!$A$2:$A$2000,MATCH($B99,클레임목록!$O$2:$O$2000,0))))</f>
        <v/>
      </c>
      <c r="D99" s="50" t="str">
        <f aca="false">IF($B99="","",IF(INDEX(클레임목록!$B$2:$B$2000,MATCH($B99,클레임목록!$O$2:$O$2000,0))="","",INDEX(클레임목록!$B$2:$B$2000,MATCH($B99,클레임목록!$O$2:$O$2000,0))))</f>
        <v/>
      </c>
      <c r="E99" s="4" t="str">
        <f aca="false">IF($B99="","",IF(INDEX(클레임목록!$C$2:$C$2000,MATCH($B99,클레임목록!$O$2:$O$2000,0))="","",INDEX(클레임목록!$C$2:$C$2000,MATCH($B99,클레임목록!$O$2:$O$2000,0))))</f>
        <v/>
      </c>
      <c r="F99" s="49" t="str">
        <f aca="false">IF($B99="","",IF(INDEX(클레임목록!$D$2:$D$2000,MATCH($B99,클레임목록!$O$2:$O$2000,0))="","",INDEX(클레임목록!$D$2:$D$2000,MATCH($B99,클레임목록!$O$2:$O$2000,0))))</f>
        <v/>
      </c>
      <c r="G99" s="49" t="str">
        <f aca="false">IF($B99="","",IF(INDEX(클레임목록!$E$2:$E$2000,MATCH($B99,클레임목록!$O$2:$O$2000,0))="","",INDEX(클레임목록!$E$2:$E$2000,MATCH($B99,클레임목록!$O$2:$O$2000,0))))</f>
        <v/>
      </c>
      <c r="H99" s="4" t="str">
        <f aca="false">IF($B99="","",IF(INDEX(클레임목록!$F$2:$F$2000,MATCH($B99,클레임목록!$O$2:$O$2000,0))="","",INDEX(클레임목록!$F$2:$F$2000,MATCH($B99,클레임목록!$O$2:$O$2000,0))))</f>
        <v/>
      </c>
      <c r="I99" s="4" t="str">
        <f aca="false">IF($B99="","",IF(INDEX(클레임목록!$G$2:$G$2000,MATCH($B99,클레임목록!$O$2:$O$2000,0))="","",INDEX(클레임목록!$G$2:$G$2000,MATCH($B99,클레임목록!$O$2:$O$2000,0))))</f>
        <v/>
      </c>
      <c r="J99" s="4" t="str">
        <f aca="false">IF($B99="","",IF(INDEX(클레임목록!$H$2:$H$2000,MATCH($B99,클레임목록!$O$2:$O$2000,0))="","",INDEX(클레임목록!$H$2:$H$2000,MATCH($B99,클레임목록!$O$2:$O$2000,0))))</f>
        <v/>
      </c>
      <c r="K99" s="50" t="str">
        <f aca="false">IF($B99="","",IF(INDEX(클레임목록!$I$2:$I$2000,MATCH($B99,클레임목록!$O$2:$O$2000,0))="","",INDEX(클레임목록!$I$2:$I$2000,MATCH($B99,클레임목록!$O$2:$O$2000,0))))</f>
        <v/>
      </c>
      <c r="L99" s="49" t="str">
        <f aca="false">IF($B99="","",IF(INDEX(클레임목록!$J$2:$J$2000,MATCH($B99,클레임목록!$O$2:$O$2000,0))="","",INDEX(클레임목록!$J$2:$J$2000,MATCH($B99,클레임목록!$O$2:$O$2000,0))))</f>
        <v/>
      </c>
    </row>
    <row r="100" customFormat="false" ht="15" hidden="false" customHeight="false" outlineLevel="0" collapsed="false">
      <c r="B100" s="48" t="str">
        <f aca="false">IF(87&lt;=$C$11,87,"")</f>
        <v/>
      </c>
      <c r="C100" s="49" t="str">
        <f aca="false">IF($B100="","",IF(INDEX(클레임목록!$A$2:$A$2000,MATCH($B100,클레임목록!$O$2:$O$2000,0))="","",INDEX(클레임목록!$A$2:$A$2000,MATCH($B100,클레임목록!$O$2:$O$2000,0))))</f>
        <v/>
      </c>
      <c r="D100" s="50" t="str">
        <f aca="false">IF($B100="","",IF(INDEX(클레임목록!$B$2:$B$2000,MATCH($B100,클레임목록!$O$2:$O$2000,0))="","",INDEX(클레임목록!$B$2:$B$2000,MATCH($B100,클레임목록!$O$2:$O$2000,0))))</f>
        <v/>
      </c>
      <c r="E100" s="4" t="str">
        <f aca="false">IF($B100="","",IF(INDEX(클레임목록!$C$2:$C$2000,MATCH($B100,클레임목록!$O$2:$O$2000,0))="","",INDEX(클레임목록!$C$2:$C$2000,MATCH($B100,클레임목록!$O$2:$O$2000,0))))</f>
        <v/>
      </c>
      <c r="F100" s="49" t="str">
        <f aca="false">IF($B100="","",IF(INDEX(클레임목록!$D$2:$D$2000,MATCH($B100,클레임목록!$O$2:$O$2000,0))="","",INDEX(클레임목록!$D$2:$D$2000,MATCH($B100,클레임목록!$O$2:$O$2000,0))))</f>
        <v/>
      </c>
      <c r="G100" s="49" t="str">
        <f aca="false">IF($B100="","",IF(INDEX(클레임목록!$E$2:$E$2000,MATCH($B100,클레임목록!$O$2:$O$2000,0))="","",INDEX(클레임목록!$E$2:$E$2000,MATCH($B100,클레임목록!$O$2:$O$2000,0))))</f>
        <v/>
      </c>
      <c r="H100" s="4" t="str">
        <f aca="false">IF($B100="","",IF(INDEX(클레임목록!$F$2:$F$2000,MATCH($B100,클레임목록!$O$2:$O$2000,0))="","",INDEX(클레임목록!$F$2:$F$2000,MATCH($B100,클레임목록!$O$2:$O$2000,0))))</f>
        <v/>
      </c>
      <c r="I100" s="4" t="str">
        <f aca="false">IF($B100="","",IF(INDEX(클레임목록!$G$2:$G$2000,MATCH($B100,클레임목록!$O$2:$O$2000,0))="","",INDEX(클레임목록!$G$2:$G$2000,MATCH($B100,클레임목록!$O$2:$O$2000,0))))</f>
        <v/>
      </c>
      <c r="J100" s="4" t="str">
        <f aca="false">IF($B100="","",IF(INDEX(클레임목록!$H$2:$H$2000,MATCH($B100,클레임목록!$O$2:$O$2000,0))="","",INDEX(클레임목록!$H$2:$H$2000,MATCH($B100,클레임목록!$O$2:$O$2000,0))))</f>
        <v/>
      </c>
      <c r="K100" s="50" t="str">
        <f aca="false">IF($B100="","",IF(INDEX(클레임목록!$I$2:$I$2000,MATCH($B100,클레임목록!$O$2:$O$2000,0))="","",INDEX(클레임목록!$I$2:$I$2000,MATCH($B100,클레임목록!$O$2:$O$2000,0))))</f>
        <v/>
      </c>
      <c r="L100" s="49" t="str">
        <f aca="false">IF($B100="","",IF(INDEX(클레임목록!$J$2:$J$2000,MATCH($B100,클레임목록!$O$2:$O$2000,0))="","",INDEX(클레임목록!$J$2:$J$2000,MATCH($B100,클레임목록!$O$2:$O$2000,0))))</f>
        <v/>
      </c>
    </row>
    <row r="101" customFormat="false" ht="15" hidden="false" customHeight="false" outlineLevel="0" collapsed="false">
      <c r="B101" s="48" t="str">
        <f aca="false">IF(88&lt;=$C$11,88,"")</f>
        <v/>
      </c>
      <c r="C101" s="49" t="str">
        <f aca="false">IF($B101="","",IF(INDEX(클레임목록!$A$2:$A$2000,MATCH($B101,클레임목록!$O$2:$O$2000,0))="","",INDEX(클레임목록!$A$2:$A$2000,MATCH($B101,클레임목록!$O$2:$O$2000,0))))</f>
        <v/>
      </c>
      <c r="D101" s="50" t="str">
        <f aca="false">IF($B101="","",IF(INDEX(클레임목록!$B$2:$B$2000,MATCH($B101,클레임목록!$O$2:$O$2000,0))="","",INDEX(클레임목록!$B$2:$B$2000,MATCH($B101,클레임목록!$O$2:$O$2000,0))))</f>
        <v/>
      </c>
      <c r="E101" s="4" t="str">
        <f aca="false">IF($B101="","",IF(INDEX(클레임목록!$C$2:$C$2000,MATCH($B101,클레임목록!$O$2:$O$2000,0))="","",INDEX(클레임목록!$C$2:$C$2000,MATCH($B101,클레임목록!$O$2:$O$2000,0))))</f>
        <v/>
      </c>
      <c r="F101" s="49" t="str">
        <f aca="false">IF($B101="","",IF(INDEX(클레임목록!$D$2:$D$2000,MATCH($B101,클레임목록!$O$2:$O$2000,0))="","",INDEX(클레임목록!$D$2:$D$2000,MATCH($B101,클레임목록!$O$2:$O$2000,0))))</f>
        <v/>
      </c>
      <c r="G101" s="49" t="str">
        <f aca="false">IF($B101="","",IF(INDEX(클레임목록!$E$2:$E$2000,MATCH($B101,클레임목록!$O$2:$O$2000,0))="","",INDEX(클레임목록!$E$2:$E$2000,MATCH($B101,클레임목록!$O$2:$O$2000,0))))</f>
        <v/>
      </c>
      <c r="H101" s="4" t="str">
        <f aca="false">IF($B101="","",IF(INDEX(클레임목록!$F$2:$F$2000,MATCH($B101,클레임목록!$O$2:$O$2000,0))="","",INDEX(클레임목록!$F$2:$F$2000,MATCH($B101,클레임목록!$O$2:$O$2000,0))))</f>
        <v/>
      </c>
      <c r="I101" s="4" t="str">
        <f aca="false">IF($B101="","",IF(INDEX(클레임목록!$G$2:$G$2000,MATCH($B101,클레임목록!$O$2:$O$2000,0))="","",INDEX(클레임목록!$G$2:$G$2000,MATCH($B101,클레임목록!$O$2:$O$2000,0))))</f>
        <v/>
      </c>
      <c r="J101" s="4" t="str">
        <f aca="false">IF($B101="","",IF(INDEX(클레임목록!$H$2:$H$2000,MATCH($B101,클레임목록!$O$2:$O$2000,0))="","",INDEX(클레임목록!$H$2:$H$2000,MATCH($B101,클레임목록!$O$2:$O$2000,0))))</f>
        <v/>
      </c>
      <c r="K101" s="50" t="str">
        <f aca="false">IF($B101="","",IF(INDEX(클레임목록!$I$2:$I$2000,MATCH($B101,클레임목록!$O$2:$O$2000,0))="","",INDEX(클레임목록!$I$2:$I$2000,MATCH($B101,클레임목록!$O$2:$O$2000,0))))</f>
        <v/>
      </c>
      <c r="L101" s="49" t="str">
        <f aca="false">IF($B101="","",IF(INDEX(클레임목록!$J$2:$J$2000,MATCH($B101,클레임목록!$O$2:$O$2000,0))="","",INDEX(클레임목록!$J$2:$J$2000,MATCH($B101,클레임목록!$O$2:$O$2000,0))))</f>
        <v/>
      </c>
    </row>
    <row r="102" customFormat="false" ht="15" hidden="false" customHeight="false" outlineLevel="0" collapsed="false">
      <c r="B102" s="48" t="str">
        <f aca="false">IF(89&lt;=$C$11,89,"")</f>
        <v/>
      </c>
      <c r="C102" s="49" t="str">
        <f aca="false">IF($B102="","",IF(INDEX(클레임목록!$A$2:$A$2000,MATCH($B102,클레임목록!$O$2:$O$2000,0))="","",INDEX(클레임목록!$A$2:$A$2000,MATCH($B102,클레임목록!$O$2:$O$2000,0))))</f>
        <v/>
      </c>
      <c r="D102" s="50" t="str">
        <f aca="false">IF($B102="","",IF(INDEX(클레임목록!$B$2:$B$2000,MATCH($B102,클레임목록!$O$2:$O$2000,0))="","",INDEX(클레임목록!$B$2:$B$2000,MATCH($B102,클레임목록!$O$2:$O$2000,0))))</f>
        <v/>
      </c>
      <c r="E102" s="4" t="str">
        <f aca="false">IF($B102="","",IF(INDEX(클레임목록!$C$2:$C$2000,MATCH($B102,클레임목록!$O$2:$O$2000,0))="","",INDEX(클레임목록!$C$2:$C$2000,MATCH($B102,클레임목록!$O$2:$O$2000,0))))</f>
        <v/>
      </c>
      <c r="F102" s="49" t="str">
        <f aca="false">IF($B102="","",IF(INDEX(클레임목록!$D$2:$D$2000,MATCH($B102,클레임목록!$O$2:$O$2000,0))="","",INDEX(클레임목록!$D$2:$D$2000,MATCH($B102,클레임목록!$O$2:$O$2000,0))))</f>
        <v/>
      </c>
      <c r="G102" s="49" t="str">
        <f aca="false">IF($B102="","",IF(INDEX(클레임목록!$E$2:$E$2000,MATCH($B102,클레임목록!$O$2:$O$2000,0))="","",INDEX(클레임목록!$E$2:$E$2000,MATCH($B102,클레임목록!$O$2:$O$2000,0))))</f>
        <v/>
      </c>
      <c r="H102" s="4" t="str">
        <f aca="false">IF($B102="","",IF(INDEX(클레임목록!$F$2:$F$2000,MATCH($B102,클레임목록!$O$2:$O$2000,0))="","",INDEX(클레임목록!$F$2:$F$2000,MATCH($B102,클레임목록!$O$2:$O$2000,0))))</f>
        <v/>
      </c>
      <c r="I102" s="4" t="str">
        <f aca="false">IF($B102="","",IF(INDEX(클레임목록!$G$2:$G$2000,MATCH($B102,클레임목록!$O$2:$O$2000,0))="","",INDEX(클레임목록!$G$2:$G$2000,MATCH($B102,클레임목록!$O$2:$O$2000,0))))</f>
        <v/>
      </c>
      <c r="J102" s="4" t="str">
        <f aca="false">IF($B102="","",IF(INDEX(클레임목록!$H$2:$H$2000,MATCH($B102,클레임목록!$O$2:$O$2000,0))="","",INDEX(클레임목록!$H$2:$H$2000,MATCH($B102,클레임목록!$O$2:$O$2000,0))))</f>
        <v/>
      </c>
      <c r="K102" s="50" t="str">
        <f aca="false">IF($B102="","",IF(INDEX(클레임목록!$I$2:$I$2000,MATCH($B102,클레임목록!$O$2:$O$2000,0))="","",INDEX(클레임목록!$I$2:$I$2000,MATCH($B102,클레임목록!$O$2:$O$2000,0))))</f>
        <v/>
      </c>
      <c r="L102" s="49" t="str">
        <f aca="false">IF($B102="","",IF(INDEX(클레임목록!$J$2:$J$2000,MATCH($B102,클레임목록!$O$2:$O$2000,0))="","",INDEX(클레임목록!$J$2:$J$2000,MATCH($B102,클레임목록!$O$2:$O$2000,0))))</f>
        <v/>
      </c>
    </row>
    <row r="103" customFormat="false" ht="15" hidden="false" customHeight="false" outlineLevel="0" collapsed="false">
      <c r="B103" s="48" t="str">
        <f aca="false">IF(90&lt;=$C$11,90,"")</f>
        <v/>
      </c>
      <c r="C103" s="49" t="str">
        <f aca="false">IF($B103="","",IF(INDEX(클레임목록!$A$2:$A$2000,MATCH($B103,클레임목록!$O$2:$O$2000,0))="","",INDEX(클레임목록!$A$2:$A$2000,MATCH($B103,클레임목록!$O$2:$O$2000,0))))</f>
        <v/>
      </c>
      <c r="D103" s="50" t="str">
        <f aca="false">IF($B103="","",IF(INDEX(클레임목록!$B$2:$B$2000,MATCH($B103,클레임목록!$O$2:$O$2000,0))="","",INDEX(클레임목록!$B$2:$B$2000,MATCH($B103,클레임목록!$O$2:$O$2000,0))))</f>
        <v/>
      </c>
      <c r="E103" s="4" t="str">
        <f aca="false">IF($B103="","",IF(INDEX(클레임목록!$C$2:$C$2000,MATCH($B103,클레임목록!$O$2:$O$2000,0))="","",INDEX(클레임목록!$C$2:$C$2000,MATCH($B103,클레임목록!$O$2:$O$2000,0))))</f>
        <v/>
      </c>
      <c r="F103" s="49" t="str">
        <f aca="false">IF($B103="","",IF(INDEX(클레임목록!$D$2:$D$2000,MATCH($B103,클레임목록!$O$2:$O$2000,0))="","",INDEX(클레임목록!$D$2:$D$2000,MATCH($B103,클레임목록!$O$2:$O$2000,0))))</f>
        <v/>
      </c>
      <c r="G103" s="49" t="str">
        <f aca="false">IF($B103="","",IF(INDEX(클레임목록!$E$2:$E$2000,MATCH($B103,클레임목록!$O$2:$O$2000,0))="","",INDEX(클레임목록!$E$2:$E$2000,MATCH($B103,클레임목록!$O$2:$O$2000,0))))</f>
        <v/>
      </c>
      <c r="H103" s="4" t="str">
        <f aca="false">IF($B103="","",IF(INDEX(클레임목록!$F$2:$F$2000,MATCH($B103,클레임목록!$O$2:$O$2000,0))="","",INDEX(클레임목록!$F$2:$F$2000,MATCH($B103,클레임목록!$O$2:$O$2000,0))))</f>
        <v/>
      </c>
      <c r="I103" s="4" t="str">
        <f aca="false">IF($B103="","",IF(INDEX(클레임목록!$G$2:$G$2000,MATCH($B103,클레임목록!$O$2:$O$2000,0))="","",INDEX(클레임목록!$G$2:$G$2000,MATCH($B103,클레임목록!$O$2:$O$2000,0))))</f>
        <v/>
      </c>
      <c r="J103" s="4" t="str">
        <f aca="false">IF($B103="","",IF(INDEX(클레임목록!$H$2:$H$2000,MATCH($B103,클레임목록!$O$2:$O$2000,0))="","",INDEX(클레임목록!$H$2:$H$2000,MATCH($B103,클레임목록!$O$2:$O$2000,0))))</f>
        <v/>
      </c>
      <c r="K103" s="50" t="str">
        <f aca="false">IF($B103="","",IF(INDEX(클레임목록!$I$2:$I$2000,MATCH($B103,클레임목록!$O$2:$O$2000,0))="","",INDEX(클레임목록!$I$2:$I$2000,MATCH($B103,클레임목록!$O$2:$O$2000,0))))</f>
        <v/>
      </c>
      <c r="L103" s="49" t="str">
        <f aca="false">IF($B103="","",IF(INDEX(클레임목록!$J$2:$J$2000,MATCH($B103,클레임목록!$O$2:$O$2000,0))="","",INDEX(클레임목록!$J$2:$J$2000,MATCH($B103,클레임목록!$O$2:$O$2000,0))))</f>
        <v/>
      </c>
    </row>
    <row r="104" customFormat="false" ht="15" hidden="false" customHeight="false" outlineLevel="0" collapsed="false">
      <c r="B104" s="48" t="str">
        <f aca="false">IF(91&lt;=$C$11,91,"")</f>
        <v/>
      </c>
      <c r="C104" s="49" t="str">
        <f aca="false">IF($B104="","",IF(INDEX(클레임목록!$A$2:$A$2000,MATCH($B104,클레임목록!$O$2:$O$2000,0))="","",INDEX(클레임목록!$A$2:$A$2000,MATCH($B104,클레임목록!$O$2:$O$2000,0))))</f>
        <v/>
      </c>
      <c r="D104" s="50" t="str">
        <f aca="false">IF($B104="","",IF(INDEX(클레임목록!$B$2:$B$2000,MATCH($B104,클레임목록!$O$2:$O$2000,0))="","",INDEX(클레임목록!$B$2:$B$2000,MATCH($B104,클레임목록!$O$2:$O$2000,0))))</f>
        <v/>
      </c>
      <c r="E104" s="4" t="str">
        <f aca="false">IF($B104="","",IF(INDEX(클레임목록!$C$2:$C$2000,MATCH($B104,클레임목록!$O$2:$O$2000,0))="","",INDEX(클레임목록!$C$2:$C$2000,MATCH($B104,클레임목록!$O$2:$O$2000,0))))</f>
        <v/>
      </c>
      <c r="F104" s="49" t="str">
        <f aca="false">IF($B104="","",IF(INDEX(클레임목록!$D$2:$D$2000,MATCH($B104,클레임목록!$O$2:$O$2000,0))="","",INDEX(클레임목록!$D$2:$D$2000,MATCH($B104,클레임목록!$O$2:$O$2000,0))))</f>
        <v/>
      </c>
      <c r="G104" s="49" t="str">
        <f aca="false">IF($B104="","",IF(INDEX(클레임목록!$E$2:$E$2000,MATCH($B104,클레임목록!$O$2:$O$2000,0))="","",INDEX(클레임목록!$E$2:$E$2000,MATCH($B104,클레임목록!$O$2:$O$2000,0))))</f>
        <v/>
      </c>
      <c r="H104" s="4" t="str">
        <f aca="false">IF($B104="","",IF(INDEX(클레임목록!$F$2:$F$2000,MATCH($B104,클레임목록!$O$2:$O$2000,0))="","",INDEX(클레임목록!$F$2:$F$2000,MATCH($B104,클레임목록!$O$2:$O$2000,0))))</f>
        <v/>
      </c>
      <c r="I104" s="4" t="str">
        <f aca="false">IF($B104="","",IF(INDEX(클레임목록!$G$2:$G$2000,MATCH($B104,클레임목록!$O$2:$O$2000,0))="","",INDEX(클레임목록!$G$2:$G$2000,MATCH($B104,클레임목록!$O$2:$O$2000,0))))</f>
        <v/>
      </c>
      <c r="J104" s="4" t="str">
        <f aca="false">IF($B104="","",IF(INDEX(클레임목록!$H$2:$H$2000,MATCH($B104,클레임목록!$O$2:$O$2000,0))="","",INDEX(클레임목록!$H$2:$H$2000,MATCH($B104,클레임목록!$O$2:$O$2000,0))))</f>
        <v/>
      </c>
      <c r="K104" s="50" t="str">
        <f aca="false">IF($B104="","",IF(INDEX(클레임목록!$I$2:$I$2000,MATCH($B104,클레임목록!$O$2:$O$2000,0))="","",INDEX(클레임목록!$I$2:$I$2000,MATCH($B104,클레임목록!$O$2:$O$2000,0))))</f>
        <v/>
      </c>
      <c r="L104" s="49" t="str">
        <f aca="false">IF($B104="","",IF(INDEX(클레임목록!$J$2:$J$2000,MATCH($B104,클레임목록!$O$2:$O$2000,0))="","",INDEX(클레임목록!$J$2:$J$2000,MATCH($B104,클레임목록!$O$2:$O$2000,0))))</f>
        <v/>
      </c>
    </row>
    <row r="105" customFormat="false" ht="15" hidden="false" customHeight="false" outlineLevel="0" collapsed="false">
      <c r="B105" s="48" t="str">
        <f aca="false">IF(92&lt;=$C$11,92,"")</f>
        <v/>
      </c>
      <c r="C105" s="49" t="str">
        <f aca="false">IF($B105="","",IF(INDEX(클레임목록!$A$2:$A$2000,MATCH($B105,클레임목록!$O$2:$O$2000,0))="","",INDEX(클레임목록!$A$2:$A$2000,MATCH($B105,클레임목록!$O$2:$O$2000,0))))</f>
        <v/>
      </c>
      <c r="D105" s="50" t="str">
        <f aca="false">IF($B105="","",IF(INDEX(클레임목록!$B$2:$B$2000,MATCH($B105,클레임목록!$O$2:$O$2000,0))="","",INDEX(클레임목록!$B$2:$B$2000,MATCH($B105,클레임목록!$O$2:$O$2000,0))))</f>
        <v/>
      </c>
      <c r="E105" s="4" t="str">
        <f aca="false">IF($B105="","",IF(INDEX(클레임목록!$C$2:$C$2000,MATCH($B105,클레임목록!$O$2:$O$2000,0))="","",INDEX(클레임목록!$C$2:$C$2000,MATCH($B105,클레임목록!$O$2:$O$2000,0))))</f>
        <v/>
      </c>
      <c r="F105" s="49" t="str">
        <f aca="false">IF($B105="","",IF(INDEX(클레임목록!$D$2:$D$2000,MATCH($B105,클레임목록!$O$2:$O$2000,0))="","",INDEX(클레임목록!$D$2:$D$2000,MATCH($B105,클레임목록!$O$2:$O$2000,0))))</f>
        <v/>
      </c>
      <c r="G105" s="49" t="str">
        <f aca="false">IF($B105="","",IF(INDEX(클레임목록!$E$2:$E$2000,MATCH($B105,클레임목록!$O$2:$O$2000,0))="","",INDEX(클레임목록!$E$2:$E$2000,MATCH($B105,클레임목록!$O$2:$O$2000,0))))</f>
        <v/>
      </c>
      <c r="H105" s="4" t="str">
        <f aca="false">IF($B105="","",IF(INDEX(클레임목록!$F$2:$F$2000,MATCH($B105,클레임목록!$O$2:$O$2000,0))="","",INDEX(클레임목록!$F$2:$F$2000,MATCH($B105,클레임목록!$O$2:$O$2000,0))))</f>
        <v/>
      </c>
      <c r="I105" s="4" t="str">
        <f aca="false">IF($B105="","",IF(INDEX(클레임목록!$G$2:$G$2000,MATCH($B105,클레임목록!$O$2:$O$2000,0))="","",INDEX(클레임목록!$G$2:$G$2000,MATCH($B105,클레임목록!$O$2:$O$2000,0))))</f>
        <v/>
      </c>
      <c r="J105" s="4" t="str">
        <f aca="false">IF($B105="","",IF(INDEX(클레임목록!$H$2:$H$2000,MATCH($B105,클레임목록!$O$2:$O$2000,0))="","",INDEX(클레임목록!$H$2:$H$2000,MATCH($B105,클레임목록!$O$2:$O$2000,0))))</f>
        <v/>
      </c>
      <c r="K105" s="50" t="str">
        <f aca="false">IF($B105="","",IF(INDEX(클레임목록!$I$2:$I$2000,MATCH($B105,클레임목록!$O$2:$O$2000,0))="","",INDEX(클레임목록!$I$2:$I$2000,MATCH($B105,클레임목록!$O$2:$O$2000,0))))</f>
        <v/>
      </c>
      <c r="L105" s="49" t="str">
        <f aca="false">IF($B105="","",IF(INDEX(클레임목록!$J$2:$J$2000,MATCH($B105,클레임목록!$O$2:$O$2000,0))="","",INDEX(클레임목록!$J$2:$J$2000,MATCH($B105,클레임목록!$O$2:$O$2000,0))))</f>
        <v/>
      </c>
    </row>
    <row r="106" customFormat="false" ht="15" hidden="false" customHeight="false" outlineLevel="0" collapsed="false">
      <c r="B106" s="48" t="str">
        <f aca="false">IF(93&lt;=$C$11,93,"")</f>
        <v/>
      </c>
      <c r="C106" s="49" t="str">
        <f aca="false">IF($B106="","",IF(INDEX(클레임목록!$A$2:$A$2000,MATCH($B106,클레임목록!$O$2:$O$2000,0))="","",INDEX(클레임목록!$A$2:$A$2000,MATCH($B106,클레임목록!$O$2:$O$2000,0))))</f>
        <v/>
      </c>
      <c r="D106" s="50" t="str">
        <f aca="false">IF($B106="","",IF(INDEX(클레임목록!$B$2:$B$2000,MATCH($B106,클레임목록!$O$2:$O$2000,0))="","",INDEX(클레임목록!$B$2:$B$2000,MATCH($B106,클레임목록!$O$2:$O$2000,0))))</f>
        <v/>
      </c>
      <c r="E106" s="4" t="str">
        <f aca="false">IF($B106="","",IF(INDEX(클레임목록!$C$2:$C$2000,MATCH($B106,클레임목록!$O$2:$O$2000,0))="","",INDEX(클레임목록!$C$2:$C$2000,MATCH($B106,클레임목록!$O$2:$O$2000,0))))</f>
        <v/>
      </c>
      <c r="F106" s="49" t="str">
        <f aca="false">IF($B106="","",IF(INDEX(클레임목록!$D$2:$D$2000,MATCH($B106,클레임목록!$O$2:$O$2000,0))="","",INDEX(클레임목록!$D$2:$D$2000,MATCH($B106,클레임목록!$O$2:$O$2000,0))))</f>
        <v/>
      </c>
      <c r="G106" s="49" t="str">
        <f aca="false">IF($B106="","",IF(INDEX(클레임목록!$E$2:$E$2000,MATCH($B106,클레임목록!$O$2:$O$2000,0))="","",INDEX(클레임목록!$E$2:$E$2000,MATCH($B106,클레임목록!$O$2:$O$2000,0))))</f>
        <v/>
      </c>
      <c r="H106" s="4" t="str">
        <f aca="false">IF($B106="","",IF(INDEX(클레임목록!$F$2:$F$2000,MATCH($B106,클레임목록!$O$2:$O$2000,0))="","",INDEX(클레임목록!$F$2:$F$2000,MATCH($B106,클레임목록!$O$2:$O$2000,0))))</f>
        <v/>
      </c>
      <c r="I106" s="4" t="str">
        <f aca="false">IF($B106="","",IF(INDEX(클레임목록!$G$2:$G$2000,MATCH($B106,클레임목록!$O$2:$O$2000,0))="","",INDEX(클레임목록!$G$2:$G$2000,MATCH($B106,클레임목록!$O$2:$O$2000,0))))</f>
        <v/>
      </c>
      <c r="J106" s="4" t="str">
        <f aca="false">IF($B106="","",IF(INDEX(클레임목록!$H$2:$H$2000,MATCH($B106,클레임목록!$O$2:$O$2000,0))="","",INDEX(클레임목록!$H$2:$H$2000,MATCH($B106,클레임목록!$O$2:$O$2000,0))))</f>
        <v/>
      </c>
      <c r="K106" s="50" t="str">
        <f aca="false">IF($B106="","",IF(INDEX(클레임목록!$I$2:$I$2000,MATCH($B106,클레임목록!$O$2:$O$2000,0))="","",INDEX(클레임목록!$I$2:$I$2000,MATCH($B106,클레임목록!$O$2:$O$2000,0))))</f>
        <v/>
      </c>
      <c r="L106" s="49" t="str">
        <f aca="false">IF($B106="","",IF(INDEX(클레임목록!$J$2:$J$2000,MATCH($B106,클레임목록!$O$2:$O$2000,0))="","",INDEX(클레임목록!$J$2:$J$2000,MATCH($B106,클레임목록!$O$2:$O$2000,0))))</f>
        <v/>
      </c>
    </row>
    <row r="107" customFormat="false" ht="15" hidden="false" customHeight="false" outlineLevel="0" collapsed="false">
      <c r="B107" s="48" t="str">
        <f aca="false">IF(94&lt;=$C$11,94,"")</f>
        <v/>
      </c>
      <c r="C107" s="49" t="str">
        <f aca="false">IF($B107="","",IF(INDEX(클레임목록!$A$2:$A$2000,MATCH($B107,클레임목록!$O$2:$O$2000,0))="","",INDEX(클레임목록!$A$2:$A$2000,MATCH($B107,클레임목록!$O$2:$O$2000,0))))</f>
        <v/>
      </c>
      <c r="D107" s="50" t="str">
        <f aca="false">IF($B107="","",IF(INDEX(클레임목록!$B$2:$B$2000,MATCH($B107,클레임목록!$O$2:$O$2000,0))="","",INDEX(클레임목록!$B$2:$B$2000,MATCH($B107,클레임목록!$O$2:$O$2000,0))))</f>
        <v/>
      </c>
      <c r="E107" s="4" t="str">
        <f aca="false">IF($B107="","",IF(INDEX(클레임목록!$C$2:$C$2000,MATCH($B107,클레임목록!$O$2:$O$2000,0))="","",INDEX(클레임목록!$C$2:$C$2000,MATCH($B107,클레임목록!$O$2:$O$2000,0))))</f>
        <v/>
      </c>
      <c r="F107" s="49" t="str">
        <f aca="false">IF($B107="","",IF(INDEX(클레임목록!$D$2:$D$2000,MATCH($B107,클레임목록!$O$2:$O$2000,0))="","",INDEX(클레임목록!$D$2:$D$2000,MATCH($B107,클레임목록!$O$2:$O$2000,0))))</f>
        <v/>
      </c>
      <c r="G107" s="49" t="str">
        <f aca="false">IF($B107="","",IF(INDEX(클레임목록!$E$2:$E$2000,MATCH($B107,클레임목록!$O$2:$O$2000,0))="","",INDEX(클레임목록!$E$2:$E$2000,MATCH($B107,클레임목록!$O$2:$O$2000,0))))</f>
        <v/>
      </c>
      <c r="H107" s="4" t="str">
        <f aca="false">IF($B107="","",IF(INDEX(클레임목록!$F$2:$F$2000,MATCH($B107,클레임목록!$O$2:$O$2000,0))="","",INDEX(클레임목록!$F$2:$F$2000,MATCH($B107,클레임목록!$O$2:$O$2000,0))))</f>
        <v/>
      </c>
      <c r="I107" s="4" t="str">
        <f aca="false">IF($B107="","",IF(INDEX(클레임목록!$G$2:$G$2000,MATCH($B107,클레임목록!$O$2:$O$2000,0))="","",INDEX(클레임목록!$G$2:$G$2000,MATCH($B107,클레임목록!$O$2:$O$2000,0))))</f>
        <v/>
      </c>
      <c r="J107" s="4" t="str">
        <f aca="false">IF($B107="","",IF(INDEX(클레임목록!$H$2:$H$2000,MATCH($B107,클레임목록!$O$2:$O$2000,0))="","",INDEX(클레임목록!$H$2:$H$2000,MATCH($B107,클레임목록!$O$2:$O$2000,0))))</f>
        <v/>
      </c>
      <c r="K107" s="50" t="str">
        <f aca="false">IF($B107="","",IF(INDEX(클레임목록!$I$2:$I$2000,MATCH($B107,클레임목록!$O$2:$O$2000,0))="","",INDEX(클레임목록!$I$2:$I$2000,MATCH($B107,클레임목록!$O$2:$O$2000,0))))</f>
        <v/>
      </c>
      <c r="L107" s="49" t="str">
        <f aca="false">IF($B107="","",IF(INDEX(클레임목록!$J$2:$J$2000,MATCH($B107,클레임목록!$O$2:$O$2000,0))="","",INDEX(클레임목록!$J$2:$J$2000,MATCH($B107,클레임목록!$O$2:$O$2000,0))))</f>
        <v/>
      </c>
    </row>
    <row r="108" customFormat="false" ht="15" hidden="false" customHeight="false" outlineLevel="0" collapsed="false">
      <c r="B108" s="48" t="str">
        <f aca="false">IF(95&lt;=$C$11,95,"")</f>
        <v/>
      </c>
      <c r="C108" s="49" t="str">
        <f aca="false">IF($B108="","",IF(INDEX(클레임목록!$A$2:$A$2000,MATCH($B108,클레임목록!$O$2:$O$2000,0))="","",INDEX(클레임목록!$A$2:$A$2000,MATCH($B108,클레임목록!$O$2:$O$2000,0))))</f>
        <v/>
      </c>
      <c r="D108" s="50" t="str">
        <f aca="false">IF($B108="","",IF(INDEX(클레임목록!$B$2:$B$2000,MATCH($B108,클레임목록!$O$2:$O$2000,0))="","",INDEX(클레임목록!$B$2:$B$2000,MATCH($B108,클레임목록!$O$2:$O$2000,0))))</f>
        <v/>
      </c>
      <c r="E108" s="4" t="str">
        <f aca="false">IF($B108="","",IF(INDEX(클레임목록!$C$2:$C$2000,MATCH($B108,클레임목록!$O$2:$O$2000,0))="","",INDEX(클레임목록!$C$2:$C$2000,MATCH($B108,클레임목록!$O$2:$O$2000,0))))</f>
        <v/>
      </c>
      <c r="F108" s="49" t="str">
        <f aca="false">IF($B108="","",IF(INDEX(클레임목록!$D$2:$D$2000,MATCH($B108,클레임목록!$O$2:$O$2000,0))="","",INDEX(클레임목록!$D$2:$D$2000,MATCH($B108,클레임목록!$O$2:$O$2000,0))))</f>
        <v/>
      </c>
      <c r="G108" s="49" t="str">
        <f aca="false">IF($B108="","",IF(INDEX(클레임목록!$E$2:$E$2000,MATCH($B108,클레임목록!$O$2:$O$2000,0))="","",INDEX(클레임목록!$E$2:$E$2000,MATCH($B108,클레임목록!$O$2:$O$2000,0))))</f>
        <v/>
      </c>
      <c r="H108" s="4" t="str">
        <f aca="false">IF($B108="","",IF(INDEX(클레임목록!$F$2:$F$2000,MATCH($B108,클레임목록!$O$2:$O$2000,0))="","",INDEX(클레임목록!$F$2:$F$2000,MATCH($B108,클레임목록!$O$2:$O$2000,0))))</f>
        <v/>
      </c>
      <c r="I108" s="4" t="str">
        <f aca="false">IF($B108="","",IF(INDEX(클레임목록!$G$2:$G$2000,MATCH($B108,클레임목록!$O$2:$O$2000,0))="","",INDEX(클레임목록!$G$2:$G$2000,MATCH($B108,클레임목록!$O$2:$O$2000,0))))</f>
        <v/>
      </c>
      <c r="J108" s="4" t="str">
        <f aca="false">IF($B108="","",IF(INDEX(클레임목록!$H$2:$H$2000,MATCH($B108,클레임목록!$O$2:$O$2000,0))="","",INDEX(클레임목록!$H$2:$H$2000,MATCH($B108,클레임목록!$O$2:$O$2000,0))))</f>
        <v/>
      </c>
      <c r="K108" s="50" t="str">
        <f aca="false">IF($B108="","",IF(INDEX(클레임목록!$I$2:$I$2000,MATCH($B108,클레임목록!$O$2:$O$2000,0))="","",INDEX(클레임목록!$I$2:$I$2000,MATCH($B108,클레임목록!$O$2:$O$2000,0))))</f>
        <v/>
      </c>
      <c r="L108" s="49" t="str">
        <f aca="false">IF($B108="","",IF(INDEX(클레임목록!$J$2:$J$2000,MATCH($B108,클레임목록!$O$2:$O$2000,0))="","",INDEX(클레임목록!$J$2:$J$2000,MATCH($B108,클레임목록!$O$2:$O$2000,0))))</f>
        <v/>
      </c>
    </row>
    <row r="109" customFormat="false" ht="15" hidden="false" customHeight="false" outlineLevel="0" collapsed="false">
      <c r="B109" s="48" t="str">
        <f aca="false">IF(96&lt;=$C$11,96,"")</f>
        <v/>
      </c>
      <c r="C109" s="49" t="str">
        <f aca="false">IF($B109="","",IF(INDEX(클레임목록!$A$2:$A$2000,MATCH($B109,클레임목록!$O$2:$O$2000,0))="","",INDEX(클레임목록!$A$2:$A$2000,MATCH($B109,클레임목록!$O$2:$O$2000,0))))</f>
        <v/>
      </c>
      <c r="D109" s="50" t="str">
        <f aca="false">IF($B109="","",IF(INDEX(클레임목록!$B$2:$B$2000,MATCH($B109,클레임목록!$O$2:$O$2000,0))="","",INDEX(클레임목록!$B$2:$B$2000,MATCH($B109,클레임목록!$O$2:$O$2000,0))))</f>
        <v/>
      </c>
      <c r="E109" s="4" t="str">
        <f aca="false">IF($B109="","",IF(INDEX(클레임목록!$C$2:$C$2000,MATCH($B109,클레임목록!$O$2:$O$2000,0))="","",INDEX(클레임목록!$C$2:$C$2000,MATCH($B109,클레임목록!$O$2:$O$2000,0))))</f>
        <v/>
      </c>
      <c r="F109" s="49" t="str">
        <f aca="false">IF($B109="","",IF(INDEX(클레임목록!$D$2:$D$2000,MATCH($B109,클레임목록!$O$2:$O$2000,0))="","",INDEX(클레임목록!$D$2:$D$2000,MATCH($B109,클레임목록!$O$2:$O$2000,0))))</f>
        <v/>
      </c>
      <c r="G109" s="49" t="str">
        <f aca="false">IF($B109="","",IF(INDEX(클레임목록!$E$2:$E$2000,MATCH($B109,클레임목록!$O$2:$O$2000,0))="","",INDEX(클레임목록!$E$2:$E$2000,MATCH($B109,클레임목록!$O$2:$O$2000,0))))</f>
        <v/>
      </c>
      <c r="H109" s="4" t="str">
        <f aca="false">IF($B109="","",IF(INDEX(클레임목록!$F$2:$F$2000,MATCH($B109,클레임목록!$O$2:$O$2000,0))="","",INDEX(클레임목록!$F$2:$F$2000,MATCH($B109,클레임목록!$O$2:$O$2000,0))))</f>
        <v/>
      </c>
      <c r="I109" s="4" t="str">
        <f aca="false">IF($B109="","",IF(INDEX(클레임목록!$G$2:$G$2000,MATCH($B109,클레임목록!$O$2:$O$2000,0))="","",INDEX(클레임목록!$G$2:$G$2000,MATCH($B109,클레임목록!$O$2:$O$2000,0))))</f>
        <v/>
      </c>
      <c r="J109" s="4" t="str">
        <f aca="false">IF($B109="","",IF(INDEX(클레임목록!$H$2:$H$2000,MATCH($B109,클레임목록!$O$2:$O$2000,0))="","",INDEX(클레임목록!$H$2:$H$2000,MATCH($B109,클레임목록!$O$2:$O$2000,0))))</f>
        <v/>
      </c>
      <c r="K109" s="50" t="str">
        <f aca="false">IF($B109="","",IF(INDEX(클레임목록!$I$2:$I$2000,MATCH($B109,클레임목록!$O$2:$O$2000,0))="","",INDEX(클레임목록!$I$2:$I$2000,MATCH($B109,클레임목록!$O$2:$O$2000,0))))</f>
        <v/>
      </c>
      <c r="L109" s="49" t="str">
        <f aca="false">IF($B109="","",IF(INDEX(클레임목록!$J$2:$J$2000,MATCH($B109,클레임목록!$O$2:$O$2000,0))="","",INDEX(클레임목록!$J$2:$J$2000,MATCH($B109,클레임목록!$O$2:$O$2000,0))))</f>
        <v/>
      </c>
    </row>
    <row r="110" customFormat="false" ht="15" hidden="false" customHeight="false" outlineLevel="0" collapsed="false">
      <c r="B110" s="48" t="str">
        <f aca="false">IF(97&lt;=$C$11,97,"")</f>
        <v/>
      </c>
      <c r="C110" s="49" t="str">
        <f aca="false">IF($B110="","",IF(INDEX(클레임목록!$A$2:$A$2000,MATCH($B110,클레임목록!$O$2:$O$2000,0))="","",INDEX(클레임목록!$A$2:$A$2000,MATCH($B110,클레임목록!$O$2:$O$2000,0))))</f>
        <v/>
      </c>
      <c r="D110" s="50" t="str">
        <f aca="false">IF($B110="","",IF(INDEX(클레임목록!$B$2:$B$2000,MATCH($B110,클레임목록!$O$2:$O$2000,0))="","",INDEX(클레임목록!$B$2:$B$2000,MATCH($B110,클레임목록!$O$2:$O$2000,0))))</f>
        <v/>
      </c>
      <c r="E110" s="4" t="str">
        <f aca="false">IF($B110="","",IF(INDEX(클레임목록!$C$2:$C$2000,MATCH($B110,클레임목록!$O$2:$O$2000,0))="","",INDEX(클레임목록!$C$2:$C$2000,MATCH($B110,클레임목록!$O$2:$O$2000,0))))</f>
        <v/>
      </c>
      <c r="F110" s="49" t="str">
        <f aca="false">IF($B110="","",IF(INDEX(클레임목록!$D$2:$D$2000,MATCH($B110,클레임목록!$O$2:$O$2000,0))="","",INDEX(클레임목록!$D$2:$D$2000,MATCH($B110,클레임목록!$O$2:$O$2000,0))))</f>
        <v/>
      </c>
      <c r="G110" s="49" t="str">
        <f aca="false">IF($B110="","",IF(INDEX(클레임목록!$E$2:$E$2000,MATCH($B110,클레임목록!$O$2:$O$2000,0))="","",INDEX(클레임목록!$E$2:$E$2000,MATCH($B110,클레임목록!$O$2:$O$2000,0))))</f>
        <v/>
      </c>
      <c r="H110" s="4" t="str">
        <f aca="false">IF($B110="","",IF(INDEX(클레임목록!$F$2:$F$2000,MATCH($B110,클레임목록!$O$2:$O$2000,0))="","",INDEX(클레임목록!$F$2:$F$2000,MATCH($B110,클레임목록!$O$2:$O$2000,0))))</f>
        <v/>
      </c>
      <c r="I110" s="4" t="str">
        <f aca="false">IF($B110="","",IF(INDEX(클레임목록!$G$2:$G$2000,MATCH($B110,클레임목록!$O$2:$O$2000,0))="","",INDEX(클레임목록!$G$2:$G$2000,MATCH($B110,클레임목록!$O$2:$O$2000,0))))</f>
        <v/>
      </c>
      <c r="J110" s="4" t="str">
        <f aca="false">IF($B110="","",IF(INDEX(클레임목록!$H$2:$H$2000,MATCH($B110,클레임목록!$O$2:$O$2000,0))="","",INDEX(클레임목록!$H$2:$H$2000,MATCH($B110,클레임목록!$O$2:$O$2000,0))))</f>
        <v/>
      </c>
      <c r="K110" s="50" t="str">
        <f aca="false">IF($B110="","",IF(INDEX(클레임목록!$I$2:$I$2000,MATCH($B110,클레임목록!$O$2:$O$2000,0))="","",INDEX(클레임목록!$I$2:$I$2000,MATCH($B110,클레임목록!$O$2:$O$2000,0))))</f>
        <v/>
      </c>
      <c r="L110" s="49" t="str">
        <f aca="false">IF($B110="","",IF(INDEX(클레임목록!$J$2:$J$2000,MATCH($B110,클레임목록!$O$2:$O$2000,0))="","",INDEX(클레임목록!$J$2:$J$2000,MATCH($B110,클레임목록!$O$2:$O$2000,0))))</f>
        <v/>
      </c>
    </row>
    <row r="111" customFormat="false" ht="15" hidden="false" customHeight="false" outlineLevel="0" collapsed="false">
      <c r="B111" s="48" t="str">
        <f aca="false">IF(98&lt;=$C$11,98,"")</f>
        <v/>
      </c>
      <c r="C111" s="49" t="str">
        <f aca="false">IF($B111="","",IF(INDEX(클레임목록!$A$2:$A$2000,MATCH($B111,클레임목록!$O$2:$O$2000,0))="","",INDEX(클레임목록!$A$2:$A$2000,MATCH($B111,클레임목록!$O$2:$O$2000,0))))</f>
        <v/>
      </c>
      <c r="D111" s="50" t="str">
        <f aca="false">IF($B111="","",IF(INDEX(클레임목록!$B$2:$B$2000,MATCH($B111,클레임목록!$O$2:$O$2000,0))="","",INDEX(클레임목록!$B$2:$B$2000,MATCH($B111,클레임목록!$O$2:$O$2000,0))))</f>
        <v/>
      </c>
      <c r="E111" s="4" t="str">
        <f aca="false">IF($B111="","",IF(INDEX(클레임목록!$C$2:$C$2000,MATCH($B111,클레임목록!$O$2:$O$2000,0))="","",INDEX(클레임목록!$C$2:$C$2000,MATCH($B111,클레임목록!$O$2:$O$2000,0))))</f>
        <v/>
      </c>
      <c r="F111" s="49" t="str">
        <f aca="false">IF($B111="","",IF(INDEX(클레임목록!$D$2:$D$2000,MATCH($B111,클레임목록!$O$2:$O$2000,0))="","",INDEX(클레임목록!$D$2:$D$2000,MATCH($B111,클레임목록!$O$2:$O$2000,0))))</f>
        <v/>
      </c>
      <c r="G111" s="49" t="str">
        <f aca="false">IF($B111="","",IF(INDEX(클레임목록!$E$2:$E$2000,MATCH($B111,클레임목록!$O$2:$O$2000,0))="","",INDEX(클레임목록!$E$2:$E$2000,MATCH($B111,클레임목록!$O$2:$O$2000,0))))</f>
        <v/>
      </c>
      <c r="H111" s="4" t="str">
        <f aca="false">IF($B111="","",IF(INDEX(클레임목록!$F$2:$F$2000,MATCH($B111,클레임목록!$O$2:$O$2000,0))="","",INDEX(클레임목록!$F$2:$F$2000,MATCH($B111,클레임목록!$O$2:$O$2000,0))))</f>
        <v/>
      </c>
      <c r="I111" s="4" t="str">
        <f aca="false">IF($B111="","",IF(INDEX(클레임목록!$G$2:$G$2000,MATCH($B111,클레임목록!$O$2:$O$2000,0))="","",INDEX(클레임목록!$G$2:$G$2000,MATCH($B111,클레임목록!$O$2:$O$2000,0))))</f>
        <v/>
      </c>
      <c r="J111" s="4" t="str">
        <f aca="false">IF($B111="","",IF(INDEX(클레임목록!$H$2:$H$2000,MATCH($B111,클레임목록!$O$2:$O$2000,0))="","",INDEX(클레임목록!$H$2:$H$2000,MATCH($B111,클레임목록!$O$2:$O$2000,0))))</f>
        <v/>
      </c>
      <c r="K111" s="50" t="str">
        <f aca="false">IF($B111="","",IF(INDEX(클레임목록!$I$2:$I$2000,MATCH($B111,클레임목록!$O$2:$O$2000,0))="","",INDEX(클레임목록!$I$2:$I$2000,MATCH($B111,클레임목록!$O$2:$O$2000,0))))</f>
        <v/>
      </c>
      <c r="L111" s="49" t="str">
        <f aca="false">IF($B111="","",IF(INDEX(클레임목록!$J$2:$J$2000,MATCH($B111,클레임목록!$O$2:$O$2000,0))="","",INDEX(클레임목록!$J$2:$J$2000,MATCH($B111,클레임목록!$O$2:$O$2000,0))))</f>
        <v/>
      </c>
    </row>
    <row r="112" customFormat="false" ht="15" hidden="false" customHeight="false" outlineLevel="0" collapsed="false">
      <c r="B112" s="48" t="str">
        <f aca="false">IF(99&lt;=$C$11,99,"")</f>
        <v/>
      </c>
      <c r="C112" s="49" t="str">
        <f aca="false">IF($B112="","",IF(INDEX(클레임목록!$A$2:$A$2000,MATCH($B112,클레임목록!$O$2:$O$2000,0))="","",INDEX(클레임목록!$A$2:$A$2000,MATCH($B112,클레임목록!$O$2:$O$2000,0))))</f>
        <v/>
      </c>
      <c r="D112" s="50" t="str">
        <f aca="false">IF($B112="","",IF(INDEX(클레임목록!$B$2:$B$2000,MATCH($B112,클레임목록!$O$2:$O$2000,0))="","",INDEX(클레임목록!$B$2:$B$2000,MATCH($B112,클레임목록!$O$2:$O$2000,0))))</f>
        <v/>
      </c>
      <c r="E112" s="4" t="str">
        <f aca="false">IF($B112="","",IF(INDEX(클레임목록!$C$2:$C$2000,MATCH($B112,클레임목록!$O$2:$O$2000,0))="","",INDEX(클레임목록!$C$2:$C$2000,MATCH($B112,클레임목록!$O$2:$O$2000,0))))</f>
        <v/>
      </c>
      <c r="F112" s="49" t="str">
        <f aca="false">IF($B112="","",IF(INDEX(클레임목록!$D$2:$D$2000,MATCH($B112,클레임목록!$O$2:$O$2000,0))="","",INDEX(클레임목록!$D$2:$D$2000,MATCH($B112,클레임목록!$O$2:$O$2000,0))))</f>
        <v/>
      </c>
      <c r="G112" s="49" t="str">
        <f aca="false">IF($B112="","",IF(INDEX(클레임목록!$E$2:$E$2000,MATCH($B112,클레임목록!$O$2:$O$2000,0))="","",INDEX(클레임목록!$E$2:$E$2000,MATCH($B112,클레임목록!$O$2:$O$2000,0))))</f>
        <v/>
      </c>
      <c r="H112" s="4" t="str">
        <f aca="false">IF($B112="","",IF(INDEX(클레임목록!$F$2:$F$2000,MATCH($B112,클레임목록!$O$2:$O$2000,0))="","",INDEX(클레임목록!$F$2:$F$2000,MATCH($B112,클레임목록!$O$2:$O$2000,0))))</f>
        <v/>
      </c>
      <c r="I112" s="4" t="str">
        <f aca="false">IF($B112="","",IF(INDEX(클레임목록!$G$2:$G$2000,MATCH($B112,클레임목록!$O$2:$O$2000,0))="","",INDEX(클레임목록!$G$2:$G$2000,MATCH($B112,클레임목록!$O$2:$O$2000,0))))</f>
        <v/>
      </c>
      <c r="J112" s="4" t="str">
        <f aca="false">IF($B112="","",IF(INDEX(클레임목록!$H$2:$H$2000,MATCH($B112,클레임목록!$O$2:$O$2000,0))="","",INDEX(클레임목록!$H$2:$H$2000,MATCH($B112,클레임목록!$O$2:$O$2000,0))))</f>
        <v/>
      </c>
      <c r="K112" s="50" t="str">
        <f aca="false">IF($B112="","",IF(INDEX(클레임목록!$I$2:$I$2000,MATCH($B112,클레임목록!$O$2:$O$2000,0))="","",INDEX(클레임목록!$I$2:$I$2000,MATCH($B112,클레임목록!$O$2:$O$2000,0))))</f>
        <v/>
      </c>
      <c r="L112" s="49" t="str">
        <f aca="false">IF($B112="","",IF(INDEX(클레임목록!$J$2:$J$2000,MATCH($B112,클레임목록!$O$2:$O$2000,0))="","",INDEX(클레임목록!$J$2:$J$2000,MATCH($B112,클레임목록!$O$2:$O$2000,0))))</f>
        <v/>
      </c>
    </row>
    <row r="113" customFormat="false" ht="15" hidden="false" customHeight="false" outlineLevel="0" collapsed="false">
      <c r="B113" s="48" t="str">
        <f aca="false">IF(100&lt;=$C$11,100,"")</f>
        <v/>
      </c>
      <c r="C113" s="49" t="str">
        <f aca="false">IF($B113="","",IF(INDEX(클레임목록!$A$2:$A$2000,MATCH($B113,클레임목록!$O$2:$O$2000,0))="","",INDEX(클레임목록!$A$2:$A$2000,MATCH($B113,클레임목록!$O$2:$O$2000,0))))</f>
        <v/>
      </c>
      <c r="D113" s="50" t="str">
        <f aca="false">IF($B113="","",IF(INDEX(클레임목록!$B$2:$B$2000,MATCH($B113,클레임목록!$O$2:$O$2000,0))="","",INDEX(클레임목록!$B$2:$B$2000,MATCH($B113,클레임목록!$O$2:$O$2000,0))))</f>
        <v/>
      </c>
      <c r="E113" s="4" t="str">
        <f aca="false">IF($B113="","",IF(INDEX(클레임목록!$C$2:$C$2000,MATCH($B113,클레임목록!$O$2:$O$2000,0))="","",INDEX(클레임목록!$C$2:$C$2000,MATCH($B113,클레임목록!$O$2:$O$2000,0))))</f>
        <v/>
      </c>
      <c r="F113" s="49" t="str">
        <f aca="false">IF($B113="","",IF(INDEX(클레임목록!$D$2:$D$2000,MATCH($B113,클레임목록!$O$2:$O$2000,0))="","",INDEX(클레임목록!$D$2:$D$2000,MATCH($B113,클레임목록!$O$2:$O$2000,0))))</f>
        <v/>
      </c>
      <c r="G113" s="49" t="str">
        <f aca="false">IF($B113="","",IF(INDEX(클레임목록!$E$2:$E$2000,MATCH($B113,클레임목록!$O$2:$O$2000,0))="","",INDEX(클레임목록!$E$2:$E$2000,MATCH($B113,클레임목록!$O$2:$O$2000,0))))</f>
        <v/>
      </c>
      <c r="H113" s="4" t="str">
        <f aca="false">IF($B113="","",IF(INDEX(클레임목록!$F$2:$F$2000,MATCH($B113,클레임목록!$O$2:$O$2000,0))="","",INDEX(클레임목록!$F$2:$F$2000,MATCH($B113,클레임목록!$O$2:$O$2000,0))))</f>
        <v/>
      </c>
      <c r="I113" s="4" t="str">
        <f aca="false">IF($B113="","",IF(INDEX(클레임목록!$G$2:$G$2000,MATCH($B113,클레임목록!$O$2:$O$2000,0))="","",INDEX(클레임목록!$G$2:$G$2000,MATCH($B113,클레임목록!$O$2:$O$2000,0))))</f>
        <v/>
      </c>
      <c r="J113" s="4" t="str">
        <f aca="false">IF($B113="","",IF(INDEX(클레임목록!$H$2:$H$2000,MATCH($B113,클레임목록!$O$2:$O$2000,0))="","",INDEX(클레임목록!$H$2:$H$2000,MATCH($B113,클레임목록!$O$2:$O$2000,0))))</f>
        <v/>
      </c>
      <c r="K113" s="50" t="str">
        <f aca="false">IF($B113="","",IF(INDEX(클레임목록!$I$2:$I$2000,MATCH($B113,클레임목록!$O$2:$O$2000,0))="","",INDEX(클레임목록!$I$2:$I$2000,MATCH($B113,클레임목록!$O$2:$O$2000,0))))</f>
        <v/>
      </c>
      <c r="L113" s="49" t="str">
        <f aca="false">IF($B113="","",IF(INDEX(클레임목록!$J$2:$J$2000,MATCH($B113,클레임목록!$O$2:$O$2000,0))="","",INDEX(클레임목록!$J$2:$J$2000,MATCH($B113,클레임목록!$O$2:$O$2000,0))))</f>
        <v/>
      </c>
    </row>
  </sheetData>
  <mergeCells count="8">
    <mergeCell ref="B2:L2"/>
    <mergeCell ref="C4:D4"/>
    <mergeCell ref="C5:D5"/>
    <mergeCell ref="C6:D6"/>
    <mergeCell ref="C7:D7"/>
    <mergeCell ref="C8:D8"/>
    <mergeCell ref="C9:D9"/>
    <mergeCell ref="C10:D10"/>
  </mergeCells>
  <dataValidations count="5">
    <dataValidation allowBlank="true" errorStyle="stop" operator="between" showDropDown="false" showErrorMessage="false" showInputMessage="false" sqref="C6" type="list">
      <formula1>제공인력목록</formula1>
      <formula2>0</formula2>
    </dataValidation>
    <dataValidation allowBlank="true" errorStyle="stop" operator="between" showDropDown="false" showErrorMessage="false" showInputMessage="false" sqref="C7" type="list">
      <formula1>품목류목록</formula1>
      <formula2>0</formula2>
    </dataValidation>
    <dataValidation allowBlank="true" errorStyle="stop" operator="between" showDropDown="false" showErrorMessage="false" showInputMessage="false" sqref="C8" type="list">
      <formula1>분류목록</formula1>
      <formula2>0</formula2>
    </dataValidation>
    <dataValidation allowBlank="true" errorStyle="stop" operator="between" showDropDown="false" showErrorMessage="false" showInputMessage="false" sqref="C9" type="list">
      <formula1>내용목록</formula1>
      <formula2>0</formula2>
    </dataValidation>
    <dataValidation allowBlank="true" error="날짜 형식으로 입력하세요." errorStyle="stop" operator="greaterThan" showDropDown="false" showErrorMessage="true" showInputMessage="false" sqref="C4:C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5" min="5" style="0" width="90"/>
  </cols>
  <sheetData>
    <row r="1" customFormat="false" ht="19.4" hidden="false" customHeight="false" outlineLevel="0" collapsed="false">
      <c r="A1" s="51" t="s">
        <v>104</v>
      </c>
    </row>
    <row r="2" customFormat="false" ht="15" hidden="false" customHeight="false" outlineLevel="0" collapsed="false">
      <c r="A2" s="18" t="s">
        <v>105</v>
      </c>
    </row>
    <row r="3" customFormat="false" ht="15" hidden="false" customHeight="false" outlineLevel="0" collapsed="false">
      <c r="A3" s="7" t="s">
        <v>36</v>
      </c>
      <c r="B3" s="7" t="s">
        <v>37</v>
      </c>
      <c r="C3" s="7" t="s">
        <v>106</v>
      </c>
      <c r="E3" s="52" t="s">
        <v>107</v>
      </c>
    </row>
    <row r="4" customFormat="false" ht="15" hidden="false" customHeight="false" outlineLevel="0" collapsed="false">
      <c r="A4" s="53" t="s">
        <v>51</v>
      </c>
      <c r="B4" s="53" t="s">
        <v>52</v>
      </c>
      <c r="C4" s="53" t="s">
        <v>108</v>
      </c>
      <c r="E4" s="15" t="s">
        <v>109</v>
      </c>
    </row>
    <row r="5" customFormat="false" ht="15" hidden="false" customHeight="false" outlineLevel="0" collapsed="false">
      <c r="A5" s="53" t="s">
        <v>56</v>
      </c>
      <c r="B5" s="53" t="s">
        <v>57</v>
      </c>
      <c r="C5" s="53" t="s">
        <v>110</v>
      </c>
      <c r="E5" s="15" t="s">
        <v>111</v>
      </c>
    </row>
    <row r="6" customFormat="false" ht="15" hidden="false" customHeight="false" outlineLevel="0" collapsed="false">
      <c r="A6" s="53" t="s">
        <v>112</v>
      </c>
      <c r="B6" s="53" t="s">
        <v>113</v>
      </c>
      <c r="C6" s="53" t="s">
        <v>114</v>
      </c>
      <c r="E6" s="15" t="s">
        <v>115</v>
      </c>
    </row>
    <row r="7" customFormat="false" ht="15" hidden="false" customHeight="false" outlineLevel="0" collapsed="false">
      <c r="A7" s="53" t="s">
        <v>116</v>
      </c>
      <c r="B7" s="53" t="s">
        <v>117</v>
      </c>
      <c r="C7" s="53" t="s">
        <v>118</v>
      </c>
    </row>
    <row r="8" customFormat="false" ht="15" hidden="false" customHeight="false" outlineLevel="0" collapsed="false">
      <c r="A8" s="53" t="s">
        <v>119</v>
      </c>
      <c r="B8" s="53" t="s">
        <v>120</v>
      </c>
      <c r="C8" s="53"/>
    </row>
    <row r="9" customFormat="false" ht="15" hidden="false" customHeight="false" outlineLevel="0" collapsed="false">
      <c r="A9" s="53"/>
      <c r="B9" s="53" t="s">
        <v>121</v>
      </c>
      <c r="C9" s="53"/>
    </row>
    <row r="10" customFormat="false" ht="15" hidden="false" customHeight="false" outlineLevel="0" collapsed="false">
      <c r="A10" s="53"/>
      <c r="B10" s="53"/>
      <c r="C10" s="53"/>
    </row>
    <row r="11" customFormat="false" ht="15" hidden="false" customHeight="false" outlineLevel="0" collapsed="false">
      <c r="A11" s="53"/>
      <c r="B11" s="53"/>
      <c r="C11" s="53"/>
    </row>
    <row r="12" customFormat="false" ht="15" hidden="false" customHeight="false" outlineLevel="0" collapsed="false">
      <c r="A12" s="53"/>
      <c r="B12" s="53"/>
      <c r="C12" s="53"/>
    </row>
    <row r="13" customFormat="false" ht="15" hidden="false" customHeight="false" outlineLevel="0" collapsed="false">
      <c r="A13" s="53"/>
      <c r="B13" s="53"/>
      <c r="C13" s="53"/>
    </row>
    <row r="14" customFormat="false" ht="15" hidden="false" customHeight="false" outlineLevel="0" collapsed="false">
      <c r="A14" s="53"/>
      <c r="B14" s="53"/>
      <c r="C14" s="53"/>
    </row>
    <row r="15" customFormat="false" ht="15" hidden="false" customHeight="false" outlineLevel="0" collapsed="false">
      <c r="A15" s="53"/>
      <c r="B15" s="53"/>
      <c r="C15" s="53"/>
    </row>
    <row r="16" customFormat="false" ht="15" hidden="false" customHeight="false" outlineLevel="0" collapsed="false">
      <c r="A16" s="53"/>
      <c r="B16" s="53"/>
      <c r="C16" s="53"/>
    </row>
    <row r="17" customFormat="false" ht="15" hidden="false" customHeight="false" outlineLevel="0" collapsed="false">
      <c r="A17" s="53"/>
      <c r="B17" s="53"/>
      <c r="C17" s="53"/>
    </row>
    <row r="18" customFormat="false" ht="15" hidden="false" customHeight="false" outlineLevel="0" collapsed="false">
      <c r="A18" s="53"/>
      <c r="B18" s="53"/>
      <c r="C18" s="53"/>
    </row>
    <row r="19" customFormat="false" ht="15" hidden="false" customHeight="false" outlineLevel="0" collapsed="false">
      <c r="A19" s="53"/>
      <c r="B19" s="53"/>
      <c r="C19" s="53"/>
    </row>
    <row r="20" customFormat="false" ht="15" hidden="false" customHeight="false" outlineLevel="0" collapsed="false">
      <c r="A20" s="53"/>
      <c r="B20" s="53"/>
      <c r="C20" s="53"/>
    </row>
    <row r="21" customFormat="false" ht="15" hidden="false" customHeight="false" outlineLevel="0" collapsed="false">
      <c r="A21" s="53"/>
      <c r="B21" s="53"/>
      <c r="C21" s="53"/>
    </row>
    <row r="22" customFormat="false" ht="15" hidden="false" customHeight="false" outlineLevel="0" collapsed="false">
      <c r="A22" s="53"/>
      <c r="B22" s="53"/>
      <c r="C22" s="53"/>
    </row>
    <row r="23" customFormat="false" ht="15" hidden="false" customHeight="false" outlineLevel="0" collapsed="false">
      <c r="A23" s="53"/>
      <c r="B23" s="53"/>
      <c r="C23" s="53"/>
    </row>
    <row r="24" customFormat="false" ht="15" hidden="false" customHeight="false" outlineLevel="0" collapsed="false">
      <c r="A24" s="53"/>
      <c r="B24" s="53"/>
      <c r="C24" s="53"/>
    </row>
    <row r="25" customFormat="false" ht="15" hidden="false" customHeight="false" outlineLevel="0" collapsed="false">
      <c r="A25" s="53"/>
      <c r="B25" s="53"/>
      <c r="C25" s="53"/>
    </row>
    <row r="26" customFormat="false" ht="15" hidden="false" customHeight="false" outlineLevel="0" collapsed="false">
      <c r="A26" s="53"/>
      <c r="B26" s="53"/>
      <c r="C26" s="53"/>
    </row>
    <row r="27" customFormat="false" ht="15" hidden="false" customHeight="false" outlineLevel="0" collapsed="false">
      <c r="A27" s="53"/>
      <c r="B27" s="53"/>
      <c r="C27" s="53"/>
    </row>
    <row r="28" customFormat="false" ht="15" hidden="false" customHeight="false" outlineLevel="0" collapsed="false">
      <c r="A28" s="53"/>
      <c r="B28" s="53"/>
      <c r="C28" s="53"/>
    </row>
    <row r="29" customFormat="false" ht="15" hidden="false" customHeight="false" outlineLevel="0" collapsed="false">
      <c r="A29" s="53"/>
      <c r="B29" s="53"/>
      <c r="C29" s="53"/>
    </row>
    <row r="30" customFormat="false" ht="15" hidden="false" customHeight="false" outlineLevel="0" collapsed="false">
      <c r="A30" s="53"/>
      <c r="B30" s="53"/>
      <c r="C30" s="53"/>
    </row>
    <row r="31" customFormat="false" ht="15" hidden="false" customHeight="false" outlineLevel="0" collapsed="false">
      <c r="A31" s="53"/>
      <c r="B31" s="53"/>
      <c r="C31" s="53"/>
    </row>
    <row r="32" customFormat="false" ht="15" hidden="false" customHeight="false" outlineLevel="0" collapsed="false">
      <c r="A32" s="53"/>
      <c r="B32" s="53"/>
      <c r="C32" s="53"/>
    </row>
    <row r="33" customFormat="false" ht="15" hidden="false" customHeight="false" outlineLevel="0" collapsed="false">
      <c r="A33" s="53"/>
      <c r="B33" s="53"/>
      <c r="C33" s="53"/>
    </row>
    <row r="34" customFormat="false" ht="15" hidden="false" customHeight="false" outlineLevel="0" collapsed="false">
      <c r="A34" s="53"/>
      <c r="B34" s="53"/>
      <c r="C34" s="53"/>
    </row>
    <row r="35" customFormat="false" ht="15" hidden="false" customHeight="false" outlineLevel="0" collapsed="false">
      <c r="A35" s="53"/>
      <c r="B35" s="53"/>
      <c r="C35" s="53"/>
    </row>
    <row r="36" customFormat="false" ht="15" hidden="false" customHeight="false" outlineLevel="0" collapsed="false">
      <c r="A36" s="53"/>
      <c r="B36" s="53"/>
      <c r="C36" s="53"/>
    </row>
    <row r="37" customFormat="false" ht="15" hidden="false" customHeight="false" outlineLevel="0" collapsed="false">
      <c r="A37" s="53"/>
      <c r="B37" s="53"/>
      <c r="C37" s="53"/>
    </row>
    <row r="38" customFormat="false" ht="15" hidden="false" customHeight="false" outlineLevel="0" collapsed="false">
      <c r="A38" s="53"/>
      <c r="B38" s="53"/>
      <c r="C38" s="53"/>
    </row>
    <row r="39" customFormat="false" ht="15" hidden="false" customHeight="false" outlineLevel="0" collapsed="false">
      <c r="A39" s="53"/>
      <c r="B39" s="53"/>
      <c r="C39" s="53"/>
    </row>
    <row r="40" customFormat="false" ht="15" hidden="false" customHeight="false" outlineLevel="0" collapsed="false">
      <c r="A40" s="53"/>
      <c r="B40" s="53"/>
      <c r="C40" s="53"/>
    </row>
    <row r="41" customFormat="false" ht="15" hidden="false" customHeight="false" outlineLevel="0" collapsed="false">
      <c r="A41" s="53"/>
      <c r="B41" s="53"/>
      <c r="C41" s="53"/>
    </row>
    <row r="42" customFormat="false" ht="15" hidden="false" customHeight="false" outlineLevel="0" collapsed="false">
      <c r="A42" s="53"/>
      <c r="B42" s="53"/>
      <c r="C42" s="53"/>
    </row>
    <row r="43" customFormat="false" ht="15" hidden="false" customHeight="false" outlineLevel="0" collapsed="false">
      <c r="A43" s="53"/>
      <c r="B43" s="53"/>
      <c r="C43" s="5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4" hidden="false" customHeight="false" outlineLevel="0" collapsed="false">
      <c r="A1" s="54" t="s">
        <v>122</v>
      </c>
    </row>
    <row r="2" customFormat="false" ht="15" hidden="false" customHeight="false" outlineLevel="0" collapsed="false">
      <c r="A2" s="18" t="s">
        <v>123</v>
      </c>
    </row>
    <row r="3" customFormat="false" ht="15" hidden="false" customHeight="false" outlineLevel="0" collapsed="false">
      <c r="A3" s="8" t="s">
        <v>35</v>
      </c>
      <c r="B3" s="8" t="s">
        <v>124</v>
      </c>
      <c r="C3" s="8" t="s">
        <v>125</v>
      </c>
      <c r="E3" s="8" t="s">
        <v>38</v>
      </c>
      <c r="F3" s="8" t="s">
        <v>124</v>
      </c>
      <c r="G3" s="8" t="s">
        <v>125</v>
      </c>
    </row>
    <row r="4" customFormat="false" ht="15" hidden="false" customHeight="false" outlineLevel="0" collapsed="false">
      <c r="A4" s="0" t="str">
        <f aca="false">IFERROR(INDEX(클레임목록!$C$2:$C$2000,MATCH(ROW()-3,클레임목록!$P$2:$P$2000,0)),"")</f>
        <v>유은영</v>
      </c>
      <c r="B4" s="0" t="n">
        <f aca="false">IF(A4="","",COUNTIFS(데이터_제공인력,A4,데이터_연도,기준연도))</f>
        <v>1</v>
      </c>
      <c r="C4" s="55" t="n">
        <f aca="false">IF(A4="","",B4-ROW()/100000)</f>
        <v>0.99996</v>
      </c>
      <c r="E4" s="0" t="str">
        <f aca="false">IFERROR(INDEX(클레임목록!$F$2:$F$2000,MATCH(ROW()-3,클레임목록!$Q$2:$Q$2000,0)),"")</f>
        <v>조기퇴근</v>
      </c>
      <c r="F4" s="15" t="n">
        <f aca="false">IF(E4="","",COUNTIFS(데이터_내용,E4,데이터_연도,기준연도))</f>
        <v>1</v>
      </c>
      <c r="G4" s="55" t="n">
        <f aca="false">IF(E4="","",F4-ROW()/100000)</f>
        <v>0.99996</v>
      </c>
    </row>
    <row r="5" customFormat="false" ht="15" hidden="false" customHeight="false" outlineLevel="0" collapsed="false">
      <c r="A5" s="0" t="str">
        <f aca="false">IFERROR(INDEX(클레임목록!$C$2:$C$2000,MATCH(ROW()-3,클레임목록!$P$2:$P$2000,0)),"")</f>
        <v/>
      </c>
      <c r="B5" s="0" t="str">
        <f aca="false">IF(A5="","",COUNTIFS(데이터_제공인력,A5,데이터_연도,기준연도))</f>
        <v/>
      </c>
      <c r="C5" s="55" t="str">
        <f aca="false">IF(A5="","",B5-ROW()/100000)</f>
        <v/>
      </c>
      <c r="E5" s="0" t="str">
        <f aca="false">IFERROR(INDEX(클레임목록!$F$2:$F$2000,MATCH(ROW()-3,클레임목록!$Q$2:$Q$2000,0)),"")</f>
        <v>휴대폰사용</v>
      </c>
      <c r="F5" s="15" t="n">
        <f aca="false">IF(E5="","",COUNTIFS(데이터_내용,E5,데이터_연도,기준연도))</f>
        <v>1</v>
      </c>
      <c r="G5" s="55" t="n">
        <f aca="false">IF(E5="","",F5-ROW()/100000)</f>
        <v>0.99995</v>
      </c>
    </row>
    <row r="6" customFormat="false" ht="15" hidden="false" customHeight="false" outlineLevel="0" collapsed="false">
      <c r="A6" s="0" t="str">
        <f aca="false">IFERROR(INDEX(클레임목록!$C$2:$C$2000,MATCH(ROW()-3,클레임목록!$P$2:$P$2000,0)),"")</f>
        <v/>
      </c>
      <c r="B6" s="0" t="str">
        <f aca="false">IF(A6="","",COUNTIFS(데이터_제공인력,A6,데이터_연도,기준연도))</f>
        <v/>
      </c>
      <c r="C6" s="55" t="str">
        <f aca="false">IF(A6="","",B6-ROW()/100000)</f>
        <v/>
      </c>
      <c r="E6" s="0" t="str">
        <f aca="false">IFERROR(INDEX(클레임목록!$F$2:$F$2000,MATCH(ROW()-3,클레임목록!$Q$2:$Q$2000,0)),"")</f>
        <v/>
      </c>
      <c r="F6" s="0" t="str">
        <f aca="false">IF(E6="","",COUNTIFS(데이터_내용,E6,데이터_연도,기준연도))</f>
        <v/>
      </c>
      <c r="G6" s="55" t="str">
        <f aca="false">IF(E6="","",F6-ROW()/100000)</f>
        <v/>
      </c>
    </row>
    <row r="7" customFormat="false" ht="15" hidden="false" customHeight="false" outlineLevel="0" collapsed="false">
      <c r="A7" s="0" t="str">
        <f aca="false">IFERROR(INDEX(클레임목록!$C$2:$C$2000,MATCH(ROW()-3,클레임목록!$P$2:$P$2000,0)),"")</f>
        <v/>
      </c>
      <c r="B7" s="0" t="str">
        <f aca="false">IF(A7="","",COUNTIFS(데이터_제공인력,A7,데이터_연도,기준연도))</f>
        <v/>
      </c>
      <c r="C7" s="55" t="str">
        <f aca="false">IF(A7="","",B7-ROW()/100000)</f>
        <v/>
      </c>
      <c r="E7" s="0" t="str">
        <f aca="false">IFERROR(INDEX(클레임목록!$F$2:$F$2000,MATCH(ROW()-3,클레임목록!$Q$2:$Q$2000,0)),"")</f>
        <v/>
      </c>
      <c r="F7" s="0" t="str">
        <f aca="false">IF(E7="","",COUNTIFS(데이터_내용,E7,데이터_연도,기준연도))</f>
        <v/>
      </c>
      <c r="G7" s="55" t="str">
        <f aca="false">IF(E7="","",F7-ROW()/100000)</f>
        <v/>
      </c>
    </row>
    <row r="8" customFormat="false" ht="15" hidden="false" customHeight="false" outlineLevel="0" collapsed="false">
      <c r="A8" s="0" t="str">
        <f aca="false">IFERROR(INDEX(클레임목록!$C$2:$C$2000,MATCH(ROW()-3,클레임목록!$P$2:$P$2000,0)),"")</f>
        <v/>
      </c>
      <c r="B8" s="0" t="str">
        <f aca="false">IF(A8="","",COUNTIFS(데이터_제공인력,A8,데이터_연도,기준연도))</f>
        <v/>
      </c>
      <c r="C8" s="55" t="str">
        <f aca="false">IF(A8="","",B8-ROW()/100000)</f>
        <v/>
      </c>
      <c r="E8" s="0" t="str">
        <f aca="false">IFERROR(INDEX(클레임목록!$F$2:$F$2000,MATCH(ROW()-3,클레임목록!$Q$2:$Q$2000,0)),"")</f>
        <v/>
      </c>
      <c r="F8" s="0" t="str">
        <f aca="false">IF(E8="","",COUNTIFS(데이터_내용,E8,데이터_연도,기준연도))</f>
        <v/>
      </c>
      <c r="G8" s="55" t="str">
        <f aca="false">IF(E8="","",F8-ROW()/100000)</f>
        <v/>
      </c>
    </row>
    <row r="9" customFormat="false" ht="15" hidden="false" customHeight="false" outlineLevel="0" collapsed="false">
      <c r="A9" s="0" t="str">
        <f aca="false">IFERROR(INDEX(클레임목록!$C$2:$C$2000,MATCH(ROW()-3,클레임목록!$P$2:$P$2000,0)),"")</f>
        <v/>
      </c>
      <c r="B9" s="0" t="str">
        <f aca="false">IF(A9="","",COUNTIFS(데이터_제공인력,A9,데이터_연도,기준연도))</f>
        <v/>
      </c>
      <c r="C9" s="55" t="str">
        <f aca="false">IF(A9="","",B9-ROW()/100000)</f>
        <v/>
      </c>
      <c r="E9" s="0" t="str">
        <f aca="false">IFERROR(INDEX(클레임목록!$F$2:$F$2000,MATCH(ROW()-3,클레임목록!$Q$2:$Q$2000,0)),"")</f>
        <v/>
      </c>
      <c r="F9" s="0" t="str">
        <f aca="false">IF(E9="","",COUNTIFS(데이터_내용,E9,데이터_연도,기준연도))</f>
        <v/>
      </c>
      <c r="G9" s="55" t="str">
        <f aca="false">IF(E9="","",F9-ROW()/100000)</f>
        <v/>
      </c>
    </row>
    <row r="10" customFormat="false" ht="15" hidden="false" customHeight="false" outlineLevel="0" collapsed="false">
      <c r="A10" s="0" t="str">
        <f aca="false">IFERROR(INDEX(클레임목록!$C$2:$C$2000,MATCH(ROW()-3,클레임목록!$P$2:$P$2000,0)),"")</f>
        <v/>
      </c>
      <c r="B10" s="0" t="str">
        <f aca="false">IF(A10="","",COUNTIFS(데이터_제공인력,A10,데이터_연도,기준연도))</f>
        <v/>
      </c>
      <c r="C10" s="55" t="str">
        <f aca="false">IF(A10="","",B10-ROW()/100000)</f>
        <v/>
      </c>
      <c r="E10" s="0" t="str">
        <f aca="false">IFERROR(INDEX(클레임목록!$F$2:$F$2000,MATCH(ROW()-3,클레임목록!$Q$2:$Q$2000,0)),"")</f>
        <v/>
      </c>
      <c r="F10" s="0" t="str">
        <f aca="false">IF(E10="","",COUNTIFS(데이터_내용,E10,데이터_연도,기준연도))</f>
        <v/>
      </c>
      <c r="G10" s="55" t="str">
        <f aca="false">IF(E10="","",F10-ROW()/100000)</f>
        <v/>
      </c>
    </row>
    <row r="11" customFormat="false" ht="15" hidden="false" customHeight="false" outlineLevel="0" collapsed="false">
      <c r="A11" s="0" t="str">
        <f aca="false">IFERROR(INDEX(클레임목록!$C$2:$C$2000,MATCH(ROW()-3,클레임목록!$P$2:$P$2000,0)),"")</f>
        <v/>
      </c>
      <c r="B11" s="0" t="str">
        <f aca="false">IF(A11="","",COUNTIFS(데이터_제공인력,A11,데이터_연도,기준연도))</f>
        <v/>
      </c>
      <c r="C11" s="55" t="str">
        <f aca="false">IF(A11="","",B11-ROW()/100000)</f>
        <v/>
      </c>
      <c r="E11" s="0" t="str">
        <f aca="false">IFERROR(INDEX(클레임목록!$F$2:$F$2000,MATCH(ROW()-3,클레임목록!$Q$2:$Q$2000,0)),"")</f>
        <v/>
      </c>
      <c r="F11" s="0" t="str">
        <f aca="false">IF(E11="","",COUNTIFS(데이터_내용,E11,데이터_연도,기준연도))</f>
        <v/>
      </c>
      <c r="G11" s="55" t="str">
        <f aca="false">IF(E11="","",F11-ROW()/100000)</f>
        <v/>
      </c>
    </row>
    <row r="12" customFormat="false" ht="15" hidden="false" customHeight="false" outlineLevel="0" collapsed="false">
      <c r="A12" s="0" t="str">
        <f aca="false">IFERROR(INDEX(클레임목록!$C$2:$C$2000,MATCH(ROW()-3,클레임목록!$P$2:$P$2000,0)),"")</f>
        <v/>
      </c>
      <c r="B12" s="0" t="str">
        <f aca="false">IF(A12="","",COUNTIFS(데이터_제공인력,A12,데이터_연도,기준연도))</f>
        <v/>
      </c>
      <c r="C12" s="55" t="str">
        <f aca="false">IF(A12="","",B12-ROW()/100000)</f>
        <v/>
      </c>
      <c r="E12" s="0" t="str">
        <f aca="false">IFERROR(INDEX(클레임목록!$F$2:$F$2000,MATCH(ROW()-3,클레임목록!$Q$2:$Q$2000,0)),"")</f>
        <v/>
      </c>
      <c r="F12" s="0" t="str">
        <f aca="false">IF(E12="","",COUNTIFS(데이터_내용,E12,데이터_연도,기준연도))</f>
        <v/>
      </c>
      <c r="G12" s="55" t="str">
        <f aca="false">IF(E12="","",F12-ROW()/100000)</f>
        <v/>
      </c>
    </row>
    <row r="13" customFormat="false" ht="15" hidden="false" customHeight="false" outlineLevel="0" collapsed="false">
      <c r="A13" s="0" t="str">
        <f aca="false">IFERROR(INDEX(클레임목록!$C$2:$C$2000,MATCH(ROW()-3,클레임목록!$P$2:$P$2000,0)),"")</f>
        <v/>
      </c>
      <c r="B13" s="0" t="str">
        <f aca="false">IF(A13="","",COUNTIFS(데이터_제공인력,A13,데이터_연도,기준연도))</f>
        <v/>
      </c>
      <c r="C13" s="55" t="str">
        <f aca="false">IF(A13="","",B13-ROW()/100000)</f>
        <v/>
      </c>
      <c r="E13" s="0" t="str">
        <f aca="false">IFERROR(INDEX(클레임목록!$F$2:$F$2000,MATCH(ROW()-3,클레임목록!$Q$2:$Q$2000,0)),"")</f>
        <v/>
      </c>
      <c r="F13" s="0" t="str">
        <f aca="false">IF(E13="","",COUNTIFS(데이터_내용,E13,데이터_연도,기준연도))</f>
        <v/>
      </c>
      <c r="G13" s="55" t="str">
        <f aca="false">IF(E13="","",F13-ROW()/100000)</f>
        <v/>
      </c>
    </row>
    <row r="14" customFormat="false" ht="15" hidden="false" customHeight="false" outlineLevel="0" collapsed="false">
      <c r="A14" s="0" t="str">
        <f aca="false">IFERROR(INDEX(클레임목록!$C$2:$C$2000,MATCH(ROW()-3,클레임목록!$P$2:$P$2000,0)),"")</f>
        <v/>
      </c>
      <c r="B14" s="0" t="str">
        <f aca="false">IF(A14="","",COUNTIFS(데이터_제공인력,A14,데이터_연도,기준연도))</f>
        <v/>
      </c>
      <c r="C14" s="55" t="str">
        <f aca="false">IF(A14="","",B14-ROW()/100000)</f>
        <v/>
      </c>
      <c r="E14" s="0" t="str">
        <f aca="false">IFERROR(INDEX(클레임목록!$F$2:$F$2000,MATCH(ROW()-3,클레임목록!$Q$2:$Q$2000,0)),"")</f>
        <v/>
      </c>
      <c r="F14" s="0" t="str">
        <f aca="false">IF(E14="","",COUNTIFS(데이터_내용,E14,데이터_연도,기준연도))</f>
        <v/>
      </c>
      <c r="G14" s="55" t="str">
        <f aca="false">IF(E14="","",F14-ROW()/100000)</f>
        <v/>
      </c>
    </row>
    <row r="15" customFormat="false" ht="15" hidden="false" customHeight="false" outlineLevel="0" collapsed="false">
      <c r="A15" s="0" t="str">
        <f aca="false">IFERROR(INDEX(클레임목록!$C$2:$C$2000,MATCH(ROW()-3,클레임목록!$P$2:$P$2000,0)),"")</f>
        <v/>
      </c>
      <c r="B15" s="0" t="str">
        <f aca="false">IF(A15="","",COUNTIFS(데이터_제공인력,A15,데이터_연도,기준연도))</f>
        <v/>
      </c>
      <c r="C15" s="55" t="str">
        <f aca="false">IF(A15="","",B15-ROW()/100000)</f>
        <v/>
      </c>
      <c r="E15" s="0" t="str">
        <f aca="false">IFERROR(INDEX(클레임목록!$F$2:$F$2000,MATCH(ROW()-3,클레임목록!$Q$2:$Q$2000,0)),"")</f>
        <v/>
      </c>
      <c r="F15" s="0" t="str">
        <f aca="false">IF(E15="","",COUNTIFS(데이터_내용,E15,데이터_연도,기준연도))</f>
        <v/>
      </c>
      <c r="G15" s="55" t="str">
        <f aca="false">IF(E15="","",F15-ROW()/100000)</f>
        <v/>
      </c>
    </row>
    <row r="16" customFormat="false" ht="15" hidden="false" customHeight="false" outlineLevel="0" collapsed="false">
      <c r="A16" s="0" t="str">
        <f aca="false">IFERROR(INDEX(클레임목록!$C$2:$C$2000,MATCH(ROW()-3,클레임목록!$P$2:$P$2000,0)),"")</f>
        <v/>
      </c>
      <c r="B16" s="0" t="str">
        <f aca="false">IF(A16="","",COUNTIFS(데이터_제공인력,A16,데이터_연도,기준연도))</f>
        <v/>
      </c>
      <c r="C16" s="55" t="str">
        <f aca="false">IF(A16="","",B16-ROW()/100000)</f>
        <v/>
      </c>
      <c r="E16" s="0" t="str">
        <f aca="false">IFERROR(INDEX(클레임목록!$F$2:$F$2000,MATCH(ROW()-3,클레임목록!$Q$2:$Q$2000,0)),"")</f>
        <v/>
      </c>
      <c r="F16" s="0" t="str">
        <f aca="false">IF(E16="","",COUNTIFS(데이터_내용,E16,데이터_연도,기준연도))</f>
        <v/>
      </c>
      <c r="G16" s="55" t="str">
        <f aca="false">IF(E16="","",F16-ROW()/100000)</f>
        <v/>
      </c>
    </row>
    <row r="17" customFormat="false" ht="15" hidden="false" customHeight="false" outlineLevel="0" collapsed="false">
      <c r="A17" s="0" t="str">
        <f aca="false">IFERROR(INDEX(클레임목록!$C$2:$C$2000,MATCH(ROW()-3,클레임목록!$P$2:$P$2000,0)),"")</f>
        <v/>
      </c>
      <c r="B17" s="0" t="str">
        <f aca="false">IF(A17="","",COUNTIFS(데이터_제공인력,A17,데이터_연도,기준연도))</f>
        <v/>
      </c>
      <c r="C17" s="55" t="str">
        <f aca="false">IF(A17="","",B17-ROW()/100000)</f>
        <v/>
      </c>
      <c r="E17" s="0" t="str">
        <f aca="false">IFERROR(INDEX(클레임목록!$F$2:$F$2000,MATCH(ROW()-3,클레임목록!$Q$2:$Q$2000,0)),"")</f>
        <v/>
      </c>
      <c r="F17" s="0" t="str">
        <f aca="false">IF(E17="","",COUNTIFS(데이터_내용,E17,데이터_연도,기준연도))</f>
        <v/>
      </c>
      <c r="G17" s="55" t="str">
        <f aca="false">IF(E17="","",F17-ROW()/100000)</f>
        <v/>
      </c>
    </row>
    <row r="18" customFormat="false" ht="15" hidden="false" customHeight="false" outlineLevel="0" collapsed="false">
      <c r="A18" s="0" t="str">
        <f aca="false">IFERROR(INDEX(클레임목록!$C$2:$C$2000,MATCH(ROW()-3,클레임목록!$P$2:$P$2000,0)),"")</f>
        <v/>
      </c>
      <c r="B18" s="0" t="str">
        <f aca="false">IF(A18="","",COUNTIFS(데이터_제공인력,A18,데이터_연도,기준연도))</f>
        <v/>
      </c>
      <c r="C18" s="55" t="str">
        <f aca="false">IF(A18="","",B18-ROW()/100000)</f>
        <v/>
      </c>
      <c r="E18" s="0" t="str">
        <f aca="false">IFERROR(INDEX(클레임목록!$F$2:$F$2000,MATCH(ROW()-3,클레임목록!$Q$2:$Q$2000,0)),"")</f>
        <v/>
      </c>
      <c r="F18" s="0" t="str">
        <f aca="false">IF(E18="","",COUNTIFS(데이터_내용,E18,데이터_연도,기준연도))</f>
        <v/>
      </c>
      <c r="G18" s="55" t="str">
        <f aca="false">IF(E18="","",F18-ROW()/100000)</f>
        <v/>
      </c>
    </row>
    <row r="19" customFormat="false" ht="15" hidden="false" customHeight="false" outlineLevel="0" collapsed="false">
      <c r="A19" s="0" t="str">
        <f aca="false">IFERROR(INDEX(클레임목록!$C$2:$C$2000,MATCH(ROW()-3,클레임목록!$P$2:$P$2000,0)),"")</f>
        <v/>
      </c>
      <c r="B19" s="0" t="str">
        <f aca="false">IF(A19="","",COUNTIFS(데이터_제공인력,A19,데이터_연도,기준연도))</f>
        <v/>
      </c>
      <c r="C19" s="55" t="str">
        <f aca="false">IF(A19="","",B19-ROW()/100000)</f>
        <v/>
      </c>
      <c r="E19" s="0" t="str">
        <f aca="false">IFERROR(INDEX(클레임목록!$F$2:$F$2000,MATCH(ROW()-3,클레임목록!$Q$2:$Q$2000,0)),"")</f>
        <v/>
      </c>
      <c r="F19" s="0" t="str">
        <f aca="false">IF(E19="","",COUNTIFS(데이터_내용,E19,데이터_연도,기준연도))</f>
        <v/>
      </c>
      <c r="G19" s="55" t="str">
        <f aca="false">IF(E19="","",F19-ROW()/100000)</f>
        <v/>
      </c>
    </row>
    <row r="20" customFormat="false" ht="15" hidden="false" customHeight="false" outlineLevel="0" collapsed="false">
      <c r="A20" s="0" t="str">
        <f aca="false">IFERROR(INDEX(클레임목록!$C$2:$C$2000,MATCH(ROW()-3,클레임목록!$P$2:$P$2000,0)),"")</f>
        <v/>
      </c>
      <c r="B20" s="0" t="str">
        <f aca="false">IF(A20="","",COUNTIFS(데이터_제공인력,A20,데이터_연도,기준연도))</f>
        <v/>
      </c>
      <c r="C20" s="55" t="str">
        <f aca="false">IF(A20="","",B20-ROW()/100000)</f>
        <v/>
      </c>
      <c r="E20" s="0" t="str">
        <f aca="false">IFERROR(INDEX(클레임목록!$F$2:$F$2000,MATCH(ROW()-3,클레임목록!$Q$2:$Q$2000,0)),"")</f>
        <v/>
      </c>
      <c r="F20" s="0" t="str">
        <f aca="false">IF(E20="","",COUNTIFS(데이터_내용,E20,데이터_연도,기준연도))</f>
        <v/>
      </c>
      <c r="G20" s="55" t="str">
        <f aca="false">IF(E20="","",F20-ROW()/100000)</f>
        <v/>
      </c>
    </row>
    <row r="21" customFormat="false" ht="15" hidden="false" customHeight="false" outlineLevel="0" collapsed="false">
      <c r="A21" s="0" t="str">
        <f aca="false">IFERROR(INDEX(클레임목록!$C$2:$C$2000,MATCH(ROW()-3,클레임목록!$P$2:$P$2000,0)),"")</f>
        <v/>
      </c>
      <c r="B21" s="0" t="str">
        <f aca="false">IF(A21="","",COUNTIFS(데이터_제공인력,A21,데이터_연도,기준연도))</f>
        <v/>
      </c>
      <c r="C21" s="55" t="str">
        <f aca="false">IF(A21="","",B21-ROW()/100000)</f>
        <v/>
      </c>
      <c r="E21" s="0" t="str">
        <f aca="false">IFERROR(INDEX(클레임목록!$F$2:$F$2000,MATCH(ROW()-3,클레임목록!$Q$2:$Q$2000,0)),"")</f>
        <v/>
      </c>
      <c r="F21" s="0" t="str">
        <f aca="false">IF(E21="","",COUNTIFS(데이터_내용,E21,데이터_연도,기준연도))</f>
        <v/>
      </c>
      <c r="G21" s="55" t="str">
        <f aca="false">IF(E21="","",F21-ROW()/100000)</f>
        <v/>
      </c>
    </row>
    <row r="22" customFormat="false" ht="15" hidden="false" customHeight="false" outlineLevel="0" collapsed="false">
      <c r="A22" s="0" t="str">
        <f aca="false">IFERROR(INDEX(클레임목록!$C$2:$C$2000,MATCH(ROW()-3,클레임목록!$P$2:$P$2000,0)),"")</f>
        <v/>
      </c>
      <c r="B22" s="0" t="str">
        <f aca="false">IF(A22="","",COUNTIFS(데이터_제공인력,A22,데이터_연도,기준연도))</f>
        <v/>
      </c>
      <c r="C22" s="55" t="str">
        <f aca="false">IF(A22="","",B22-ROW()/100000)</f>
        <v/>
      </c>
      <c r="E22" s="0" t="str">
        <f aca="false">IFERROR(INDEX(클레임목록!$F$2:$F$2000,MATCH(ROW()-3,클레임목록!$Q$2:$Q$2000,0)),"")</f>
        <v/>
      </c>
      <c r="F22" s="0" t="str">
        <f aca="false">IF(E22="","",COUNTIFS(데이터_내용,E22,데이터_연도,기준연도))</f>
        <v/>
      </c>
      <c r="G22" s="55" t="str">
        <f aca="false">IF(E22="","",F22-ROW()/100000)</f>
        <v/>
      </c>
    </row>
    <row r="23" customFormat="false" ht="15" hidden="false" customHeight="false" outlineLevel="0" collapsed="false">
      <c r="A23" s="0" t="str">
        <f aca="false">IFERROR(INDEX(클레임목록!$C$2:$C$2000,MATCH(ROW()-3,클레임목록!$P$2:$P$2000,0)),"")</f>
        <v/>
      </c>
      <c r="B23" s="0" t="str">
        <f aca="false">IF(A23="","",COUNTIFS(데이터_제공인력,A23,데이터_연도,기준연도))</f>
        <v/>
      </c>
      <c r="C23" s="55" t="str">
        <f aca="false">IF(A23="","",B23-ROW()/100000)</f>
        <v/>
      </c>
      <c r="E23" s="0" t="str">
        <f aca="false">IFERROR(INDEX(클레임목록!$F$2:$F$2000,MATCH(ROW()-3,클레임목록!$Q$2:$Q$2000,0)),"")</f>
        <v/>
      </c>
      <c r="F23" s="0" t="str">
        <f aca="false">IF(E23="","",COUNTIFS(데이터_내용,E23,데이터_연도,기준연도))</f>
        <v/>
      </c>
      <c r="G23" s="55" t="str">
        <f aca="false">IF(E23="","",F23-ROW()/100000)</f>
        <v/>
      </c>
    </row>
    <row r="24" customFormat="false" ht="15" hidden="false" customHeight="false" outlineLevel="0" collapsed="false">
      <c r="A24" s="0" t="str">
        <f aca="false">IFERROR(INDEX(클레임목록!$C$2:$C$2000,MATCH(ROW()-3,클레임목록!$P$2:$P$2000,0)),"")</f>
        <v/>
      </c>
      <c r="B24" s="0" t="str">
        <f aca="false">IF(A24="","",COUNTIFS(데이터_제공인력,A24,데이터_연도,기준연도))</f>
        <v/>
      </c>
      <c r="C24" s="55" t="str">
        <f aca="false">IF(A24="","",B24-ROW()/100000)</f>
        <v/>
      </c>
      <c r="E24" s="0" t="str">
        <f aca="false">IFERROR(INDEX(클레임목록!$F$2:$F$2000,MATCH(ROW()-3,클레임목록!$Q$2:$Q$2000,0)),"")</f>
        <v/>
      </c>
      <c r="F24" s="0" t="str">
        <f aca="false">IF(E24="","",COUNTIFS(데이터_내용,E24,데이터_연도,기준연도))</f>
        <v/>
      </c>
      <c r="G24" s="55" t="str">
        <f aca="false">IF(E24="","",F24-ROW()/100000)</f>
        <v/>
      </c>
    </row>
    <row r="25" customFormat="false" ht="15" hidden="false" customHeight="false" outlineLevel="0" collapsed="false">
      <c r="A25" s="0" t="str">
        <f aca="false">IFERROR(INDEX(클레임목록!$C$2:$C$2000,MATCH(ROW()-3,클레임목록!$P$2:$P$2000,0)),"")</f>
        <v/>
      </c>
      <c r="B25" s="0" t="str">
        <f aca="false">IF(A25="","",COUNTIFS(데이터_제공인력,A25,데이터_연도,기준연도))</f>
        <v/>
      </c>
      <c r="C25" s="55" t="str">
        <f aca="false">IF(A25="","",B25-ROW()/100000)</f>
        <v/>
      </c>
      <c r="E25" s="0" t="str">
        <f aca="false">IFERROR(INDEX(클레임목록!$F$2:$F$2000,MATCH(ROW()-3,클레임목록!$Q$2:$Q$2000,0)),"")</f>
        <v/>
      </c>
      <c r="F25" s="0" t="str">
        <f aca="false">IF(E25="","",COUNTIFS(데이터_내용,E25,데이터_연도,기준연도))</f>
        <v/>
      </c>
      <c r="G25" s="55" t="str">
        <f aca="false">IF(E25="","",F25-ROW()/100000)</f>
        <v/>
      </c>
    </row>
    <row r="26" customFormat="false" ht="15" hidden="false" customHeight="false" outlineLevel="0" collapsed="false">
      <c r="A26" s="0" t="str">
        <f aca="false">IFERROR(INDEX(클레임목록!$C$2:$C$2000,MATCH(ROW()-3,클레임목록!$P$2:$P$2000,0)),"")</f>
        <v/>
      </c>
      <c r="B26" s="0" t="str">
        <f aca="false">IF(A26="","",COUNTIFS(데이터_제공인력,A26,데이터_연도,기준연도))</f>
        <v/>
      </c>
      <c r="C26" s="55" t="str">
        <f aca="false">IF(A26="","",B26-ROW()/100000)</f>
        <v/>
      </c>
      <c r="E26" s="0" t="str">
        <f aca="false">IFERROR(INDEX(클레임목록!$F$2:$F$2000,MATCH(ROW()-3,클레임목록!$Q$2:$Q$2000,0)),"")</f>
        <v/>
      </c>
      <c r="F26" s="0" t="str">
        <f aca="false">IF(E26="","",COUNTIFS(데이터_내용,E26,데이터_연도,기준연도))</f>
        <v/>
      </c>
      <c r="G26" s="55" t="str">
        <f aca="false">IF(E26="","",F26-ROW()/100000)</f>
        <v/>
      </c>
    </row>
    <row r="27" customFormat="false" ht="15" hidden="false" customHeight="false" outlineLevel="0" collapsed="false">
      <c r="A27" s="0" t="str">
        <f aca="false">IFERROR(INDEX(클레임목록!$C$2:$C$2000,MATCH(ROW()-3,클레임목록!$P$2:$P$2000,0)),"")</f>
        <v/>
      </c>
      <c r="B27" s="0" t="str">
        <f aca="false">IF(A27="","",COUNTIFS(데이터_제공인력,A27,데이터_연도,기준연도))</f>
        <v/>
      </c>
      <c r="C27" s="55" t="str">
        <f aca="false">IF(A27="","",B27-ROW()/100000)</f>
        <v/>
      </c>
      <c r="E27" s="0" t="str">
        <f aca="false">IFERROR(INDEX(클레임목록!$F$2:$F$2000,MATCH(ROW()-3,클레임목록!$Q$2:$Q$2000,0)),"")</f>
        <v/>
      </c>
      <c r="F27" s="0" t="str">
        <f aca="false">IF(E27="","",COUNTIFS(데이터_내용,E27,데이터_연도,기준연도))</f>
        <v/>
      </c>
      <c r="G27" s="55" t="str">
        <f aca="false">IF(E27="","",F27-ROW()/100000)</f>
        <v/>
      </c>
    </row>
    <row r="28" customFormat="false" ht="15" hidden="false" customHeight="false" outlineLevel="0" collapsed="false">
      <c r="A28" s="0" t="str">
        <f aca="false">IFERROR(INDEX(클레임목록!$C$2:$C$2000,MATCH(ROW()-3,클레임목록!$P$2:$P$2000,0)),"")</f>
        <v/>
      </c>
      <c r="B28" s="0" t="str">
        <f aca="false">IF(A28="","",COUNTIFS(데이터_제공인력,A28,데이터_연도,기준연도))</f>
        <v/>
      </c>
      <c r="C28" s="55" t="str">
        <f aca="false">IF(A28="","",B28-ROW()/100000)</f>
        <v/>
      </c>
      <c r="E28" s="0" t="str">
        <f aca="false">IFERROR(INDEX(클레임목록!$F$2:$F$2000,MATCH(ROW()-3,클레임목록!$Q$2:$Q$2000,0)),"")</f>
        <v/>
      </c>
      <c r="F28" s="0" t="str">
        <f aca="false">IF(E28="","",COUNTIFS(데이터_내용,E28,데이터_연도,기준연도))</f>
        <v/>
      </c>
      <c r="G28" s="55" t="str">
        <f aca="false">IF(E28="","",F28-ROW()/100000)</f>
        <v/>
      </c>
    </row>
    <row r="29" customFormat="false" ht="15" hidden="false" customHeight="false" outlineLevel="0" collapsed="false">
      <c r="A29" s="0" t="str">
        <f aca="false">IFERROR(INDEX(클레임목록!$C$2:$C$2000,MATCH(ROW()-3,클레임목록!$P$2:$P$2000,0)),"")</f>
        <v/>
      </c>
      <c r="B29" s="0" t="str">
        <f aca="false">IF(A29="","",COUNTIFS(데이터_제공인력,A29,데이터_연도,기준연도))</f>
        <v/>
      </c>
      <c r="C29" s="55" t="str">
        <f aca="false">IF(A29="","",B29-ROW()/100000)</f>
        <v/>
      </c>
      <c r="E29" s="0" t="str">
        <f aca="false">IFERROR(INDEX(클레임목록!$F$2:$F$2000,MATCH(ROW()-3,클레임목록!$Q$2:$Q$2000,0)),"")</f>
        <v/>
      </c>
      <c r="F29" s="0" t="str">
        <f aca="false">IF(E29="","",COUNTIFS(데이터_내용,E29,데이터_연도,기준연도))</f>
        <v/>
      </c>
      <c r="G29" s="55" t="str">
        <f aca="false">IF(E29="","",F29-ROW()/100000)</f>
        <v/>
      </c>
    </row>
    <row r="30" customFormat="false" ht="15" hidden="false" customHeight="false" outlineLevel="0" collapsed="false">
      <c r="A30" s="0" t="str">
        <f aca="false">IFERROR(INDEX(클레임목록!$C$2:$C$2000,MATCH(ROW()-3,클레임목록!$P$2:$P$2000,0)),"")</f>
        <v/>
      </c>
      <c r="B30" s="0" t="str">
        <f aca="false">IF(A30="","",COUNTIFS(데이터_제공인력,A30,데이터_연도,기준연도))</f>
        <v/>
      </c>
      <c r="C30" s="55" t="str">
        <f aca="false">IF(A30="","",B30-ROW()/100000)</f>
        <v/>
      </c>
      <c r="E30" s="0" t="str">
        <f aca="false">IFERROR(INDEX(클레임목록!$F$2:$F$2000,MATCH(ROW()-3,클레임목록!$Q$2:$Q$2000,0)),"")</f>
        <v/>
      </c>
      <c r="F30" s="0" t="str">
        <f aca="false">IF(E30="","",COUNTIFS(데이터_내용,E30,데이터_연도,기준연도))</f>
        <v/>
      </c>
      <c r="G30" s="55" t="str">
        <f aca="false">IF(E30="","",F30-ROW()/100000)</f>
        <v/>
      </c>
    </row>
    <row r="31" customFormat="false" ht="15" hidden="false" customHeight="false" outlineLevel="0" collapsed="false">
      <c r="A31" s="0" t="str">
        <f aca="false">IFERROR(INDEX(클레임목록!$C$2:$C$2000,MATCH(ROW()-3,클레임목록!$P$2:$P$2000,0)),"")</f>
        <v/>
      </c>
      <c r="B31" s="0" t="str">
        <f aca="false">IF(A31="","",COUNTIFS(데이터_제공인력,A31,데이터_연도,기준연도))</f>
        <v/>
      </c>
      <c r="C31" s="55" t="str">
        <f aca="false">IF(A31="","",B31-ROW()/100000)</f>
        <v/>
      </c>
      <c r="E31" s="0" t="str">
        <f aca="false">IFERROR(INDEX(클레임목록!$F$2:$F$2000,MATCH(ROW()-3,클레임목록!$Q$2:$Q$2000,0)),"")</f>
        <v/>
      </c>
      <c r="F31" s="0" t="str">
        <f aca="false">IF(E31="","",COUNTIFS(데이터_내용,E31,데이터_연도,기준연도))</f>
        <v/>
      </c>
      <c r="G31" s="55" t="str">
        <f aca="false">IF(E31="","",F31-ROW()/100000)</f>
        <v/>
      </c>
    </row>
    <row r="32" customFormat="false" ht="15" hidden="false" customHeight="false" outlineLevel="0" collapsed="false">
      <c r="A32" s="0" t="str">
        <f aca="false">IFERROR(INDEX(클레임목록!$C$2:$C$2000,MATCH(ROW()-3,클레임목록!$P$2:$P$2000,0)),"")</f>
        <v/>
      </c>
      <c r="B32" s="0" t="str">
        <f aca="false">IF(A32="","",COUNTIFS(데이터_제공인력,A32,데이터_연도,기준연도))</f>
        <v/>
      </c>
      <c r="C32" s="55" t="str">
        <f aca="false">IF(A32="","",B32-ROW()/100000)</f>
        <v/>
      </c>
      <c r="E32" s="0" t="str">
        <f aca="false">IFERROR(INDEX(클레임목록!$F$2:$F$2000,MATCH(ROW()-3,클레임목록!$Q$2:$Q$2000,0)),"")</f>
        <v/>
      </c>
      <c r="F32" s="0" t="str">
        <f aca="false">IF(E32="","",COUNTIFS(데이터_내용,E32,데이터_연도,기준연도))</f>
        <v/>
      </c>
      <c r="G32" s="55" t="str">
        <f aca="false">IF(E32="","",F32-ROW()/100000)</f>
        <v/>
      </c>
    </row>
    <row r="33" customFormat="false" ht="15" hidden="false" customHeight="false" outlineLevel="0" collapsed="false">
      <c r="A33" s="0" t="str">
        <f aca="false">IFERROR(INDEX(클레임목록!$C$2:$C$2000,MATCH(ROW()-3,클레임목록!$P$2:$P$2000,0)),"")</f>
        <v/>
      </c>
      <c r="B33" s="0" t="str">
        <f aca="false">IF(A33="","",COUNTIFS(데이터_제공인력,A33,데이터_연도,기준연도))</f>
        <v/>
      </c>
      <c r="C33" s="55" t="str">
        <f aca="false">IF(A33="","",B33-ROW()/100000)</f>
        <v/>
      </c>
      <c r="E33" s="0" t="str">
        <f aca="false">IFERROR(INDEX(클레임목록!$F$2:$F$2000,MATCH(ROW()-3,클레임목록!$Q$2:$Q$2000,0)),"")</f>
        <v/>
      </c>
      <c r="F33" s="0" t="str">
        <f aca="false">IF(E33="","",COUNTIFS(데이터_내용,E33,데이터_연도,기준연도))</f>
        <v/>
      </c>
      <c r="G33" s="55" t="str">
        <f aca="false">IF(E33="","",F33-ROW()/100000)</f>
        <v/>
      </c>
    </row>
    <row r="34" customFormat="false" ht="15" hidden="false" customHeight="false" outlineLevel="0" collapsed="false">
      <c r="A34" s="0" t="str">
        <f aca="false">IFERROR(INDEX(클레임목록!$C$2:$C$2000,MATCH(ROW()-3,클레임목록!$P$2:$P$2000,0)),"")</f>
        <v/>
      </c>
      <c r="B34" s="0" t="str">
        <f aca="false">IF(A34="","",COUNTIFS(데이터_제공인력,A34,데이터_연도,기준연도))</f>
        <v/>
      </c>
      <c r="C34" s="55" t="str">
        <f aca="false">IF(A34="","",B34-ROW()/100000)</f>
        <v/>
      </c>
      <c r="E34" s="0" t="str">
        <f aca="false">IFERROR(INDEX(클레임목록!$F$2:$F$2000,MATCH(ROW()-3,클레임목록!$Q$2:$Q$2000,0)),"")</f>
        <v/>
      </c>
      <c r="F34" s="0" t="str">
        <f aca="false">IF(E34="","",COUNTIFS(데이터_내용,E34,데이터_연도,기준연도))</f>
        <v/>
      </c>
      <c r="G34" s="55" t="str">
        <f aca="false">IF(E34="","",F34-ROW()/100000)</f>
        <v/>
      </c>
    </row>
    <row r="35" customFormat="false" ht="15" hidden="false" customHeight="false" outlineLevel="0" collapsed="false">
      <c r="A35" s="0" t="str">
        <f aca="false">IFERROR(INDEX(클레임목록!$C$2:$C$2000,MATCH(ROW()-3,클레임목록!$P$2:$P$2000,0)),"")</f>
        <v/>
      </c>
      <c r="B35" s="0" t="str">
        <f aca="false">IF(A35="","",COUNTIFS(데이터_제공인력,A35,데이터_연도,기준연도))</f>
        <v/>
      </c>
      <c r="C35" s="55" t="str">
        <f aca="false">IF(A35="","",B35-ROW()/100000)</f>
        <v/>
      </c>
      <c r="E35" s="0" t="str">
        <f aca="false">IFERROR(INDEX(클레임목록!$F$2:$F$2000,MATCH(ROW()-3,클레임목록!$Q$2:$Q$2000,0)),"")</f>
        <v/>
      </c>
      <c r="F35" s="0" t="str">
        <f aca="false">IF(E35="","",COUNTIFS(데이터_내용,E35,데이터_연도,기준연도))</f>
        <v/>
      </c>
      <c r="G35" s="55" t="str">
        <f aca="false">IF(E35="","",F35-ROW()/100000)</f>
        <v/>
      </c>
    </row>
    <row r="36" customFormat="false" ht="15" hidden="false" customHeight="false" outlineLevel="0" collapsed="false">
      <c r="A36" s="0" t="str">
        <f aca="false">IFERROR(INDEX(클레임목록!$C$2:$C$2000,MATCH(ROW()-3,클레임목록!$P$2:$P$2000,0)),"")</f>
        <v/>
      </c>
      <c r="B36" s="0" t="str">
        <f aca="false">IF(A36="","",COUNTIFS(데이터_제공인력,A36,데이터_연도,기준연도))</f>
        <v/>
      </c>
      <c r="C36" s="55" t="str">
        <f aca="false">IF(A36="","",B36-ROW()/100000)</f>
        <v/>
      </c>
      <c r="E36" s="0" t="str">
        <f aca="false">IFERROR(INDEX(클레임목록!$F$2:$F$2000,MATCH(ROW()-3,클레임목록!$Q$2:$Q$2000,0)),"")</f>
        <v/>
      </c>
      <c r="F36" s="0" t="str">
        <f aca="false">IF(E36="","",COUNTIFS(데이터_내용,E36,데이터_연도,기준연도))</f>
        <v/>
      </c>
      <c r="G36" s="55" t="str">
        <f aca="false">IF(E36="","",F36-ROW()/100000)</f>
        <v/>
      </c>
    </row>
    <row r="37" customFormat="false" ht="15" hidden="false" customHeight="false" outlineLevel="0" collapsed="false">
      <c r="A37" s="0" t="str">
        <f aca="false">IFERROR(INDEX(클레임목록!$C$2:$C$2000,MATCH(ROW()-3,클레임목록!$P$2:$P$2000,0)),"")</f>
        <v/>
      </c>
      <c r="B37" s="0" t="str">
        <f aca="false">IF(A37="","",COUNTIFS(데이터_제공인력,A37,데이터_연도,기준연도))</f>
        <v/>
      </c>
      <c r="C37" s="55" t="str">
        <f aca="false">IF(A37="","",B37-ROW()/100000)</f>
        <v/>
      </c>
      <c r="E37" s="0" t="str">
        <f aca="false">IFERROR(INDEX(클레임목록!$F$2:$F$2000,MATCH(ROW()-3,클레임목록!$Q$2:$Q$2000,0)),"")</f>
        <v/>
      </c>
      <c r="F37" s="0" t="str">
        <f aca="false">IF(E37="","",COUNTIFS(데이터_내용,E37,데이터_연도,기준연도))</f>
        <v/>
      </c>
      <c r="G37" s="55" t="str">
        <f aca="false">IF(E37="","",F37-ROW()/100000)</f>
        <v/>
      </c>
    </row>
    <row r="38" customFormat="false" ht="15" hidden="false" customHeight="false" outlineLevel="0" collapsed="false">
      <c r="A38" s="0" t="str">
        <f aca="false">IFERROR(INDEX(클레임목록!$C$2:$C$2000,MATCH(ROW()-3,클레임목록!$P$2:$P$2000,0)),"")</f>
        <v/>
      </c>
      <c r="B38" s="0" t="str">
        <f aca="false">IF(A38="","",COUNTIFS(데이터_제공인력,A38,데이터_연도,기준연도))</f>
        <v/>
      </c>
      <c r="C38" s="55" t="str">
        <f aca="false">IF(A38="","",B38-ROW()/100000)</f>
        <v/>
      </c>
      <c r="E38" s="0" t="str">
        <f aca="false">IFERROR(INDEX(클레임목록!$F$2:$F$2000,MATCH(ROW()-3,클레임목록!$Q$2:$Q$2000,0)),"")</f>
        <v/>
      </c>
      <c r="F38" s="0" t="str">
        <f aca="false">IF(E38="","",COUNTIFS(데이터_내용,E38,데이터_연도,기준연도))</f>
        <v/>
      </c>
      <c r="G38" s="55" t="str">
        <f aca="false">IF(E38="","",F38-ROW()/100000)</f>
        <v/>
      </c>
    </row>
    <row r="39" customFormat="false" ht="15" hidden="false" customHeight="false" outlineLevel="0" collapsed="false">
      <c r="A39" s="0" t="str">
        <f aca="false">IFERROR(INDEX(클레임목록!$C$2:$C$2000,MATCH(ROW()-3,클레임목록!$P$2:$P$2000,0)),"")</f>
        <v/>
      </c>
      <c r="B39" s="0" t="str">
        <f aca="false">IF(A39="","",COUNTIFS(데이터_제공인력,A39,데이터_연도,기준연도))</f>
        <v/>
      </c>
      <c r="C39" s="55" t="str">
        <f aca="false">IF(A39="","",B39-ROW()/100000)</f>
        <v/>
      </c>
      <c r="E39" s="0" t="str">
        <f aca="false">IFERROR(INDEX(클레임목록!$F$2:$F$2000,MATCH(ROW()-3,클레임목록!$Q$2:$Q$2000,0)),"")</f>
        <v/>
      </c>
      <c r="F39" s="0" t="str">
        <f aca="false">IF(E39="","",COUNTIFS(데이터_내용,E39,데이터_연도,기준연도))</f>
        <v/>
      </c>
      <c r="G39" s="55" t="str">
        <f aca="false">IF(E39="","",F39-ROW()/100000)</f>
        <v/>
      </c>
    </row>
    <row r="40" customFormat="false" ht="15" hidden="false" customHeight="false" outlineLevel="0" collapsed="false">
      <c r="A40" s="0" t="str">
        <f aca="false">IFERROR(INDEX(클레임목록!$C$2:$C$2000,MATCH(ROW()-3,클레임목록!$P$2:$P$2000,0)),"")</f>
        <v/>
      </c>
      <c r="B40" s="0" t="str">
        <f aca="false">IF(A40="","",COUNTIFS(데이터_제공인력,A40,데이터_연도,기준연도))</f>
        <v/>
      </c>
      <c r="C40" s="55" t="str">
        <f aca="false">IF(A40="","",B40-ROW()/100000)</f>
        <v/>
      </c>
      <c r="E40" s="0" t="str">
        <f aca="false">IFERROR(INDEX(클레임목록!$F$2:$F$2000,MATCH(ROW()-3,클레임목록!$Q$2:$Q$2000,0)),"")</f>
        <v/>
      </c>
      <c r="F40" s="0" t="str">
        <f aca="false">IF(E40="","",COUNTIFS(데이터_내용,E40,데이터_연도,기준연도))</f>
        <v/>
      </c>
      <c r="G40" s="55" t="str">
        <f aca="false">IF(E40="","",F40-ROW()/100000)</f>
        <v/>
      </c>
    </row>
    <row r="41" customFormat="false" ht="15" hidden="false" customHeight="false" outlineLevel="0" collapsed="false">
      <c r="A41" s="0" t="str">
        <f aca="false">IFERROR(INDEX(클레임목록!$C$2:$C$2000,MATCH(ROW()-3,클레임목록!$P$2:$P$2000,0)),"")</f>
        <v/>
      </c>
      <c r="B41" s="0" t="str">
        <f aca="false">IF(A41="","",COUNTIFS(데이터_제공인력,A41,데이터_연도,기준연도))</f>
        <v/>
      </c>
      <c r="C41" s="55" t="str">
        <f aca="false">IF(A41="","",B41-ROW()/100000)</f>
        <v/>
      </c>
      <c r="E41" s="0" t="str">
        <f aca="false">IFERROR(INDEX(클레임목록!$F$2:$F$2000,MATCH(ROW()-3,클레임목록!$Q$2:$Q$2000,0)),"")</f>
        <v/>
      </c>
      <c r="F41" s="0" t="str">
        <f aca="false">IF(E41="","",COUNTIFS(데이터_내용,E41,데이터_연도,기준연도))</f>
        <v/>
      </c>
      <c r="G41" s="55" t="str">
        <f aca="false">IF(E41="","",F41-ROW()/100000)</f>
        <v/>
      </c>
    </row>
    <row r="42" customFormat="false" ht="15" hidden="false" customHeight="false" outlineLevel="0" collapsed="false">
      <c r="A42" s="0" t="str">
        <f aca="false">IFERROR(INDEX(클레임목록!$C$2:$C$2000,MATCH(ROW()-3,클레임목록!$P$2:$P$2000,0)),"")</f>
        <v/>
      </c>
      <c r="B42" s="0" t="str">
        <f aca="false">IF(A42="","",COUNTIFS(데이터_제공인력,A42,데이터_연도,기준연도))</f>
        <v/>
      </c>
      <c r="C42" s="55" t="str">
        <f aca="false">IF(A42="","",B42-ROW()/100000)</f>
        <v/>
      </c>
      <c r="E42" s="0" t="str">
        <f aca="false">IFERROR(INDEX(클레임목록!$F$2:$F$2000,MATCH(ROW()-3,클레임목록!$Q$2:$Q$2000,0)),"")</f>
        <v/>
      </c>
      <c r="F42" s="0" t="str">
        <f aca="false">IF(E42="","",COUNTIFS(데이터_내용,E42,데이터_연도,기준연도))</f>
        <v/>
      </c>
      <c r="G42" s="55" t="str">
        <f aca="false">IF(E42="","",F42-ROW()/100000)</f>
        <v/>
      </c>
    </row>
    <row r="43" customFormat="false" ht="15" hidden="false" customHeight="false" outlineLevel="0" collapsed="false">
      <c r="A43" s="0" t="str">
        <f aca="false">IFERROR(INDEX(클레임목록!$C$2:$C$2000,MATCH(ROW()-3,클레임목록!$P$2:$P$2000,0)),"")</f>
        <v/>
      </c>
      <c r="B43" s="0" t="str">
        <f aca="false">IF(A43="","",COUNTIFS(데이터_제공인력,A43,데이터_연도,기준연도))</f>
        <v/>
      </c>
      <c r="C43" s="55" t="str">
        <f aca="false">IF(A43="","",B43-ROW()/100000)</f>
        <v/>
      </c>
      <c r="E43" s="0" t="str">
        <f aca="false">IFERROR(INDEX(클레임목록!$F$2:$F$2000,MATCH(ROW()-3,클레임목록!$Q$2:$Q$2000,0)),"")</f>
        <v/>
      </c>
      <c r="F43" s="0" t="str">
        <f aca="false">IF(E43="","",COUNTIFS(데이터_내용,E43,데이터_연도,기준연도))</f>
        <v/>
      </c>
      <c r="G43" s="55" t="str">
        <f aca="false">IF(E43="","",F43-ROW()/100000)</f>
        <v/>
      </c>
    </row>
    <row r="44" customFormat="false" ht="15" hidden="false" customHeight="false" outlineLevel="0" collapsed="false">
      <c r="A44" s="0" t="str">
        <f aca="false">IFERROR(INDEX(클레임목록!$C$2:$C$2000,MATCH(ROW()-3,클레임목록!$P$2:$P$2000,0)),"")</f>
        <v/>
      </c>
      <c r="B44" s="0" t="str">
        <f aca="false">IF(A44="","",COUNTIFS(데이터_제공인력,A44,데이터_연도,기준연도))</f>
        <v/>
      </c>
      <c r="C44" s="55" t="str">
        <f aca="false">IF(A44="","",B44-ROW()/100000)</f>
        <v/>
      </c>
      <c r="E44" s="0" t="str">
        <f aca="false">IFERROR(INDEX(클레임목록!$F$2:$F$2000,MATCH(ROW()-3,클레임목록!$Q$2:$Q$2000,0)),"")</f>
        <v/>
      </c>
      <c r="F44" s="0" t="str">
        <f aca="false">IF(E44="","",COUNTIFS(데이터_내용,E44,데이터_연도,기준연도))</f>
        <v/>
      </c>
      <c r="G44" s="55" t="str">
        <f aca="false">IF(E44="","",F44-ROW()/100000)</f>
        <v/>
      </c>
    </row>
    <row r="45" customFormat="false" ht="15" hidden="false" customHeight="false" outlineLevel="0" collapsed="false">
      <c r="A45" s="0" t="str">
        <f aca="false">IFERROR(INDEX(클레임목록!$C$2:$C$2000,MATCH(ROW()-3,클레임목록!$P$2:$P$2000,0)),"")</f>
        <v/>
      </c>
      <c r="B45" s="0" t="str">
        <f aca="false">IF(A45="","",COUNTIFS(데이터_제공인력,A45,데이터_연도,기준연도))</f>
        <v/>
      </c>
      <c r="C45" s="55" t="str">
        <f aca="false">IF(A45="","",B45-ROW()/100000)</f>
        <v/>
      </c>
      <c r="E45" s="0" t="str">
        <f aca="false">IFERROR(INDEX(클레임목록!$F$2:$F$2000,MATCH(ROW()-3,클레임목록!$Q$2:$Q$2000,0)),"")</f>
        <v/>
      </c>
      <c r="F45" s="0" t="str">
        <f aca="false">IF(E45="","",COUNTIFS(데이터_내용,E45,데이터_연도,기준연도))</f>
        <v/>
      </c>
      <c r="G45" s="55" t="str">
        <f aca="false">IF(E45="","",F45-ROW()/100000)</f>
        <v/>
      </c>
    </row>
    <row r="46" customFormat="false" ht="15" hidden="false" customHeight="false" outlineLevel="0" collapsed="false">
      <c r="A46" s="0" t="str">
        <f aca="false">IFERROR(INDEX(클레임목록!$C$2:$C$2000,MATCH(ROW()-3,클레임목록!$P$2:$P$2000,0)),"")</f>
        <v/>
      </c>
      <c r="B46" s="0" t="str">
        <f aca="false">IF(A46="","",COUNTIFS(데이터_제공인력,A46,데이터_연도,기준연도))</f>
        <v/>
      </c>
      <c r="C46" s="55" t="str">
        <f aca="false">IF(A46="","",B46-ROW()/100000)</f>
        <v/>
      </c>
      <c r="E46" s="0" t="str">
        <f aca="false">IFERROR(INDEX(클레임목록!$F$2:$F$2000,MATCH(ROW()-3,클레임목록!$Q$2:$Q$2000,0)),"")</f>
        <v/>
      </c>
      <c r="F46" s="0" t="str">
        <f aca="false">IF(E46="","",COUNTIFS(데이터_내용,E46,데이터_연도,기준연도))</f>
        <v/>
      </c>
      <c r="G46" s="55" t="str">
        <f aca="false">IF(E46="","",F46-ROW()/100000)</f>
        <v/>
      </c>
    </row>
    <row r="47" customFormat="false" ht="15" hidden="false" customHeight="false" outlineLevel="0" collapsed="false">
      <c r="A47" s="0" t="str">
        <f aca="false">IFERROR(INDEX(클레임목록!$C$2:$C$2000,MATCH(ROW()-3,클레임목록!$P$2:$P$2000,0)),"")</f>
        <v/>
      </c>
      <c r="B47" s="0" t="str">
        <f aca="false">IF(A47="","",COUNTIFS(데이터_제공인력,A47,데이터_연도,기준연도))</f>
        <v/>
      </c>
      <c r="C47" s="55" t="str">
        <f aca="false">IF(A47="","",B47-ROW()/100000)</f>
        <v/>
      </c>
      <c r="E47" s="0" t="str">
        <f aca="false">IFERROR(INDEX(클레임목록!$F$2:$F$2000,MATCH(ROW()-3,클레임목록!$Q$2:$Q$2000,0)),"")</f>
        <v/>
      </c>
      <c r="F47" s="0" t="str">
        <f aca="false">IF(E47="","",COUNTIFS(데이터_내용,E47,데이터_연도,기준연도))</f>
        <v/>
      </c>
      <c r="G47" s="55" t="str">
        <f aca="false">IF(E47="","",F47-ROW()/100000)</f>
        <v/>
      </c>
    </row>
    <row r="48" customFormat="false" ht="15" hidden="false" customHeight="false" outlineLevel="0" collapsed="false">
      <c r="A48" s="0" t="str">
        <f aca="false">IFERROR(INDEX(클레임목록!$C$2:$C$2000,MATCH(ROW()-3,클레임목록!$P$2:$P$2000,0)),"")</f>
        <v/>
      </c>
      <c r="B48" s="0" t="str">
        <f aca="false">IF(A48="","",COUNTIFS(데이터_제공인력,A48,데이터_연도,기준연도))</f>
        <v/>
      </c>
      <c r="C48" s="55" t="str">
        <f aca="false">IF(A48="","",B48-ROW()/100000)</f>
        <v/>
      </c>
      <c r="E48" s="0" t="str">
        <f aca="false">IFERROR(INDEX(클레임목록!$F$2:$F$2000,MATCH(ROW()-3,클레임목록!$Q$2:$Q$2000,0)),"")</f>
        <v/>
      </c>
      <c r="F48" s="0" t="str">
        <f aca="false">IF(E48="","",COUNTIFS(데이터_내용,E48,데이터_연도,기준연도))</f>
        <v/>
      </c>
      <c r="G48" s="55" t="str">
        <f aca="false">IF(E48="","",F48-ROW()/100000)</f>
        <v/>
      </c>
    </row>
    <row r="49" customFormat="false" ht="15" hidden="false" customHeight="false" outlineLevel="0" collapsed="false">
      <c r="A49" s="0" t="str">
        <f aca="false">IFERROR(INDEX(클레임목록!$C$2:$C$2000,MATCH(ROW()-3,클레임목록!$P$2:$P$2000,0)),"")</f>
        <v/>
      </c>
      <c r="B49" s="0" t="str">
        <f aca="false">IF(A49="","",COUNTIFS(데이터_제공인력,A49,데이터_연도,기준연도))</f>
        <v/>
      </c>
      <c r="C49" s="55" t="str">
        <f aca="false">IF(A49="","",B49-ROW()/100000)</f>
        <v/>
      </c>
      <c r="E49" s="0" t="str">
        <f aca="false">IFERROR(INDEX(클레임목록!$F$2:$F$2000,MATCH(ROW()-3,클레임목록!$Q$2:$Q$2000,0)),"")</f>
        <v/>
      </c>
      <c r="F49" s="0" t="str">
        <f aca="false">IF(E49="","",COUNTIFS(데이터_내용,E49,데이터_연도,기준연도))</f>
        <v/>
      </c>
      <c r="G49" s="55" t="str">
        <f aca="false">IF(E49="","",F49-ROW()/100000)</f>
        <v/>
      </c>
    </row>
    <row r="50" customFormat="false" ht="15" hidden="false" customHeight="false" outlineLevel="0" collapsed="false">
      <c r="A50" s="0" t="str">
        <f aca="false">IFERROR(INDEX(클레임목록!$C$2:$C$2000,MATCH(ROW()-3,클레임목록!$P$2:$P$2000,0)),"")</f>
        <v/>
      </c>
      <c r="B50" s="0" t="str">
        <f aca="false">IF(A50="","",COUNTIFS(데이터_제공인력,A50,데이터_연도,기준연도))</f>
        <v/>
      </c>
      <c r="C50" s="55" t="str">
        <f aca="false">IF(A50="","",B50-ROW()/100000)</f>
        <v/>
      </c>
      <c r="E50" s="0" t="str">
        <f aca="false">IFERROR(INDEX(클레임목록!$F$2:$F$2000,MATCH(ROW()-3,클레임목록!$Q$2:$Q$2000,0)),"")</f>
        <v/>
      </c>
      <c r="F50" s="0" t="str">
        <f aca="false">IF(E50="","",COUNTIFS(데이터_내용,E50,데이터_연도,기준연도))</f>
        <v/>
      </c>
      <c r="G50" s="55" t="str">
        <f aca="false">IF(E50="","",F50-ROW()/100000)</f>
        <v/>
      </c>
    </row>
    <row r="51" customFormat="false" ht="15" hidden="false" customHeight="false" outlineLevel="0" collapsed="false">
      <c r="A51" s="0" t="str">
        <f aca="false">IFERROR(INDEX(클레임목록!$C$2:$C$2000,MATCH(ROW()-3,클레임목록!$P$2:$P$2000,0)),"")</f>
        <v/>
      </c>
      <c r="B51" s="0" t="str">
        <f aca="false">IF(A51="","",COUNTIFS(데이터_제공인력,A51,데이터_연도,기준연도))</f>
        <v/>
      </c>
      <c r="C51" s="55" t="str">
        <f aca="false">IF(A51="","",B51-ROW()/100000)</f>
        <v/>
      </c>
      <c r="E51" s="0" t="str">
        <f aca="false">IFERROR(INDEX(클레임목록!$F$2:$F$2000,MATCH(ROW()-3,클레임목록!$Q$2:$Q$2000,0)),"")</f>
        <v/>
      </c>
      <c r="F51" s="0" t="str">
        <f aca="false">IF(E51="","",COUNTIFS(데이터_내용,E51,데이터_연도,기준연도))</f>
        <v/>
      </c>
      <c r="G51" s="55" t="str">
        <f aca="false">IF(E51="","",F51-ROW()/100000)</f>
        <v/>
      </c>
    </row>
    <row r="52" customFormat="false" ht="15" hidden="false" customHeight="false" outlineLevel="0" collapsed="false">
      <c r="A52" s="0" t="str">
        <f aca="false">IFERROR(INDEX(클레임목록!$C$2:$C$2000,MATCH(ROW()-3,클레임목록!$P$2:$P$2000,0)),"")</f>
        <v/>
      </c>
      <c r="B52" s="0" t="str">
        <f aca="false">IF(A52="","",COUNTIFS(데이터_제공인력,A52,데이터_연도,기준연도))</f>
        <v/>
      </c>
      <c r="C52" s="55" t="str">
        <f aca="false">IF(A52="","",B52-ROW()/100000)</f>
        <v/>
      </c>
      <c r="E52" s="0" t="str">
        <f aca="false">IFERROR(INDEX(클레임목록!$F$2:$F$2000,MATCH(ROW()-3,클레임목록!$Q$2:$Q$2000,0)),"")</f>
        <v/>
      </c>
      <c r="F52" s="0" t="str">
        <f aca="false">IF(E52="","",COUNTIFS(데이터_내용,E52,데이터_연도,기준연도))</f>
        <v/>
      </c>
      <c r="G52" s="55" t="str">
        <f aca="false">IF(E52="","",F52-ROW()/100000)</f>
        <v/>
      </c>
    </row>
    <row r="53" customFormat="false" ht="15" hidden="false" customHeight="false" outlineLevel="0" collapsed="false">
      <c r="A53" s="0" t="str">
        <f aca="false">IFERROR(INDEX(클레임목록!$C$2:$C$2000,MATCH(ROW()-3,클레임목록!$P$2:$P$2000,0)),"")</f>
        <v/>
      </c>
      <c r="B53" s="0" t="str">
        <f aca="false">IF(A53="","",COUNTIFS(데이터_제공인력,A53,데이터_연도,기준연도))</f>
        <v/>
      </c>
      <c r="C53" s="55" t="str">
        <f aca="false">IF(A53="","",B53-ROW()/100000)</f>
        <v/>
      </c>
      <c r="E53" s="0" t="str">
        <f aca="false">IFERROR(INDEX(클레임목록!$F$2:$F$2000,MATCH(ROW()-3,클레임목록!$Q$2:$Q$2000,0)),"")</f>
        <v/>
      </c>
      <c r="F53" s="0" t="str">
        <f aca="false">IF(E53="","",COUNTIFS(데이터_내용,E53,데이터_연도,기준연도))</f>
        <v/>
      </c>
      <c r="G53" s="55" t="str">
        <f aca="false">IF(E53="","",F53-ROW()/100000)</f>
        <v/>
      </c>
    </row>
    <row r="54" customFormat="false" ht="15" hidden="false" customHeight="false" outlineLevel="0" collapsed="false">
      <c r="A54" s="0" t="str">
        <f aca="false">IFERROR(INDEX(클레임목록!$C$2:$C$2000,MATCH(ROW()-3,클레임목록!$P$2:$P$2000,0)),"")</f>
        <v/>
      </c>
      <c r="B54" s="0" t="str">
        <f aca="false">IF(A54="","",COUNTIFS(데이터_제공인력,A54,데이터_연도,기준연도))</f>
        <v/>
      </c>
      <c r="C54" s="55" t="str">
        <f aca="false">IF(A54="","",B54-ROW()/100000)</f>
        <v/>
      </c>
      <c r="E54" s="0" t="str">
        <f aca="false">IFERROR(INDEX(클레임목록!$F$2:$F$2000,MATCH(ROW()-3,클레임목록!$Q$2:$Q$2000,0)),"")</f>
        <v/>
      </c>
      <c r="F54" s="0" t="str">
        <f aca="false">IF(E54="","",COUNTIFS(데이터_내용,E54,데이터_연도,기준연도))</f>
        <v/>
      </c>
      <c r="G54" s="55" t="str">
        <f aca="false">IF(E54="","",F54-ROW()/100000)</f>
        <v/>
      </c>
    </row>
    <row r="55" customFormat="false" ht="15" hidden="false" customHeight="false" outlineLevel="0" collapsed="false">
      <c r="A55" s="0" t="str">
        <f aca="false">IFERROR(INDEX(클레임목록!$C$2:$C$2000,MATCH(ROW()-3,클레임목록!$P$2:$P$2000,0)),"")</f>
        <v/>
      </c>
      <c r="B55" s="0" t="str">
        <f aca="false">IF(A55="","",COUNTIFS(데이터_제공인력,A55,데이터_연도,기준연도))</f>
        <v/>
      </c>
      <c r="C55" s="55" t="str">
        <f aca="false">IF(A55="","",B55-ROW()/100000)</f>
        <v/>
      </c>
      <c r="E55" s="0" t="str">
        <f aca="false">IFERROR(INDEX(클레임목록!$F$2:$F$2000,MATCH(ROW()-3,클레임목록!$Q$2:$Q$2000,0)),"")</f>
        <v/>
      </c>
      <c r="F55" s="0" t="str">
        <f aca="false">IF(E55="","",COUNTIFS(데이터_내용,E55,데이터_연도,기준연도))</f>
        <v/>
      </c>
      <c r="G55" s="55" t="str">
        <f aca="false">IF(E55="","",F55-ROW()/100000)</f>
        <v/>
      </c>
    </row>
    <row r="56" customFormat="false" ht="15" hidden="false" customHeight="false" outlineLevel="0" collapsed="false">
      <c r="A56" s="0" t="str">
        <f aca="false">IFERROR(INDEX(클레임목록!$C$2:$C$2000,MATCH(ROW()-3,클레임목록!$P$2:$P$2000,0)),"")</f>
        <v/>
      </c>
      <c r="B56" s="0" t="str">
        <f aca="false">IF(A56="","",COUNTIFS(데이터_제공인력,A56,데이터_연도,기준연도))</f>
        <v/>
      </c>
      <c r="C56" s="55" t="str">
        <f aca="false">IF(A56="","",B56-ROW()/100000)</f>
        <v/>
      </c>
      <c r="E56" s="0" t="str">
        <f aca="false">IFERROR(INDEX(클레임목록!$F$2:$F$2000,MATCH(ROW()-3,클레임목록!$Q$2:$Q$2000,0)),"")</f>
        <v/>
      </c>
      <c r="F56" s="0" t="str">
        <f aca="false">IF(E56="","",COUNTIFS(데이터_내용,E56,데이터_연도,기준연도))</f>
        <v/>
      </c>
      <c r="G56" s="55" t="str">
        <f aca="false">IF(E56="","",F56-ROW()/100000)</f>
        <v/>
      </c>
    </row>
    <row r="57" customFormat="false" ht="15" hidden="false" customHeight="false" outlineLevel="0" collapsed="false">
      <c r="A57" s="0" t="str">
        <f aca="false">IFERROR(INDEX(클레임목록!$C$2:$C$2000,MATCH(ROW()-3,클레임목록!$P$2:$P$2000,0)),"")</f>
        <v/>
      </c>
      <c r="B57" s="0" t="str">
        <f aca="false">IF(A57="","",COUNTIFS(데이터_제공인력,A57,데이터_연도,기준연도))</f>
        <v/>
      </c>
      <c r="C57" s="55" t="str">
        <f aca="false">IF(A57="","",B57-ROW()/100000)</f>
        <v/>
      </c>
      <c r="E57" s="0" t="str">
        <f aca="false">IFERROR(INDEX(클레임목록!$F$2:$F$2000,MATCH(ROW()-3,클레임목록!$Q$2:$Q$2000,0)),"")</f>
        <v/>
      </c>
      <c r="F57" s="0" t="str">
        <f aca="false">IF(E57="","",COUNTIFS(데이터_내용,E57,데이터_연도,기준연도))</f>
        <v/>
      </c>
      <c r="G57" s="55" t="str">
        <f aca="false">IF(E57="","",F57-ROW()/100000)</f>
        <v/>
      </c>
    </row>
    <row r="58" customFormat="false" ht="15" hidden="false" customHeight="false" outlineLevel="0" collapsed="false">
      <c r="A58" s="0" t="str">
        <f aca="false">IFERROR(INDEX(클레임목록!$C$2:$C$2000,MATCH(ROW()-3,클레임목록!$P$2:$P$2000,0)),"")</f>
        <v/>
      </c>
      <c r="B58" s="0" t="str">
        <f aca="false">IF(A58="","",COUNTIFS(데이터_제공인력,A58,데이터_연도,기준연도))</f>
        <v/>
      </c>
      <c r="C58" s="55" t="str">
        <f aca="false">IF(A58="","",B58-ROW()/100000)</f>
        <v/>
      </c>
      <c r="E58" s="0" t="str">
        <f aca="false">IFERROR(INDEX(클레임목록!$F$2:$F$2000,MATCH(ROW()-3,클레임목록!$Q$2:$Q$2000,0)),"")</f>
        <v/>
      </c>
      <c r="F58" s="0" t="str">
        <f aca="false">IF(E58="","",COUNTIFS(데이터_내용,E58,데이터_연도,기준연도))</f>
        <v/>
      </c>
      <c r="G58" s="55" t="str">
        <f aca="false">IF(E58="","",F58-ROW()/100000)</f>
        <v/>
      </c>
    </row>
    <row r="59" customFormat="false" ht="15" hidden="false" customHeight="false" outlineLevel="0" collapsed="false">
      <c r="A59" s="0" t="str">
        <f aca="false">IFERROR(INDEX(클레임목록!$C$2:$C$2000,MATCH(ROW()-3,클레임목록!$P$2:$P$2000,0)),"")</f>
        <v/>
      </c>
      <c r="B59" s="0" t="str">
        <f aca="false">IF(A59="","",COUNTIFS(데이터_제공인력,A59,데이터_연도,기준연도))</f>
        <v/>
      </c>
      <c r="C59" s="55" t="str">
        <f aca="false">IF(A59="","",B59-ROW()/100000)</f>
        <v/>
      </c>
      <c r="E59" s="0" t="str">
        <f aca="false">IFERROR(INDEX(클레임목록!$F$2:$F$2000,MATCH(ROW()-3,클레임목록!$Q$2:$Q$2000,0)),"")</f>
        <v/>
      </c>
      <c r="F59" s="0" t="str">
        <f aca="false">IF(E59="","",COUNTIFS(데이터_내용,E59,데이터_연도,기준연도))</f>
        <v/>
      </c>
      <c r="G59" s="55" t="str">
        <f aca="false">IF(E59="","",F59-ROW()/100000)</f>
        <v/>
      </c>
    </row>
    <row r="60" customFormat="false" ht="15" hidden="false" customHeight="false" outlineLevel="0" collapsed="false">
      <c r="A60" s="0" t="str">
        <f aca="false">IFERROR(INDEX(클레임목록!$C$2:$C$2000,MATCH(ROW()-3,클레임목록!$P$2:$P$2000,0)),"")</f>
        <v/>
      </c>
      <c r="B60" s="0" t="str">
        <f aca="false">IF(A60="","",COUNTIFS(데이터_제공인력,A60,데이터_연도,기준연도))</f>
        <v/>
      </c>
      <c r="C60" s="55" t="str">
        <f aca="false">IF(A60="","",B60-ROW()/100000)</f>
        <v/>
      </c>
      <c r="E60" s="0" t="str">
        <f aca="false">IFERROR(INDEX(클레임목록!$F$2:$F$2000,MATCH(ROW()-3,클레임목록!$Q$2:$Q$2000,0)),"")</f>
        <v/>
      </c>
      <c r="F60" s="0" t="str">
        <f aca="false">IF(E60="","",COUNTIFS(데이터_내용,E60,데이터_연도,기준연도))</f>
        <v/>
      </c>
      <c r="G60" s="55" t="str">
        <f aca="false">IF(E60="","",F60-ROW()/100000)</f>
        <v/>
      </c>
    </row>
    <row r="61" customFormat="false" ht="15" hidden="false" customHeight="false" outlineLevel="0" collapsed="false">
      <c r="A61" s="0" t="str">
        <f aca="false">IFERROR(INDEX(클레임목록!$C$2:$C$2000,MATCH(ROW()-3,클레임목록!$P$2:$P$2000,0)),"")</f>
        <v/>
      </c>
      <c r="B61" s="0" t="str">
        <f aca="false">IF(A61="","",COUNTIFS(데이터_제공인력,A61,데이터_연도,기준연도))</f>
        <v/>
      </c>
      <c r="C61" s="55" t="str">
        <f aca="false">IF(A61="","",B61-ROW()/100000)</f>
        <v/>
      </c>
      <c r="E61" s="0" t="str">
        <f aca="false">IFERROR(INDEX(클레임목록!$F$2:$F$2000,MATCH(ROW()-3,클레임목록!$Q$2:$Q$2000,0)),"")</f>
        <v/>
      </c>
      <c r="F61" s="0" t="str">
        <f aca="false">IF(E61="","",COUNTIFS(데이터_내용,E61,데이터_연도,기준연도))</f>
        <v/>
      </c>
      <c r="G61" s="55" t="str">
        <f aca="false">IF(E61="","",F61-ROW()/100000)</f>
        <v/>
      </c>
    </row>
    <row r="62" customFormat="false" ht="15" hidden="false" customHeight="false" outlineLevel="0" collapsed="false">
      <c r="A62" s="0" t="str">
        <f aca="false">IFERROR(INDEX(클레임목록!$C$2:$C$2000,MATCH(ROW()-3,클레임목록!$P$2:$P$2000,0)),"")</f>
        <v/>
      </c>
      <c r="B62" s="0" t="str">
        <f aca="false">IF(A62="","",COUNTIFS(데이터_제공인력,A62,데이터_연도,기준연도))</f>
        <v/>
      </c>
      <c r="C62" s="55" t="str">
        <f aca="false">IF(A62="","",B62-ROW()/100000)</f>
        <v/>
      </c>
      <c r="E62" s="0" t="str">
        <f aca="false">IFERROR(INDEX(클레임목록!$F$2:$F$2000,MATCH(ROW()-3,클레임목록!$Q$2:$Q$2000,0)),"")</f>
        <v/>
      </c>
      <c r="F62" s="0" t="str">
        <f aca="false">IF(E62="","",COUNTIFS(데이터_내용,E62,데이터_연도,기준연도))</f>
        <v/>
      </c>
      <c r="G62" s="55" t="str">
        <f aca="false">IF(E62="","",F62-ROW()/100000)</f>
        <v/>
      </c>
    </row>
    <row r="63" customFormat="false" ht="15" hidden="false" customHeight="false" outlineLevel="0" collapsed="false">
      <c r="A63" s="0" t="str">
        <f aca="false">IFERROR(INDEX(클레임목록!$C$2:$C$2000,MATCH(ROW()-3,클레임목록!$P$2:$P$2000,0)),"")</f>
        <v/>
      </c>
      <c r="B63" s="0" t="str">
        <f aca="false">IF(A63="","",COUNTIFS(데이터_제공인력,A63,데이터_연도,기준연도))</f>
        <v/>
      </c>
      <c r="C63" s="55" t="str">
        <f aca="false">IF(A63="","",B63-ROW()/100000)</f>
        <v/>
      </c>
      <c r="E63" s="0" t="str">
        <f aca="false">IFERROR(INDEX(클레임목록!$F$2:$F$2000,MATCH(ROW()-3,클레임목록!$Q$2:$Q$2000,0)),"")</f>
        <v/>
      </c>
      <c r="F63" s="0" t="str">
        <f aca="false">IF(E63="","",COUNTIFS(데이터_내용,E63,데이터_연도,기준연도))</f>
        <v/>
      </c>
      <c r="G63" s="55" t="str">
        <f aca="false">IF(E63="","",F63-ROW()/100000)</f>
        <v/>
      </c>
    </row>
    <row r="64" customFormat="false" ht="15" hidden="false" customHeight="false" outlineLevel="0" collapsed="false">
      <c r="A64" s="0" t="str">
        <f aca="false">IFERROR(INDEX(클레임목록!$C$2:$C$2000,MATCH(ROW()-3,클레임목록!$P$2:$P$2000,0)),"")</f>
        <v/>
      </c>
      <c r="B64" s="0" t="str">
        <f aca="false">IF(A64="","",COUNTIFS(데이터_제공인력,A64,데이터_연도,기준연도))</f>
        <v/>
      </c>
      <c r="C64" s="55" t="str">
        <f aca="false">IF(A64="","",B64-ROW()/100000)</f>
        <v/>
      </c>
      <c r="E64" s="0" t="str">
        <f aca="false">IFERROR(INDEX(클레임목록!$F$2:$F$2000,MATCH(ROW()-3,클레임목록!$Q$2:$Q$2000,0)),"")</f>
        <v/>
      </c>
      <c r="F64" s="0" t="str">
        <f aca="false">IF(E64="","",COUNTIFS(데이터_내용,E64,데이터_연도,기준연도))</f>
        <v/>
      </c>
      <c r="G64" s="55" t="str">
        <f aca="false">IF(E64="","",F64-ROW()/100000)</f>
        <v/>
      </c>
    </row>
    <row r="65" customFormat="false" ht="15" hidden="false" customHeight="false" outlineLevel="0" collapsed="false">
      <c r="A65" s="0" t="str">
        <f aca="false">IFERROR(INDEX(클레임목록!$C$2:$C$2000,MATCH(ROW()-3,클레임목록!$P$2:$P$2000,0)),"")</f>
        <v/>
      </c>
      <c r="B65" s="0" t="str">
        <f aca="false">IF(A65="","",COUNTIFS(데이터_제공인력,A65,데이터_연도,기준연도))</f>
        <v/>
      </c>
      <c r="C65" s="55" t="str">
        <f aca="false">IF(A65="","",B65-ROW()/100000)</f>
        <v/>
      </c>
      <c r="E65" s="0" t="str">
        <f aca="false">IFERROR(INDEX(클레임목록!$F$2:$F$2000,MATCH(ROW()-3,클레임목록!$Q$2:$Q$2000,0)),"")</f>
        <v/>
      </c>
      <c r="F65" s="0" t="str">
        <f aca="false">IF(E65="","",COUNTIFS(데이터_내용,E65,데이터_연도,기준연도))</f>
        <v/>
      </c>
      <c r="G65" s="55" t="str">
        <f aca="false">IF(E65="","",F65-ROW()/100000)</f>
        <v/>
      </c>
    </row>
    <row r="66" customFormat="false" ht="15" hidden="false" customHeight="false" outlineLevel="0" collapsed="false">
      <c r="A66" s="0" t="str">
        <f aca="false">IFERROR(INDEX(클레임목록!$C$2:$C$2000,MATCH(ROW()-3,클레임목록!$P$2:$P$2000,0)),"")</f>
        <v/>
      </c>
      <c r="B66" s="0" t="str">
        <f aca="false">IF(A66="","",COUNTIFS(데이터_제공인력,A66,데이터_연도,기준연도))</f>
        <v/>
      </c>
      <c r="C66" s="55" t="str">
        <f aca="false">IF(A66="","",B66-ROW()/100000)</f>
        <v/>
      </c>
      <c r="E66" s="0" t="str">
        <f aca="false">IFERROR(INDEX(클레임목록!$F$2:$F$2000,MATCH(ROW()-3,클레임목록!$Q$2:$Q$2000,0)),"")</f>
        <v/>
      </c>
      <c r="F66" s="0" t="str">
        <f aca="false">IF(E66="","",COUNTIFS(데이터_내용,E66,데이터_연도,기준연도))</f>
        <v/>
      </c>
      <c r="G66" s="55" t="str">
        <f aca="false">IF(E66="","",F66-ROW()/100000)</f>
        <v/>
      </c>
    </row>
    <row r="67" customFormat="false" ht="15" hidden="false" customHeight="false" outlineLevel="0" collapsed="false">
      <c r="A67" s="0" t="str">
        <f aca="false">IFERROR(INDEX(클레임목록!$C$2:$C$2000,MATCH(ROW()-3,클레임목록!$P$2:$P$2000,0)),"")</f>
        <v/>
      </c>
      <c r="B67" s="0" t="str">
        <f aca="false">IF(A67="","",COUNTIFS(데이터_제공인력,A67,데이터_연도,기준연도))</f>
        <v/>
      </c>
      <c r="C67" s="55" t="str">
        <f aca="false">IF(A67="","",B67-ROW()/100000)</f>
        <v/>
      </c>
      <c r="E67" s="0" t="str">
        <f aca="false">IFERROR(INDEX(클레임목록!$F$2:$F$2000,MATCH(ROW()-3,클레임목록!$Q$2:$Q$2000,0)),"")</f>
        <v/>
      </c>
      <c r="F67" s="0" t="str">
        <f aca="false">IF(E67="","",COUNTIFS(데이터_내용,E67,데이터_연도,기준연도))</f>
        <v/>
      </c>
      <c r="G67" s="55" t="str">
        <f aca="false">IF(E67="","",F67-ROW()/100000)</f>
        <v/>
      </c>
    </row>
    <row r="68" customFormat="false" ht="15" hidden="false" customHeight="false" outlineLevel="0" collapsed="false">
      <c r="A68" s="0" t="str">
        <f aca="false">IFERROR(INDEX(클레임목록!$C$2:$C$2000,MATCH(ROW()-3,클레임목록!$P$2:$P$2000,0)),"")</f>
        <v/>
      </c>
      <c r="B68" s="0" t="str">
        <f aca="false">IF(A68="","",COUNTIFS(데이터_제공인력,A68,데이터_연도,기준연도))</f>
        <v/>
      </c>
      <c r="C68" s="55" t="str">
        <f aca="false">IF(A68="","",B68-ROW()/100000)</f>
        <v/>
      </c>
      <c r="E68" s="0" t="str">
        <f aca="false">IFERROR(INDEX(클레임목록!$F$2:$F$2000,MATCH(ROW()-3,클레임목록!$Q$2:$Q$2000,0)),"")</f>
        <v/>
      </c>
      <c r="F68" s="0" t="str">
        <f aca="false">IF(E68="","",COUNTIFS(데이터_내용,E68,데이터_연도,기준연도))</f>
        <v/>
      </c>
      <c r="G68" s="55" t="str">
        <f aca="false">IF(E68="","",F68-ROW()/100000)</f>
        <v/>
      </c>
    </row>
    <row r="69" customFormat="false" ht="15" hidden="false" customHeight="false" outlineLevel="0" collapsed="false">
      <c r="A69" s="0" t="str">
        <f aca="false">IFERROR(INDEX(클레임목록!$C$2:$C$2000,MATCH(ROW()-3,클레임목록!$P$2:$P$2000,0)),"")</f>
        <v/>
      </c>
      <c r="B69" s="0" t="str">
        <f aca="false">IF(A69="","",COUNTIFS(데이터_제공인력,A69,데이터_연도,기준연도))</f>
        <v/>
      </c>
      <c r="C69" s="55" t="str">
        <f aca="false">IF(A69="","",B69-ROW()/100000)</f>
        <v/>
      </c>
      <c r="E69" s="0" t="str">
        <f aca="false">IFERROR(INDEX(클레임목록!$F$2:$F$2000,MATCH(ROW()-3,클레임목록!$Q$2:$Q$2000,0)),"")</f>
        <v/>
      </c>
      <c r="F69" s="0" t="str">
        <f aca="false">IF(E69="","",COUNTIFS(데이터_내용,E69,데이터_연도,기준연도))</f>
        <v/>
      </c>
      <c r="G69" s="55" t="str">
        <f aca="false">IF(E69="","",F69-ROW()/100000)</f>
        <v/>
      </c>
    </row>
    <row r="70" customFormat="false" ht="15" hidden="false" customHeight="false" outlineLevel="0" collapsed="false">
      <c r="A70" s="0" t="str">
        <f aca="false">IFERROR(INDEX(클레임목록!$C$2:$C$2000,MATCH(ROW()-3,클레임목록!$P$2:$P$2000,0)),"")</f>
        <v/>
      </c>
      <c r="B70" s="0" t="str">
        <f aca="false">IF(A70="","",COUNTIFS(데이터_제공인력,A70,데이터_연도,기준연도))</f>
        <v/>
      </c>
      <c r="C70" s="55" t="str">
        <f aca="false">IF(A70="","",B70-ROW()/100000)</f>
        <v/>
      </c>
      <c r="E70" s="0" t="str">
        <f aca="false">IFERROR(INDEX(클레임목록!$F$2:$F$2000,MATCH(ROW()-3,클레임목록!$Q$2:$Q$2000,0)),"")</f>
        <v/>
      </c>
      <c r="F70" s="0" t="str">
        <f aca="false">IF(E70="","",COUNTIFS(데이터_내용,E70,데이터_연도,기준연도))</f>
        <v/>
      </c>
      <c r="G70" s="55" t="str">
        <f aca="false">IF(E70="","",F70-ROW()/100000)</f>
        <v/>
      </c>
    </row>
    <row r="71" customFormat="false" ht="15" hidden="false" customHeight="false" outlineLevel="0" collapsed="false">
      <c r="A71" s="0" t="str">
        <f aca="false">IFERROR(INDEX(클레임목록!$C$2:$C$2000,MATCH(ROW()-3,클레임목록!$P$2:$P$2000,0)),"")</f>
        <v/>
      </c>
      <c r="B71" s="0" t="str">
        <f aca="false">IF(A71="","",COUNTIFS(데이터_제공인력,A71,데이터_연도,기준연도))</f>
        <v/>
      </c>
      <c r="C71" s="55" t="str">
        <f aca="false">IF(A71="","",B71-ROW()/100000)</f>
        <v/>
      </c>
      <c r="E71" s="0" t="str">
        <f aca="false">IFERROR(INDEX(클레임목록!$F$2:$F$2000,MATCH(ROW()-3,클레임목록!$Q$2:$Q$2000,0)),"")</f>
        <v/>
      </c>
      <c r="F71" s="0" t="str">
        <f aca="false">IF(E71="","",COUNTIFS(데이터_내용,E71,데이터_연도,기준연도))</f>
        <v/>
      </c>
      <c r="G71" s="55" t="str">
        <f aca="false">IF(E71="","",F71-ROW()/100000)</f>
        <v/>
      </c>
    </row>
    <row r="72" customFormat="false" ht="15" hidden="false" customHeight="false" outlineLevel="0" collapsed="false">
      <c r="A72" s="0" t="str">
        <f aca="false">IFERROR(INDEX(클레임목록!$C$2:$C$2000,MATCH(ROW()-3,클레임목록!$P$2:$P$2000,0)),"")</f>
        <v/>
      </c>
      <c r="B72" s="0" t="str">
        <f aca="false">IF(A72="","",COUNTIFS(데이터_제공인력,A72,데이터_연도,기준연도))</f>
        <v/>
      </c>
      <c r="C72" s="55" t="str">
        <f aca="false">IF(A72="","",B72-ROW()/100000)</f>
        <v/>
      </c>
      <c r="E72" s="0" t="str">
        <f aca="false">IFERROR(INDEX(클레임목록!$F$2:$F$2000,MATCH(ROW()-3,클레임목록!$Q$2:$Q$2000,0)),"")</f>
        <v/>
      </c>
      <c r="F72" s="0" t="str">
        <f aca="false">IF(E72="","",COUNTIFS(데이터_내용,E72,데이터_연도,기준연도))</f>
        <v/>
      </c>
      <c r="G72" s="55" t="str">
        <f aca="false">IF(E72="","",F72-ROW()/100000)</f>
        <v/>
      </c>
    </row>
    <row r="73" customFormat="false" ht="15" hidden="false" customHeight="false" outlineLevel="0" collapsed="false">
      <c r="A73" s="0" t="str">
        <f aca="false">IFERROR(INDEX(클레임목록!$C$2:$C$2000,MATCH(ROW()-3,클레임목록!$P$2:$P$2000,0)),"")</f>
        <v/>
      </c>
      <c r="B73" s="0" t="str">
        <f aca="false">IF(A73="","",COUNTIFS(데이터_제공인력,A73,데이터_연도,기준연도))</f>
        <v/>
      </c>
      <c r="C73" s="55" t="str">
        <f aca="false">IF(A73="","",B73-ROW()/100000)</f>
        <v/>
      </c>
      <c r="E73" s="0" t="str">
        <f aca="false">IFERROR(INDEX(클레임목록!$F$2:$F$2000,MATCH(ROW()-3,클레임목록!$Q$2:$Q$2000,0)),"")</f>
        <v/>
      </c>
      <c r="F73" s="0" t="str">
        <f aca="false">IF(E73="","",COUNTIFS(데이터_내용,E73,데이터_연도,기준연도))</f>
        <v/>
      </c>
      <c r="G73" s="55" t="str">
        <f aca="false">IF(E73="","",F73-ROW()/100000)</f>
        <v/>
      </c>
    </row>
    <row r="74" customFormat="false" ht="15" hidden="false" customHeight="false" outlineLevel="0" collapsed="false">
      <c r="A74" s="0" t="str">
        <f aca="false">IFERROR(INDEX(클레임목록!$C$2:$C$2000,MATCH(ROW()-3,클레임목록!$P$2:$P$2000,0)),"")</f>
        <v/>
      </c>
      <c r="B74" s="0" t="str">
        <f aca="false">IF(A74="","",COUNTIFS(데이터_제공인력,A74,데이터_연도,기준연도))</f>
        <v/>
      </c>
      <c r="C74" s="55" t="str">
        <f aca="false">IF(A74="","",B74-ROW()/100000)</f>
        <v/>
      </c>
      <c r="E74" s="0" t="str">
        <f aca="false">IFERROR(INDEX(클레임목록!$F$2:$F$2000,MATCH(ROW()-3,클레임목록!$Q$2:$Q$2000,0)),"")</f>
        <v/>
      </c>
      <c r="F74" s="0" t="str">
        <f aca="false">IF(E74="","",COUNTIFS(데이터_내용,E74,데이터_연도,기준연도))</f>
        <v/>
      </c>
      <c r="G74" s="55" t="str">
        <f aca="false">IF(E74="","",F74-ROW()/100000)</f>
        <v/>
      </c>
    </row>
    <row r="75" customFormat="false" ht="15" hidden="false" customHeight="false" outlineLevel="0" collapsed="false">
      <c r="A75" s="0" t="str">
        <f aca="false">IFERROR(INDEX(클레임목록!$C$2:$C$2000,MATCH(ROW()-3,클레임목록!$P$2:$P$2000,0)),"")</f>
        <v/>
      </c>
      <c r="B75" s="0" t="str">
        <f aca="false">IF(A75="","",COUNTIFS(데이터_제공인력,A75,데이터_연도,기준연도))</f>
        <v/>
      </c>
      <c r="C75" s="55" t="str">
        <f aca="false">IF(A75="","",B75-ROW()/100000)</f>
        <v/>
      </c>
      <c r="E75" s="0" t="str">
        <f aca="false">IFERROR(INDEX(클레임목록!$F$2:$F$2000,MATCH(ROW()-3,클레임목록!$Q$2:$Q$2000,0)),"")</f>
        <v/>
      </c>
      <c r="F75" s="0" t="str">
        <f aca="false">IF(E75="","",COUNTIFS(데이터_내용,E75,데이터_연도,기준연도))</f>
        <v/>
      </c>
      <c r="G75" s="55" t="str">
        <f aca="false">IF(E75="","",F75-ROW()/100000)</f>
        <v/>
      </c>
    </row>
    <row r="76" customFormat="false" ht="15" hidden="false" customHeight="false" outlineLevel="0" collapsed="false">
      <c r="A76" s="0" t="str">
        <f aca="false">IFERROR(INDEX(클레임목록!$C$2:$C$2000,MATCH(ROW()-3,클레임목록!$P$2:$P$2000,0)),"")</f>
        <v/>
      </c>
      <c r="B76" s="0" t="str">
        <f aca="false">IF(A76="","",COUNTIFS(데이터_제공인력,A76,데이터_연도,기준연도))</f>
        <v/>
      </c>
      <c r="C76" s="55" t="str">
        <f aca="false">IF(A76="","",B76-ROW()/100000)</f>
        <v/>
      </c>
      <c r="E76" s="0" t="str">
        <f aca="false">IFERROR(INDEX(클레임목록!$F$2:$F$2000,MATCH(ROW()-3,클레임목록!$Q$2:$Q$2000,0)),"")</f>
        <v/>
      </c>
      <c r="F76" s="0" t="str">
        <f aca="false">IF(E76="","",COUNTIFS(데이터_내용,E76,데이터_연도,기준연도))</f>
        <v/>
      </c>
      <c r="G76" s="55" t="str">
        <f aca="false">IF(E76="","",F76-ROW()/100000)</f>
        <v/>
      </c>
    </row>
    <row r="77" customFormat="false" ht="15" hidden="false" customHeight="false" outlineLevel="0" collapsed="false">
      <c r="A77" s="0" t="str">
        <f aca="false">IFERROR(INDEX(클레임목록!$C$2:$C$2000,MATCH(ROW()-3,클레임목록!$P$2:$P$2000,0)),"")</f>
        <v/>
      </c>
      <c r="B77" s="0" t="str">
        <f aca="false">IF(A77="","",COUNTIFS(데이터_제공인력,A77,데이터_연도,기준연도))</f>
        <v/>
      </c>
      <c r="C77" s="55" t="str">
        <f aca="false">IF(A77="","",B77-ROW()/100000)</f>
        <v/>
      </c>
      <c r="E77" s="0" t="str">
        <f aca="false">IFERROR(INDEX(클레임목록!$F$2:$F$2000,MATCH(ROW()-3,클레임목록!$Q$2:$Q$2000,0)),"")</f>
        <v/>
      </c>
      <c r="F77" s="0" t="str">
        <f aca="false">IF(E77="","",COUNTIFS(데이터_내용,E77,데이터_연도,기준연도))</f>
        <v/>
      </c>
      <c r="G77" s="55" t="str">
        <f aca="false">IF(E77="","",F77-ROW()/100000)</f>
        <v/>
      </c>
    </row>
    <row r="78" customFormat="false" ht="15" hidden="false" customHeight="false" outlineLevel="0" collapsed="false">
      <c r="A78" s="0" t="str">
        <f aca="false">IFERROR(INDEX(클레임목록!$C$2:$C$2000,MATCH(ROW()-3,클레임목록!$P$2:$P$2000,0)),"")</f>
        <v/>
      </c>
      <c r="B78" s="0" t="str">
        <f aca="false">IF(A78="","",COUNTIFS(데이터_제공인력,A78,데이터_연도,기준연도))</f>
        <v/>
      </c>
      <c r="C78" s="55" t="str">
        <f aca="false">IF(A78="","",B78-ROW()/100000)</f>
        <v/>
      </c>
      <c r="E78" s="0" t="str">
        <f aca="false">IFERROR(INDEX(클레임목록!$F$2:$F$2000,MATCH(ROW()-3,클레임목록!$Q$2:$Q$2000,0)),"")</f>
        <v/>
      </c>
      <c r="F78" s="0" t="str">
        <f aca="false">IF(E78="","",COUNTIFS(데이터_내용,E78,데이터_연도,기준연도))</f>
        <v/>
      </c>
      <c r="G78" s="55" t="str">
        <f aca="false">IF(E78="","",F78-ROW()/100000)</f>
        <v/>
      </c>
    </row>
    <row r="79" customFormat="false" ht="15" hidden="false" customHeight="false" outlineLevel="0" collapsed="false">
      <c r="A79" s="0" t="str">
        <f aca="false">IFERROR(INDEX(클레임목록!$C$2:$C$2000,MATCH(ROW()-3,클레임목록!$P$2:$P$2000,0)),"")</f>
        <v/>
      </c>
      <c r="B79" s="0" t="str">
        <f aca="false">IF(A79="","",COUNTIFS(데이터_제공인력,A79,데이터_연도,기준연도))</f>
        <v/>
      </c>
      <c r="C79" s="55" t="str">
        <f aca="false">IF(A79="","",B79-ROW()/100000)</f>
        <v/>
      </c>
      <c r="E79" s="0" t="str">
        <f aca="false">IFERROR(INDEX(클레임목록!$F$2:$F$2000,MATCH(ROW()-3,클레임목록!$Q$2:$Q$2000,0)),"")</f>
        <v/>
      </c>
      <c r="F79" s="0" t="str">
        <f aca="false">IF(E79="","",COUNTIFS(데이터_내용,E79,데이터_연도,기준연도))</f>
        <v/>
      </c>
      <c r="G79" s="55" t="str">
        <f aca="false">IF(E79="","",F79-ROW()/100000)</f>
        <v/>
      </c>
    </row>
    <row r="80" customFormat="false" ht="15" hidden="false" customHeight="false" outlineLevel="0" collapsed="false">
      <c r="A80" s="0" t="str">
        <f aca="false">IFERROR(INDEX(클레임목록!$C$2:$C$2000,MATCH(ROW()-3,클레임목록!$P$2:$P$2000,0)),"")</f>
        <v/>
      </c>
      <c r="B80" s="0" t="str">
        <f aca="false">IF(A80="","",COUNTIFS(데이터_제공인력,A80,데이터_연도,기준연도))</f>
        <v/>
      </c>
      <c r="C80" s="55" t="str">
        <f aca="false">IF(A80="","",B80-ROW()/100000)</f>
        <v/>
      </c>
      <c r="E80" s="0" t="str">
        <f aca="false">IFERROR(INDEX(클레임목록!$F$2:$F$2000,MATCH(ROW()-3,클레임목록!$Q$2:$Q$2000,0)),"")</f>
        <v/>
      </c>
      <c r="F80" s="0" t="str">
        <f aca="false">IF(E80="","",COUNTIFS(데이터_내용,E80,데이터_연도,기준연도))</f>
        <v/>
      </c>
      <c r="G80" s="55" t="str">
        <f aca="false">IF(E80="","",F80-ROW()/100000)</f>
        <v/>
      </c>
    </row>
    <row r="81" customFormat="false" ht="15" hidden="false" customHeight="false" outlineLevel="0" collapsed="false">
      <c r="A81" s="0" t="str">
        <f aca="false">IFERROR(INDEX(클레임목록!$C$2:$C$2000,MATCH(ROW()-3,클레임목록!$P$2:$P$2000,0)),"")</f>
        <v/>
      </c>
      <c r="B81" s="0" t="str">
        <f aca="false">IF(A81="","",COUNTIFS(데이터_제공인력,A81,데이터_연도,기준연도))</f>
        <v/>
      </c>
      <c r="C81" s="55" t="str">
        <f aca="false">IF(A81="","",B81-ROW()/100000)</f>
        <v/>
      </c>
      <c r="E81" s="0" t="str">
        <f aca="false">IFERROR(INDEX(클레임목록!$F$2:$F$2000,MATCH(ROW()-3,클레임목록!$Q$2:$Q$2000,0)),"")</f>
        <v/>
      </c>
      <c r="F81" s="0" t="str">
        <f aca="false">IF(E81="","",COUNTIFS(데이터_내용,E81,데이터_연도,기준연도))</f>
        <v/>
      </c>
      <c r="G81" s="55" t="str">
        <f aca="false">IF(E81="","",F81-ROW()/100000)</f>
        <v/>
      </c>
    </row>
    <row r="82" customFormat="false" ht="15" hidden="false" customHeight="false" outlineLevel="0" collapsed="false">
      <c r="A82" s="0" t="str">
        <f aca="false">IFERROR(INDEX(클레임목록!$C$2:$C$2000,MATCH(ROW()-3,클레임목록!$P$2:$P$2000,0)),"")</f>
        <v/>
      </c>
      <c r="B82" s="0" t="str">
        <f aca="false">IF(A82="","",COUNTIFS(데이터_제공인력,A82,데이터_연도,기준연도))</f>
        <v/>
      </c>
      <c r="C82" s="55" t="str">
        <f aca="false">IF(A82="","",B82-ROW()/100000)</f>
        <v/>
      </c>
      <c r="E82" s="0" t="str">
        <f aca="false">IFERROR(INDEX(클레임목록!$F$2:$F$2000,MATCH(ROW()-3,클레임목록!$Q$2:$Q$2000,0)),"")</f>
        <v/>
      </c>
      <c r="F82" s="0" t="str">
        <f aca="false">IF(E82="","",COUNTIFS(데이터_내용,E82,데이터_연도,기준연도))</f>
        <v/>
      </c>
      <c r="G82" s="55" t="str">
        <f aca="false">IF(E82="","",F82-ROW()/100000)</f>
        <v/>
      </c>
    </row>
    <row r="83" customFormat="false" ht="15" hidden="false" customHeight="false" outlineLevel="0" collapsed="false">
      <c r="A83" s="0" t="str">
        <f aca="false">IFERROR(INDEX(클레임목록!$C$2:$C$2000,MATCH(ROW()-3,클레임목록!$P$2:$P$2000,0)),"")</f>
        <v/>
      </c>
      <c r="B83" s="0" t="str">
        <f aca="false">IF(A83="","",COUNTIFS(데이터_제공인력,A83,데이터_연도,기준연도))</f>
        <v/>
      </c>
      <c r="C83" s="55" t="str">
        <f aca="false">IF(A83="","",B83-ROW()/100000)</f>
        <v/>
      </c>
      <c r="E83" s="0" t="str">
        <f aca="false">IFERROR(INDEX(클레임목록!$F$2:$F$2000,MATCH(ROW()-3,클레임목록!$Q$2:$Q$2000,0)),"")</f>
        <v/>
      </c>
      <c r="F83" s="0" t="str">
        <f aca="false">IF(E83="","",COUNTIFS(데이터_내용,E83,데이터_연도,기준연도))</f>
        <v/>
      </c>
      <c r="G83" s="55" t="str">
        <f aca="false">IF(E83="","",F83-ROW()/100000)</f>
        <v/>
      </c>
    </row>
    <row r="84" customFormat="false" ht="15" hidden="false" customHeight="false" outlineLevel="0" collapsed="false">
      <c r="A84" s="0" t="str">
        <f aca="false">IFERROR(INDEX(클레임목록!$C$2:$C$2000,MATCH(ROW()-3,클레임목록!$P$2:$P$2000,0)),"")</f>
        <v/>
      </c>
      <c r="B84" s="0" t="str">
        <f aca="false">IF(A84="","",COUNTIFS(데이터_제공인력,A84,데이터_연도,기준연도))</f>
        <v/>
      </c>
      <c r="C84" s="55" t="str">
        <f aca="false">IF(A84="","",B84-ROW()/100000)</f>
        <v/>
      </c>
      <c r="E84" s="0" t="str">
        <f aca="false">IFERROR(INDEX(클레임목록!$F$2:$F$2000,MATCH(ROW()-3,클레임목록!$Q$2:$Q$2000,0)),"")</f>
        <v/>
      </c>
      <c r="F84" s="0" t="str">
        <f aca="false">IF(E84="","",COUNTIFS(데이터_내용,E84,데이터_연도,기준연도))</f>
        <v/>
      </c>
      <c r="G84" s="55" t="str">
        <f aca="false">IF(E84="","",F84-ROW()/100000)</f>
        <v/>
      </c>
    </row>
    <row r="85" customFormat="false" ht="15" hidden="false" customHeight="false" outlineLevel="0" collapsed="false">
      <c r="A85" s="0" t="str">
        <f aca="false">IFERROR(INDEX(클레임목록!$C$2:$C$2000,MATCH(ROW()-3,클레임목록!$P$2:$P$2000,0)),"")</f>
        <v/>
      </c>
      <c r="B85" s="0" t="str">
        <f aca="false">IF(A85="","",COUNTIFS(데이터_제공인력,A85,데이터_연도,기준연도))</f>
        <v/>
      </c>
      <c r="C85" s="55" t="str">
        <f aca="false">IF(A85="","",B85-ROW()/100000)</f>
        <v/>
      </c>
      <c r="E85" s="0" t="str">
        <f aca="false">IFERROR(INDEX(클레임목록!$F$2:$F$2000,MATCH(ROW()-3,클레임목록!$Q$2:$Q$2000,0)),"")</f>
        <v/>
      </c>
      <c r="F85" s="0" t="str">
        <f aca="false">IF(E85="","",COUNTIFS(데이터_내용,E85,데이터_연도,기준연도))</f>
        <v/>
      </c>
      <c r="G85" s="55" t="str">
        <f aca="false">IF(E85="","",F85-ROW()/100000)</f>
        <v/>
      </c>
    </row>
    <row r="86" customFormat="false" ht="15" hidden="false" customHeight="false" outlineLevel="0" collapsed="false">
      <c r="A86" s="0" t="str">
        <f aca="false">IFERROR(INDEX(클레임목록!$C$2:$C$2000,MATCH(ROW()-3,클레임목록!$P$2:$P$2000,0)),"")</f>
        <v/>
      </c>
      <c r="B86" s="0" t="str">
        <f aca="false">IF(A86="","",COUNTIFS(데이터_제공인력,A86,데이터_연도,기준연도))</f>
        <v/>
      </c>
      <c r="C86" s="55" t="str">
        <f aca="false">IF(A86="","",B86-ROW()/100000)</f>
        <v/>
      </c>
      <c r="E86" s="0" t="str">
        <f aca="false">IFERROR(INDEX(클레임목록!$F$2:$F$2000,MATCH(ROW()-3,클레임목록!$Q$2:$Q$2000,0)),"")</f>
        <v/>
      </c>
      <c r="F86" s="0" t="str">
        <f aca="false">IF(E86="","",COUNTIFS(데이터_내용,E86,데이터_연도,기준연도))</f>
        <v/>
      </c>
      <c r="G86" s="55" t="str">
        <f aca="false">IF(E86="","",F86-ROW()/100000)</f>
        <v/>
      </c>
    </row>
    <row r="87" customFormat="false" ht="15" hidden="false" customHeight="false" outlineLevel="0" collapsed="false">
      <c r="A87" s="0" t="str">
        <f aca="false">IFERROR(INDEX(클레임목록!$C$2:$C$2000,MATCH(ROW()-3,클레임목록!$P$2:$P$2000,0)),"")</f>
        <v/>
      </c>
      <c r="B87" s="0" t="str">
        <f aca="false">IF(A87="","",COUNTIFS(데이터_제공인력,A87,데이터_연도,기준연도))</f>
        <v/>
      </c>
      <c r="C87" s="55" t="str">
        <f aca="false">IF(A87="","",B87-ROW()/100000)</f>
        <v/>
      </c>
      <c r="E87" s="0" t="str">
        <f aca="false">IFERROR(INDEX(클레임목록!$F$2:$F$2000,MATCH(ROW()-3,클레임목록!$Q$2:$Q$2000,0)),"")</f>
        <v/>
      </c>
      <c r="F87" s="0" t="str">
        <f aca="false">IF(E87="","",COUNTIFS(데이터_내용,E87,데이터_연도,기준연도))</f>
        <v/>
      </c>
      <c r="G87" s="55" t="str">
        <f aca="false">IF(E87="","",F87-ROW()/100000)</f>
        <v/>
      </c>
    </row>
    <row r="88" customFormat="false" ht="15" hidden="false" customHeight="false" outlineLevel="0" collapsed="false">
      <c r="A88" s="0" t="str">
        <f aca="false">IFERROR(INDEX(클레임목록!$C$2:$C$2000,MATCH(ROW()-3,클레임목록!$P$2:$P$2000,0)),"")</f>
        <v/>
      </c>
      <c r="B88" s="0" t="str">
        <f aca="false">IF(A88="","",COUNTIFS(데이터_제공인력,A88,데이터_연도,기준연도))</f>
        <v/>
      </c>
      <c r="C88" s="55" t="str">
        <f aca="false">IF(A88="","",B88-ROW()/100000)</f>
        <v/>
      </c>
      <c r="E88" s="0" t="str">
        <f aca="false">IFERROR(INDEX(클레임목록!$F$2:$F$2000,MATCH(ROW()-3,클레임목록!$Q$2:$Q$2000,0)),"")</f>
        <v/>
      </c>
      <c r="F88" s="0" t="str">
        <f aca="false">IF(E88="","",COUNTIFS(데이터_내용,E88,데이터_연도,기준연도))</f>
        <v/>
      </c>
      <c r="G88" s="55" t="str">
        <f aca="false">IF(E88="","",F88-ROW()/100000)</f>
        <v/>
      </c>
    </row>
    <row r="89" customFormat="false" ht="15" hidden="false" customHeight="false" outlineLevel="0" collapsed="false">
      <c r="A89" s="0" t="str">
        <f aca="false">IFERROR(INDEX(클레임목록!$C$2:$C$2000,MATCH(ROW()-3,클레임목록!$P$2:$P$2000,0)),"")</f>
        <v/>
      </c>
      <c r="B89" s="0" t="str">
        <f aca="false">IF(A89="","",COUNTIFS(데이터_제공인력,A89,데이터_연도,기준연도))</f>
        <v/>
      </c>
      <c r="C89" s="55" t="str">
        <f aca="false">IF(A89="","",B89-ROW()/100000)</f>
        <v/>
      </c>
      <c r="E89" s="0" t="str">
        <f aca="false">IFERROR(INDEX(클레임목록!$F$2:$F$2000,MATCH(ROW()-3,클레임목록!$Q$2:$Q$2000,0)),"")</f>
        <v/>
      </c>
      <c r="F89" s="0" t="str">
        <f aca="false">IF(E89="","",COUNTIFS(데이터_내용,E89,데이터_연도,기준연도))</f>
        <v/>
      </c>
      <c r="G89" s="55" t="str">
        <f aca="false">IF(E89="","",F89-ROW()/100000)</f>
        <v/>
      </c>
    </row>
    <row r="90" customFormat="false" ht="15" hidden="false" customHeight="false" outlineLevel="0" collapsed="false">
      <c r="A90" s="0" t="str">
        <f aca="false">IFERROR(INDEX(클레임목록!$C$2:$C$2000,MATCH(ROW()-3,클레임목록!$P$2:$P$2000,0)),"")</f>
        <v/>
      </c>
      <c r="B90" s="0" t="str">
        <f aca="false">IF(A90="","",COUNTIFS(데이터_제공인력,A90,데이터_연도,기준연도))</f>
        <v/>
      </c>
      <c r="C90" s="55" t="str">
        <f aca="false">IF(A90="","",B90-ROW()/100000)</f>
        <v/>
      </c>
      <c r="E90" s="0" t="str">
        <f aca="false">IFERROR(INDEX(클레임목록!$F$2:$F$2000,MATCH(ROW()-3,클레임목록!$Q$2:$Q$2000,0)),"")</f>
        <v/>
      </c>
      <c r="F90" s="0" t="str">
        <f aca="false">IF(E90="","",COUNTIFS(데이터_내용,E90,데이터_연도,기준연도))</f>
        <v/>
      </c>
      <c r="G90" s="55" t="str">
        <f aca="false">IF(E90="","",F90-ROW()/100000)</f>
        <v/>
      </c>
    </row>
    <row r="91" customFormat="false" ht="15" hidden="false" customHeight="false" outlineLevel="0" collapsed="false">
      <c r="A91" s="0" t="str">
        <f aca="false">IFERROR(INDEX(클레임목록!$C$2:$C$2000,MATCH(ROW()-3,클레임목록!$P$2:$P$2000,0)),"")</f>
        <v/>
      </c>
      <c r="B91" s="0" t="str">
        <f aca="false">IF(A91="","",COUNTIFS(데이터_제공인력,A91,데이터_연도,기준연도))</f>
        <v/>
      </c>
      <c r="C91" s="55" t="str">
        <f aca="false">IF(A91="","",B91-ROW()/100000)</f>
        <v/>
      </c>
      <c r="E91" s="0" t="str">
        <f aca="false">IFERROR(INDEX(클레임목록!$F$2:$F$2000,MATCH(ROW()-3,클레임목록!$Q$2:$Q$2000,0)),"")</f>
        <v/>
      </c>
      <c r="F91" s="0" t="str">
        <f aca="false">IF(E91="","",COUNTIFS(데이터_내용,E91,데이터_연도,기준연도))</f>
        <v/>
      </c>
      <c r="G91" s="55" t="str">
        <f aca="false">IF(E91="","",F91-ROW()/100000)</f>
        <v/>
      </c>
    </row>
    <row r="92" customFormat="false" ht="15" hidden="false" customHeight="false" outlineLevel="0" collapsed="false">
      <c r="A92" s="0" t="str">
        <f aca="false">IFERROR(INDEX(클레임목록!$C$2:$C$2000,MATCH(ROW()-3,클레임목록!$P$2:$P$2000,0)),"")</f>
        <v/>
      </c>
      <c r="B92" s="0" t="str">
        <f aca="false">IF(A92="","",COUNTIFS(데이터_제공인력,A92,데이터_연도,기준연도))</f>
        <v/>
      </c>
      <c r="C92" s="55" t="str">
        <f aca="false">IF(A92="","",B92-ROW()/100000)</f>
        <v/>
      </c>
      <c r="E92" s="0" t="str">
        <f aca="false">IFERROR(INDEX(클레임목록!$F$2:$F$2000,MATCH(ROW()-3,클레임목록!$Q$2:$Q$2000,0)),"")</f>
        <v/>
      </c>
      <c r="F92" s="0" t="str">
        <f aca="false">IF(E92="","",COUNTIFS(데이터_내용,E92,데이터_연도,기준연도))</f>
        <v/>
      </c>
      <c r="G92" s="55" t="str">
        <f aca="false">IF(E92="","",F92-ROW()/100000)</f>
        <v/>
      </c>
    </row>
    <row r="93" customFormat="false" ht="15" hidden="false" customHeight="false" outlineLevel="0" collapsed="false">
      <c r="A93" s="0" t="str">
        <f aca="false">IFERROR(INDEX(클레임목록!$C$2:$C$2000,MATCH(ROW()-3,클레임목록!$P$2:$P$2000,0)),"")</f>
        <v/>
      </c>
      <c r="B93" s="0" t="str">
        <f aca="false">IF(A93="","",COUNTIFS(데이터_제공인력,A93,데이터_연도,기준연도))</f>
        <v/>
      </c>
      <c r="C93" s="55" t="str">
        <f aca="false">IF(A93="","",B93-ROW()/100000)</f>
        <v/>
      </c>
      <c r="E93" s="0" t="str">
        <f aca="false">IFERROR(INDEX(클레임목록!$F$2:$F$2000,MATCH(ROW()-3,클레임목록!$Q$2:$Q$2000,0)),"")</f>
        <v/>
      </c>
      <c r="F93" s="0" t="str">
        <f aca="false">IF(E93="","",COUNTIFS(데이터_내용,E93,데이터_연도,기준연도))</f>
        <v/>
      </c>
      <c r="G93" s="55" t="str">
        <f aca="false">IF(E93="","",F93-ROW()/100000)</f>
        <v/>
      </c>
    </row>
    <row r="94" customFormat="false" ht="15" hidden="false" customHeight="false" outlineLevel="0" collapsed="false">
      <c r="A94" s="0" t="str">
        <f aca="false">IFERROR(INDEX(클레임목록!$C$2:$C$2000,MATCH(ROW()-3,클레임목록!$P$2:$P$2000,0)),"")</f>
        <v/>
      </c>
      <c r="B94" s="0" t="str">
        <f aca="false">IF(A94="","",COUNTIFS(데이터_제공인력,A94,데이터_연도,기준연도))</f>
        <v/>
      </c>
      <c r="C94" s="55" t="str">
        <f aca="false">IF(A94="","",B94-ROW()/100000)</f>
        <v/>
      </c>
      <c r="E94" s="0" t="str">
        <f aca="false">IFERROR(INDEX(클레임목록!$F$2:$F$2000,MATCH(ROW()-3,클레임목록!$Q$2:$Q$2000,0)),"")</f>
        <v/>
      </c>
      <c r="F94" s="0" t="str">
        <f aca="false">IF(E94="","",COUNTIFS(데이터_내용,E94,데이터_연도,기준연도))</f>
        <v/>
      </c>
      <c r="G94" s="55" t="str">
        <f aca="false">IF(E94="","",F94-ROW()/100000)</f>
        <v/>
      </c>
    </row>
    <row r="95" customFormat="false" ht="15" hidden="false" customHeight="false" outlineLevel="0" collapsed="false">
      <c r="A95" s="0" t="str">
        <f aca="false">IFERROR(INDEX(클레임목록!$C$2:$C$2000,MATCH(ROW()-3,클레임목록!$P$2:$P$2000,0)),"")</f>
        <v/>
      </c>
      <c r="B95" s="0" t="str">
        <f aca="false">IF(A95="","",COUNTIFS(데이터_제공인력,A95,데이터_연도,기준연도))</f>
        <v/>
      </c>
      <c r="C95" s="55" t="str">
        <f aca="false">IF(A95="","",B95-ROW()/100000)</f>
        <v/>
      </c>
      <c r="E95" s="0" t="str">
        <f aca="false">IFERROR(INDEX(클레임목록!$F$2:$F$2000,MATCH(ROW()-3,클레임목록!$Q$2:$Q$2000,0)),"")</f>
        <v/>
      </c>
      <c r="F95" s="0" t="str">
        <f aca="false">IF(E95="","",COUNTIFS(데이터_내용,E95,데이터_연도,기준연도))</f>
        <v/>
      </c>
      <c r="G95" s="55" t="str">
        <f aca="false">IF(E95="","",F95-ROW()/100000)</f>
        <v/>
      </c>
    </row>
    <row r="96" customFormat="false" ht="15" hidden="false" customHeight="false" outlineLevel="0" collapsed="false">
      <c r="A96" s="0" t="str">
        <f aca="false">IFERROR(INDEX(클레임목록!$C$2:$C$2000,MATCH(ROW()-3,클레임목록!$P$2:$P$2000,0)),"")</f>
        <v/>
      </c>
      <c r="B96" s="0" t="str">
        <f aca="false">IF(A96="","",COUNTIFS(데이터_제공인력,A96,데이터_연도,기준연도))</f>
        <v/>
      </c>
      <c r="C96" s="55" t="str">
        <f aca="false">IF(A96="","",B96-ROW()/100000)</f>
        <v/>
      </c>
      <c r="E96" s="0" t="str">
        <f aca="false">IFERROR(INDEX(클레임목록!$F$2:$F$2000,MATCH(ROW()-3,클레임목록!$Q$2:$Q$2000,0)),"")</f>
        <v/>
      </c>
      <c r="F96" s="0" t="str">
        <f aca="false">IF(E96="","",COUNTIFS(데이터_내용,E96,데이터_연도,기준연도))</f>
        <v/>
      </c>
      <c r="G96" s="55" t="str">
        <f aca="false">IF(E96="","",F96-ROW()/100000)</f>
        <v/>
      </c>
    </row>
    <row r="97" customFormat="false" ht="15" hidden="false" customHeight="false" outlineLevel="0" collapsed="false">
      <c r="A97" s="0" t="str">
        <f aca="false">IFERROR(INDEX(클레임목록!$C$2:$C$2000,MATCH(ROW()-3,클레임목록!$P$2:$P$2000,0)),"")</f>
        <v/>
      </c>
      <c r="B97" s="0" t="str">
        <f aca="false">IF(A97="","",COUNTIFS(데이터_제공인력,A97,데이터_연도,기준연도))</f>
        <v/>
      </c>
      <c r="C97" s="55" t="str">
        <f aca="false">IF(A97="","",B97-ROW()/100000)</f>
        <v/>
      </c>
      <c r="E97" s="0" t="str">
        <f aca="false">IFERROR(INDEX(클레임목록!$F$2:$F$2000,MATCH(ROW()-3,클레임목록!$Q$2:$Q$2000,0)),"")</f>
        <v/>
      </c>
      <c r="F97" s="0" t="str">
        <f aca="false">IF(E97="","",COUNTIFS(데이터_내용,E97,데이터_연도,기준연도))</f>
        <v/>
      </c>
      <c r="G97" s="55" t="str">
        <f aca="false">IF(E97="","",F97-ROW()/100000)</f>
        <v/>
      </c>
    </row>
    <row r="98" customFormat="false" ht="15" hidden="false" customHeight="false" outlineLevel="0" collapsed="false">
      <c r="A98" s="0" t="str">
        <f aca="false">IFERROR(INDEX(클레임목록!$C$2:$C$2000,MATCH(ROW()-3,클레임목록!$P$2:$P$2000,0)),"")</f>
        <v/>
      </c>
      <c r="B98" s="0" t="str">
        <f aca="false">IF(A98="","",COUNTIFS(데이터_제공인력,A98,데이터_연도,기준연도))</f>
        <v/>
      </c>
      <c r="C98" s="55" t="str">
        <f aca="false">IF(A98="","",B98-ROW()/100000)</f>
        <v/>
      </c>
      <c r="E98" s="0" t="str">
        <f aca="false">IFERROR(INDEX(클레임목록!$F$2:$F$2000,MATCH(ROW()-3,클레임목록!$Q$2:$Q$2000,0)),"")</f>
        <v/>
      </c>
      <c r="F98" s="0" t="str">
        <f aca="false">IF(E98="","",COUNTIFS(데이터_내용,E98,데이터_연도,기준연도))</f>
        <v/>
      </c>
      <c r="G98" s="55" t="str">
        <f aca="false">IF(E98="","",F98-ROW()/100000)</f>
        <v/>
      </c>
    </row>
    <row r="99" customFormat="false" ht="15" hidden="false" customHeight="false" outlineLevel="0" collapsed="false">
      <c r="A99" s="0" t="str">
        <f aca="false">IFERROR(INDEX(클레임목록!$C$2:$C$2000,MATCH(ROW()-3,클레임목록!$P$2:$P$2000,0)),"")</f>
        <v/>
      </c>
      <c r="B99" s="0" t="str">
        <f aca="false">IF(A99="","",COUNTIFS(데이터_제공인력,A99,데이터_연도,기준연도))</f>
        <v/>
      </c>
      <c r="C99" s="55" t="str">
        <f aca="false">IF(A99="","",B99-ROW()/100000)</f>
        <v/>
      </c>
      <c r="E99" s="0" t="str">
        <f aca="false">IFERROR(INDEX(클레임목록!$F$2:$F$2000,MATCH(ROW()-3,클레임목록!$Q$2:$Q$2000,0)),"")</f>
        <v/>
      </c>
      <c r="F99" s="0" t="str">
        <f aca="false">IF(E99="","",COUNTIFS(데이터_내용,E99,데이터_연도,기준연도))</f>
        <v/>
      </c>
      <c r="G99" s="55" t="str">
        <f aca="false">IF(E99="","",F99-ROW()/100000)</f>
        <v/>
      </c>
    </row>
    <row r="100" customFormat="false" ht="15" hidden="false" customHeight="false" outlineLevel="0" collapsed="false">
      <c r="A100" s="0" t="str">
        <f aca="false">IFERROR(INDEX(클레임목록!$C$2:$C$2000,MATCH(ROW()-3,클레임목록!$P$2:$P$2000,0)),"")</f>
        <v/>
      </c>
      <c r="B100" s="0" t="str">
        <f aca="false">IF(A100="","",COUNTIFS(데이터_제공인력,A100,데이터_연도,기준연도))</f>
        <v/>
      </c>
      <c r="C100" s="55" t="str">
        <f aca="false">IF(A100="","",B100-ROW()/100000)</f>
        <v/>
      </c>
      <c r="E100" s="0" t="str">
        <f aca="false">IFERROR(INDEX(클레임목록!$F$2:$F$2000,MATCH(ROW()-3,클레임목록!$Q$2:$Q$2000,0)),"")</f>
        <v/>
      </c>
      <c r="F100" s="0" t="str">
        <f aca="false">IF(E100="","",COUNTIFS(데이터_내용,E100,데이터_연도,기준연도))</f>
        <v/>
      </c>
      <c r="G100" s="55" t="str">
        <f aca="false">IF(E100="","",F100-ROW()/100000)</f>
        <v/>
      </c>
    </row>
    <row r="101" customFormat="false" ht="15" hidden="false" customHeight="false" outlineLevel="0" collapsed="false">
      <c r="A101" s="0" t="str">
        <f aca="false">IFERROR(INDEX(클레임목록!$C$2:$C$2000,MATCH(ROW()-3,클레임목록!$P$2:$P$2000,0)),"")</f>
        <v/>
      </c>
      <c r="B101" s="0" t="str">
        <f aca="false">IF(A101="","",COUNTIFS(데이터_제공인력,A101,데이터_연도,기준연도))</f>
        <v/>
      </c>
      <c r="C101" s="55" t="str">
        <f aca="false">IF(A101="","",B101-ROW()/100000)</f>
        <v/>
      </c>
      <c r="E101" s="0" t="str">
        <f aca="false">IFERROR(INDEX(클레임목록!$F$2:$F$2000,MATCH(ROW()-3,클레임목록!$Q$2:$Q$2000,0)),"")</f>
        <v/>
      </c>
      <c r="F101" s="0" t="str">
        <f aca="false">IF(E101="","",COUNTIFS(데이터_내용,E101,데이터_연도,기준연도))</f>
        <v/>
      </c>
      <c r="G101" s="55" t="str">
        <f aca="false">IF(E101="","",F101-ROW()/100000)</f>
        <v/>
      </c>
    </row>
    <row r="102" customFormat="false" ht="15" hidden="false" customHeight="false" outlineLevel="0" collapsed="false">
      <c r="A102" s="0" t="str">
        <f aca="false">IFERROR(INDEX(클레임목록!$C$2:$C$2000,MATCH(ROW()-3,클레임목록!$P$2:$P$2000,0)),"")</f>
        <v/>
      </c>
      <c r="B102" s="0" t="str">
        <f aca="false">IF(A102="","",COUNTIFS(데이터_제공인력,A102,데이터_연도,기준연도))</f>
        <v/>
      </c>
      <c r="C102" s="55" t="str">
        <f aca="false">IF(A102="","",B102-ROW()/100000)</f>
        <v/>
      </c>
      <c r="E102" s="0" t="str">
        <f aca="false">IFERROR(INDEX(클레임목록!$F$2:$F$2000,MATCH(ROW()-3,클레임목록!$Q$2:$Q$2000,0)),"")</f>
        <v/>
      </c>
      <c r="F102" s="0" t="str">
        <f aca="false">IF(E102="","",COUNTIFS(데이터_내용,E102,데이터_연도,기준연도))</f>
        <v/>
      </c>
      <c r="G102" s="55" t="str">
        <f aca="false">IF(E102="","",F102-ROW()/100000)</f>
        <v/>
      </c>
    </row>
    <row r="103" customFormat="false" ht="15" hidden="false" customHeight="false" outlineLevel="0" collapsed="false">
      <c r="A103" s="0" t="str">
        <f aca="false">IFERROR(INDEX(클레임목록!$C$2:$C$2000,MATCH(ROW()-3,클레임목록!$P$2:$P$2000,0)),"")</f>
        <v/>
      </c>
      <c r="B103" s="0" t="str">
        <f aca="false">IF(A103="","",COUNTIFS(데이터_제공인력,A103,데이터_연도,기준연도))</f>
        <v/>
      </c>
      <c r="C103" s="55" t="str">
        <f aca="false">IF(A103="","",B103-ROW()/100000)</f>
        <v/>
      </c>
      <c r="E103" s="0" t="str">
        <f aca="false">IFERROR(INDEX(클레임목록!$F$2:$F$2000,MATCH(ROW()-3,클레임목록!$Q$2:$Q$2000,0)),"")</f>
        <v/>
      </c>
      <c r="F103" s="0" t="str">
        <f aca="false">IF(E103="","",COUNTIFS(데이터_내용,E103,데이터_연도,기준연도))</f>
        <v/>
      </c>
      <c r="G103" s="55" t="str">
        <f aca="false">IF(E103="","",F103-ROW()/100000)</f>
        <v/>
      </c>
    </row>
    <row r="104" customFormat="false" ht="15" hidden="false" customHeight="false" outlineLevel="0" collapsed="false">
      <c r="A104" s="0" t="str">
        <f aca="false">IFERROR(INDEX(클레임목록!$C$2:$C$2000,MATCH(ROW()-3,클레임목록!$P$2:$P$2000,0)),"")</f>
        <v/>
      </c>
      <c r="B104" s="0" t="str">
        <f aca="false">IF(A104="","",COUNTIFS(데이터_제공인력,A104,데이터_연도,기준연도))</f>
        <v/>
      </c>
      <c r="C104" s="55" t="str">
        <f aca="false">IF(A104="","",B104-ROW()/100000)</f>
        <v/>
      </c>
    </row>
    <row r="105" customFormat="false" ht="15" hidden="false" customHeight="false" outlineLevel="0" collapsed="false">
      <c r="A105" s="0" t="str">
        <f aca="false">IFERROR(INDEX(클레임목록!$C$2:$C$2000,MATCH(ROW()-3,클레임목록!$P$2:$P$2000,0)),"")</f>
        <v/>
      </c>
      <c r="B105" s="0" t="str">
        <f aca="false">IF(A105="","",COUNTIFS(데이터_제공인력,A105,데이터_연도,기준연도))</f>
        <v/>
      </c>
      <c r="C105" s="55" t="str">
        <f aca="false">IF(A105="","",B105-ROW()/100000)</f>
        <v/>
      </c>
    </row>
    <row r="106" customFormat="false" ht="15" hidden="false" customHeight="false" outlineLevel="0" collapsed="false">
      <c r="A106" s="0" t="str">
        <f aca="false">IFERROR(INDEX(클레임목록!$C$2:$C$2000,MATCH(ROW()-3,클레임목록!$P$2:$P$2000,0)),"")</f>
        <v/>
      </c>
      <c r="B106" s="0" t="str">
        <f aca="false">IF(A106="","",COUNTIFS(데이터_제공인력,A106,데이터_연도,기준연도))</f>
        <v/>
      </c>
      <c r="C106" s="55" t="str">
        <f aca="false">IF(A106="","",B106-ROW()/100000)</f>
        <v/>
      </c>
    </row>
    <row r="107" customFormat="false" ht="15" hidden="false" customHeight="false" outlineLevel="0" collapsed="false">
      <c r="A107" s="0" t="str">
        <f aca="false">IFERROR(INDEX(클레임목록!$C$2:$C$2000,MATCH(ROW()-3,클레임목록!$P$2:$P$2000,0)),"")</f>
        <v/>
      </c>
      <c r="B107" s="0" t="str">
        <f aca="false">IF(A107="","",COUNTIFS(데이터_제공인력,A107,데이터_연도,기준연도))</f>
        <v/>
      </c>
      <c r="C107" s="55" t="str">
        <f aca="false">IF(A107="","",B107-ROW()/100000)</f>
        <v/>
      </c>
    </row>
    <row r="108" customFormat="false" ht="15" hidden="false" customHeight="false" outlineLevel="0" collapsed="false">
      <c r="A108" s="0" t="str">
        <f aca="false">IFERROR(INDEX(클레임목록!$C$2:$C$2000,MATCH(ROW()-3,클레임목록!$P$2:$P$2000,0)),"")</f>
        <v/>
      </c>
      <c r="B108" s="0" t="str">
        <f aca="false">IF(A108="","",COUNTIFS(데이터_제공인력,A108,데이터_연도,기준연도))</f>
        <v/>
      </c>
      <c r="C108" s="55" t="str">
        <f aca="false">IF(A108="","",B108-ROW()/100000)</f>
        <v/>
      </c>
    </row>
    <row r="109" customFormat="false" ht="15" hidden="false" customHeight="false" outlineLevel="0" collapsed="false">
      <c r="A109" s="0" t="str">
        <f aca="false">IFERROR(INDEX(클레임목록!$C$2:$C$2000,MATCH(ROW()-3,클레임목록!$P$2:$P$2000,0)),"")</f>
        <v/>
      </c>
      <c r="B109" s="0" t="str">
        <f aca="false">IF(A109="","",COUNTIFS(데이터_제공인력,A109,데이터_연도,기준연도))</f>
        <v/>
      </c>
      <c r="C109" s="55" t="str">
        <f aca="false">IF(A109="","",B109-ROW()/100000)</f>
        <v/>
      </c>
    </row>
    <row r="110" customFormat="false" ht="15" hidden="false" customHeight="false" outlineLevel="0" collapsed="false">
      <c r="A110" s="0" t="str">
        <f aca="false">IFERROR(INDEX(클레임목록!$C$2:$C$2000,MATCH(ROW()-3,클레임목록!$P$2:$P$2000,0)),"")</f>
        <v/>
      </c>
      <c r="B110" s="0" t="str">
        <f aca="false">IF(A110="","",COUNTIFS(데이터_제공인력,A110,데이터_연도,기준연도))</f>
        <v/>
      </c>
      <c r="C110" s="55" t="str">
        <f aca="false">IF(A110="","",B110-ROW()/100000)</f>
        <v/>
      </c>
    </row>
    <row r="111" customFormat="false" ht="15" hidden="false" customHeight="false" outlineLevel="0" collapsed="false">
      <c r="A111" s="0" t="str">
        <f aca="false">IFERROR(INDEX(클레임목록!$C$2:$C$2000,MATCH(ROW()-3,클레임목록!$P$2:$P$2000,0)),"")</f>
        <v/>
      </c>
      <c r="B111" s="0" t="str">
        <f aca="false">IF(A111="","",COUNTIFS(데이터_제공인력,A111,데이터_연도,기준연도))</f>
        <v/>
      </c>
      <c r="C111" s="55" t="str">
        <f aca="false">IF(A111="","",B111-ROW()/100000)</f>
        <v/>
      </c>
    </row>
    <row r="112" customFormat="false" ht="15" hidden="false" customHeight="false" outlineLevel="0" collapsed="false">
      <c r="A112" s="0" t="str">
        <f aca="false">IFERROR(INDEX(클레임목록!$C$2:$C$2000,MATCH(ROW()-3,클레임목록!$P$2:$P$2000,0)),"")</f>
        <v/>
      </c>
      <c r="B112" s="0" t="str">
        <f aca="false">IF(A112="","",COUNTIFS(데이터_제공인력,A112,데이터_연도,기준연도))</f>
        <v/>
      </c>
      <c r="C112" s="55" t="str">
        <f aca="false">IF(A112="","",B112-ROW()/100000)</f>
        <v/>
      </c>
    </row>
    <row r="113" customFormat="false" ht="15" hidden="false" customHeight="false" outlineLevel="0" collapsed="false">
      <c r="A113" s="0" t="str">
        <f aca="false">IFERROR(INDEX(클레임목록!$C$2:$C$2000,MATCH(ROW()-3,클레임목록!$P$2:$P$2000,0)),"")</f>
        <v/>
      </c>
      <c r="B113" s="0" t="str">
        <f aca="false">IF(A113="","",COUNTIFS(데이터_제공인력,A113,데이터_연도,기준연도))</f>
        <v/>
      </c>
      <c r="C113" s="55" t="str">
        <f aca="false">IF(A113="","",B113-ROW()/100000)</f>
        <v/>
      </c>
    </row>
    <row r="114" customFormat="false" ht="15" hidden="false" customHeight="false" outlineLevel="0" collapsed="false">
      <c r="A114" s="0" t="str">
        <f aca="false">IFERROR(INDEX(클레임목록!$C$2:$C$2000,MATCH(ROW()-3,클레임목록!$P$2:$P$2000,0)),"")</f>
        <v/>
      </c>
      <c r="B114" s="0" t="str">
        <f aca="false">IF(A114="","",COUNTIFS(데이터_제공인력,A114,데이터_연도,기준연도))</f>
        <v/>
      </c>
      <c r="C114" s="55" t="str">
        <f aca="false">IF(A114="","",B114-ROW()/100000)</f>
        <v/>
      </c>
    </row>
    <row r="115" customFormat="false" ht="15" hidden="false" customHeight="false" outlineLevel="0" collapsed="false">
      <c r="A115" s="0" t="str">
        <f aca="false">IFERROR(INDEX(클레임목록!$C$2:$C$2000,MATCH(ROW()-3,클레임목록!$P$2:$P$2000,0)),"")</f>
        <v/>
      </c>
      <c r="B115" s="0" t="str">
        <f aca="false">IF(A115="","",COUNTIFS(데이터_제공인력,A115,데이터_연도,기준연도))</f>
        <v/>
      </c>
      <c r="C115" s="55" t="str">
        <f aca="false">IF(A115="","",B115-ROW()/100000)</f>
        <v/>
      </c>
    </row>
    <row r="116" customFormat="false" ht="15" hidden="false" customHeight="false" outlineLevel="0" collapsed="false">
      <c r="A116" s="0" t="str">
        <f aca="false">IFERROR(INDEX(클레임목록!$C$2:$C$2000,MATCH(ROW()-3,클레임목록!$P$2:$P$2000,0)),"")</f>
        <v/>
      </c>
      <c r="B116" s="0" t="str">
        <f aca="false">IF(A116="","",COUNTIFS(데이터_제공인력,A116,데이터_연도,기준연도))</f>
        <v/>
      </c>
      <c r="C116" s="55" t="str">
        <f aca="false">IF(A116="","",B116-ROW()/100000)</f>
        <v/>
      </c>
    </row>
    <row r="117" customFormat="false" ht="15" hidden="false" customHeight="false" outlineLevel="0" collapsed="false">
      <c r="A117" s="0" t="str">
        <f aca="false">IFERROR(INDEX(클레임목록!$C$2:$C$2000,MATCH(ROW()-3,클레임목록!$P$2:$P$2000,0)),"")</f>
        <v/>
      </c>
      <c r="B117" s="0" t="str">
        <f aca="false">IF(A117="","",COUNTIFS(데이터_제공인력,A117,데이터_연도,기준연도))</f>
        <v/>
      </c>
      <c r="C117" s="55" t="str">
        <f aca="false">IF(A117="","",B117-ROW()/100000)</f>
        <v/>
      </c>
    </row>
    <row r="118" customFormat="false" ht="15" hidden="false" customHeight="false" outlineLevel="0" collapsed="false">
      <c r="A118" s="0" t="str">
        <f aca="false">IFERROR(INDEX(클레임목록!$C$2:$C$2000,MATCH(ROW()-3,클레임목록!$P$2:$P$2000,0)),"")</f>
        <v/>
      </c>
      <c r="B118" s="0" t="str">
        <f aca="false">IF(A118="","",COUNTIFS(데이터_제공인력,A118,데이터_연도,기준연도))</f>
        <v/>
      </c>
      <c r="C118" s="55" t="str">
        <f aca="false">IF(A118="","",B118-ROW()/100000)</f>
        <v/>
      </c>
    </row>
    <row r="119" customFormat="false" ht="15" hidden="false" customHeight="false" outlineLevel="0" collapsed="false">
      <c r="A119" s="0" t="str">
        <f aca="false">IFERROR(INDEX(클레임목록!$C$2:$C$2000,MATCH(ROW()-3,클레임목록!$P$2:$P$2000,0)),"")</f>
        <v/>
      </c>
      <c r="B119" s="0" t="str">
        <f aca="false">IF(A119="","",COUNTIFS(데이터_제공인력,A119,데이터_연도,기준연도))</f>
        <v/>
      </c>
      <c r="C119" s="55" t="str">
        <f aca="false">IF(A119="","",B119-ROW()/100000)</f>
        <v/>
      </c>
    </row>
    <row r="120" customFormat="false" ht="15" hidden="false" customHeight="false" outlineLevel="0" collapsed="false">
      <c r="A120" s="0" t="str">
        <f aca="false">IFERROR(INDEX(클레임목록!$C$2:$C$2000,MATCH(ROW()-3,클레임목록!$P$2:$P$2000,0)),"")</f>
        <v/>
      </c>
      <c r="B120" s="0" t="str">
        <f aca="false">IF(A120="","",COUNTIFS(데이터_제공인력,A120,데이터_연도,기준연도))</f>
        <v/>
      </c>
      <c r="C120" s="55" t="str">
        <f aca="false">IF(A120="","",B120-ROW()/100000)</f>
        <v/>
      </c>
    </row>
    <row r="121" customFormat="false" ht="15" hidden="false" customHeight="false" outlineLevel="0" collapsed="false">
      <c r="A121" s="0" t="str">
        <f aca="false">IFERROR(INDEX(클레임목록!$C$2:$C$2000,MATCH(ROW()-3,클레임목록!$P$2:$P$2000,0)),"")</f>
        <v/>
      </c>
      <c r="B121" s="0" t="str">
        <f aca="false">IF(A121="","",COUNTIFS(데이터_제공인력,A121,데이터_연도,기준연도))</f>
        <v/>
      </c>
      <c r="C121" s="55" t="str">
        <f aca="false">IF(A121="","",B121-ROW()/100000)</f>
        <v/>
      </c>
    </row>
    <row r="122" customFormat="false" ht="15" hidden="false" customHeight="false" outlineLevel="0" collapsed="false">
      <c r="A122" s="0" t="str">
        <f aca="false">IFERROR(INDEX(클레임목록!$C$2:$C$2000,MATCH(ROW()-3,클레임목록!$P$2:$P$2000,0)),"")</f>
        <v/>
      </c>
      <c r="B122" s="0" t="str">
        <f aca="false">IF(A122="","",COUNTIFS(데이터_제공인력,A122,데이터_연도,기준연도))</f>
        <v/>
      </c>
      <c r="C122" s="55" t="str">
        <f aca="false">IF(A122="","",B122-ROW()/100000)</f>
        <v/>
      </c>
    </row>
    <row r="123" customFormat="false" ht="15" hidden="false" customHeight="false" outlineLevel="0" collapsed="false">
      <c r="A123" s="0" t="str">
        <f aca="false">IFERROR(INDEX(클레임목록!$C$2:$C$2000,MATCH(ROW()-3,클레임목록!$P$2:$P$2000,0)),"")</f>
        <v/>
      </c>
      <c r="B123" s="0" t="str">
        <f aca="false">IF(A123="","",COUNTIFS(데이터_제공인력,A123,데이터_연도,기준연도))</f>
        <v/>
      </c>
      <c r="C123" s="55" t="str">
        <f aca="false">IF(A123="","",B123-ROW()/100000)</f>
        <v/>
      </c>
    </row>
    <row r="124" customFormat="false" ht="15" hidden="false" customHeight="false" outlineLevel="0" collapsed="false">
      <c r="A124" s="0" t="str">
        <f aca="false">IFERROR(INDEX(클레임목록!$C$2:$C$2000,MATCH(ROW()-3,클레임목록!$P$2:$P$2000,0)),"")</f>
        <v/>
      </c>
      <c r="B124" s="0" t="str">
        <f aca="false">IF(A124="","",COUNTIFS(데이터_제공인력,A124,데이터_연도,기준연도))</f>
        <v/>
      </c>
      <c r="C124" s="55" t="str">
        <f aca="false">IF(A124="","",B124-ROW()/100000)</f>
        <v/>
      </c>
    </row>
    <row r="125" customFormat="false" ht="15" hidden="false" customHeight="false" outlineLevel="0" collapsed="false">
      <c r="A125" s="0" t="str">
        <f aca="false">IFERROR(INDEX(클레임목록!$C$2:$C$2000,MATCH(ROW()-3,클레임목록!$P$2:$P$2000,0)),"")</f>
        <v/>
      </c>
      <c r="B125" s="0" t="str">
        <f aca="false">IF(A125="","",COUNTIFS(데이터_제공인력,A125,데이터_연도,기준연도))</f>
        <v/>
      </c>
      <c r="C125" s="55" t="str">
        <f aca="false">IF(A125="","",B125-ROW()/100000)</f>
        <v/>
      </c>
    </row>
    <row r="126" customFormat="false" ht="15" hidden="false" customHeight="false" outlineLevel="0" collapsed="false">
      <c r="A126" s="0" t="str">
        <f aca="false">IFERROR(INDEX(클레임목록!$C$2:$C$2000,MATCH(ROW()-3,클레임목록!$P$2:$P$2000,0)),"")</f>
        <v/>
      </c>
      <c r="B126" s="0" t="str">
        <f aca="false">IF(A126="","",COUNTIFS(데이터_제공인력,A126,데이터_연도,기준연도))</f>
        <v/>
      </c>
      <c r="C126" s="55" t="str">
        <f aca="false">IF(A126="","",B126-ROW()/100000)</f>
        <v/>
      </c>
    </row>
    <row r="127" customFormat="false" ht="15" hidden="false" customHeight="false" outlineLevel="0" collapsed="false">
      <c r="A127" s="0" t="str">
        <f aca="false">IFERROR(INDEX(클레임목록!$C$2:$C$2000,MATCH(ROW()-3,클레임목록!$P$2:$P$2000,0)),"")</f>
        <v/>
      </c>
      <c r="B127" s="0" t="str">
        <f aca="false">IF(A127="","",COUNTIFS(데이터_제공인력,A127,데이터_연도,기준연도))</f>
        <v/>
      </c>
      <c r="C127" s="55" t="str">
        <f aca="false">IF(A127="","",B127-ROW()/100000)</f>
        <v/>
      </c>
    </row>
    <row r="128" customFormat="false" ht="15" hidden="false" customHeight="false" outlineLevel="0" collapsed="false">
      <c r="A128" s="0" t="str">
        <f aca="false">IFERROR(INDEX(클레임목록!$C$2:$C$2000,MATCH(ROW()-3,클레임목록!$P$2:$P$2000,0)),"")</f>
        <v/>
      </c>
      <c r="B128" s="0" t="str">
        <f aca="false">IF(A128="","",COUNTIFS(데이터_제공인력,A128,데이터_연도,기준연도))</f>
        <v/>
      </c>
      <c r="C128" s="55" t="str">
        <f aca="false">IF(A128="","",B128-ROW()/100000)</f>
        <v/>
      </c>
    </row>
    <row r="129" customFormat="false" ht="15" hidden="false" customHeight="false" outlineLevel="0" collapsed="false">
      <c r="A129" s="0" t="str">
        <f aca="false">IFERROR(INDEX(클레임목록!$C$2:$C$2000,MATCH(ROW()-3,클레임목록!$P$2:$P$2000,0)),"")</f>
        <v/>
      </c>
      <c r="B129" s="0" t="str">
        <f aca="false">IF(A129="","",COUNTIFS(데이터_제공인력,A129,데이터_연도,기준연도))</f>
        <v/>
      </c>
      <c r="C129" s="55" t="str">
        <f aca="false">IF(A129="","",B129-ROW()/100000)</f>
        <v/>
      </c>
    </row>
    <row r="130" customFormat="false" ht="15" hidden="false" customHeight="false" outlineLevel="0" collapsed="false">
      <c r="A130" s="0" t="str">
        <f aca="false">IFERROR(INDEX(클레임목록!$C$2:$C$2000,MATCH(ROW()-3,클레임목록!$P$2:$P$2000,0)),"")</f>
        <v/>
      </c>
      <c r="B130" s="0" t="str">
        <f aca="false">IF(A130="","",COUNTIFS(데이터_제공인력,A130,데이터_연도,기준연도))</f>
        <v/>
      </c>
      <c r="C130" s="55" t="str">
        <f aca="false">IF(A130="","",B130-ROW()/100000)</f>
        <v/>
      </c>
    </row>
    <row r="131" customFormat="false" ht="15" hidden="false" customHeight="false" outlineLevel="0" collapsed="false">
      <c r="A131" s="0" t="str">
        <f aca="false">IFERROR(INDEX(클레임목록!$C$2:$C$2000,MATCH(ROW()-3,클레임목록!$P$2:$P$2000,0)),"")</f>
        <v/>
      </c>
      <c r="B131" s="0" t="str">
        <f aca="false">IF(A131="","",COUNTIFS(데이터_제공인력,A131,데이터_연도,기준연도))</f>
        <v/>
      </c>
      <c r="C131" s="55" t="str">
        <f aca="false">IF(A131="","",B131-ROW()/100000)</f>
        <v/>
      </c>
    </row>
    <row r="132" customFormat="false" ht="15" hidden="false" customHeight="false" outlineLevel="0" collapsed="false">
      <c r="A132" s="0" t="str">
        <f aca="false">IFERROR(INDEX(클레임목록!$C$2:$C$2000,MATCH(ROW()-3,클레임목록!$P$2:$P$2000,0)),"")</f>
        <v/>
      </c>
      <c r="B132" s="0" t="str">
        <f aca="false">IF(A132="","",COUNTIFS(데이터_제공인력,A132,데이터_연도,기준연도))</f>
        <v/>
      </c>
      <c r="C132" s="55" t="str">
        <f aca="false">IF(A132="","",B132-ROW()/100000)</f>
        <v/>
      </c>
    </row>
    <row r="133" customFormat="false" ht="15" hidden="false" customHeight="false" outlineLevel="0" collapsed="false">
      <c r="A133" s="0" t="str">
        <f aca="false">IFERROR(INDEX(클레임목록!$C$2:$C$2000,MATCH(ROW()-3,클레임목록!$P$2:$P$2000,0)),"")</f>
        <v/>
      </c>
      <c r="B133" s="0" t="str">
        <f aca="false">IF(A133="","",COUNTIFS(데이터_제공인력,A133,데이터_연도,기준연도))</f>
        <v/>
      </c>
      <c r="C133" s="55" t="str">
        <f aca="false">IF(A133="","",B133-ROW()/100000)</f>
        <v/>
      </c>
    </row>
    <row r="134" customFormat="false" ht="15" hidden="false" customHeight="false" outlineLevel="0" collapsed="false">
      <c r="A134" s="0" t="str">
        <f aca="false">IFERROR(INDEX(클레임목록!$C$2:$C$2000,MATCH(ROW()-3,클레임목록!$P$2:$P$2000,0)),"")</f>
        <v/>
      </c>
      <c r="B134" s="0" t="str">
        <f aca="false">IF(A134="","",COUNTIFS(데이터_제공인력,A134,데이터_연도,기준연도))</f>
        <v/>
      </c>
      <c r="C134" s="55" t="str">
        <f aca="false">IF(A134="","",B134-ROW()/100000)</f>
        <v/>
      </c>
    </row>
    <row r="135" customFormat="false" ht="15" hidden="false" customHeight="false" outlineLevel="0" collapsed="false">
      <c r="A135" s="0" t="str">
        <f aca="false">IFERROR(INDEX(클레임목록!$C$2:$C$2000,MATCH(ROW()-3,클레임목록!$P$2:$P$2000,0)),"")</f>
        <v/>
      </c>
      <c r="B135" s="0" t="str">
        <f aca="false">IF(A135="","",COUNTIFS(데이터_제공인력,A135,데이터_연도,기준연도))</f>
        <v/>
      </c>
      <c r="C135" s="55" t="str">
        <f aca="false">IF(A135="","",B135-ROW()/100000)</f>
        <v/>
      </c>
    </row>
    <row r="136" customFormat="false" ht="15" hidden="false" customHeight="false" outlineLevel="0" collapsed="false">
      <c r="A136" s="0" t="str">
        <f aca="false">IFERROR(INDEX(클레임목록!$C$2:$C$2000,MATCH(ROW()-3,클레임목록!$P$2:$P$2000,0)),"")</f>
        <v/>
      </c>
      <c r="B136" s="0" t="str">
        <f aca="false">IF(A136="","",COUNTIFS(데이터_제공인력,A136,데이터_연도,기준연도))</f>
        <v/>
      </c>
      <c r="C136" s="55" t="str">
        <f aca="false">IF(A136="","",B136-ROW()/100000)</f>
        <v/>
      </c>
    </row>
    <row r="137" customFormat="false" ht="15" hidden="false" customHeight="false" outlineLevel="0" collapsed="false">
      <c r="A137" s="0" t="str">
        <f aca="false">IFERROR(INDEX(클레임목록!$C$2:$C$2000,MATCH(ROW()-3,클레임목록!$P$2:$P$2000,0)),"")</f>
        <v/>
      </c>
      <c r="B137" s="0" t="str">
        <f aca="false">IF(A137="","",COUNTIFS(데이터_제공인력,A137,데이터_연도,기준연도))</f>
        <v/>
      </c>
      <c r="C137" s="55" t="str">
        <f aca="false">IF(A137="","",B137-ROW()/100000)</f>
        <v/>
      </c>
    </row>
    <row r="138" customFormat="false" ht="15" hidden="false" customHeight="false" outlineLevel="0" collapsed="false">
      <c r="A138" s="0" t="str">
        <f aca="false">IFERROR(INDEX(클레임목록!$C$2:$C$2000,MATCH(ROW()-3,클레임목록!$P$2:$P$2000,0)),"")</f>
        <v/>
      </c>
      <c r="B138" s="0" t="str">
        <f aca="false">IF(A138="","",COUNTIFS(데이터_제공인력,A138,데이터_연도,기준연도))</f>
        <v/>
      </c>
      <c r="C138" s="55" t="str">
        <f aca="false">IF(A138="","",B138-ROW()/100000)</f>
        <v/>
      </c>
    </row>
    <row r="139" customFormat="false" ht="15" hidden="false" customHeight="false" outlineLevel="0" collapsed="false">
      <c r="A139" s="0" t="str">
        <f aca="false">IFERROR(INDEX(클레임목록!$C$2:$C$2000,MATCH(ROW()-3,클레임목록!$P$2:$P$2000,0)),"")</f>
        <v/>
      </c>
      <c r="B139" s="0" t="str">
        <f aca="false">IF(A139="","",COUNTIFS(데이터_제공인력,A139,데이터_연도,기준연도))</f>
        <v/>
      </c>
      <c r="C139" s="55" t="str">
        <f aca="false">IF(A139="","",B139-ROW()/100000)</f>
        <v/>
      </c>
    </row>
    <row r="140" customFormat="false" ht="15" hidden="false" customHeight="false" outlineLevel="0" collapsed="false">
      <c r="A140" s="0" t="str">
        <f aca="false">IFERROR(INDEX(클레임목록!$C$2:$C$2000,MATCH(ROW()-3,클레임목록!$P$2:$P$2000,0)),"")</f>
        <v/>
      </c>
      <c r="B140" s="0" t="str">
        <f aca="false">IF(A140="","",COUNTIFS(데이터_제공인력,A140,데이터_연도,기준연도))</f>
        <v/>
      </c>
      <c r="C140" s="55" t="str">
        <f aca="false">IF(A140="","",B140-ROW()/100000)</f>
        <v/>
      </c>
    </row>
    <row r="141" customFormat="false" ht="15" hidden="false" customHeight="false" outlineLevel="0" collapsed="false">
      <c r="A141" s="0" t="str">
        <f aca="false">IFERROR(INDEX(클레임목록!$C$2:$C$2000,MATCH(ROW()-3,클레임목록!$P$2:$P$2000,0)),"")</f>
        <v/>
      </c>
      <c r="B141" s="0" t="str">
        <f aca="false">IF(A141="","",COUNTIFS(데이터_제공인력,A141,데이터_연도,기준연도))</f>
        <v/>
      </c>
      <c r="C141" s="55" t="str">
        <f aca="false">IF(A141="","",B141-ROW()/100000)</f>
        <v/>
      </c>
    </row>
    <row r="142" customFormat="false" ht="15" hidden="false" customHeight="false" outlineLevel="0" collapsed="false">
      <c r="A142" s="0" t="str">
        <f aca="false">IFERROR(INDEX(클레임목록!$C$2:$C$2000,MATCH(ROW()-3,클레임목록!$P$2:$P$2000,0)),"")</f>
        <v/>
      </c>
      <c r="B142" s="0" t="str">
        <f aca="false">IF(A142="","",COUNTIFS(데이터_제공인력,A142,데이터_연도,기준연도))</f>
        <v/>
      </c>
      <c r="C142" s="55" t="str">
        <f aca="false">IF(A142="","",B142-ROW()/100000)</f>
        <v/>
      </c>
    </row>
    <row r="143" customFormat="false" ht="15" hidden="false" customHeight="false" outlineLevel="0" collapsed="false">
      <c r="A143" s="0" t="str">
        <f aca="false">IFERROR(INDEX(클레임목록!$C$2:$C$2000,MATCH(ROW()-3,클레임목록!$P$2:$P$2000,0)),"")</f>
        <v/>
      </c>
      <c r="B143" s="0" t="str">
        <f aca="false">IF(A143="","",COUNTIFS(데이터_제공인력,A143,데이터_연도,기준연도))</f>
        <v/>
      </c>
      <c r="C143" s="55" t="str">
        <f aca="false">IF(A143="","",B143-ROW()/100000)</f>
        <v/>
      </c>
    </row>
    <row r="144" customFormat="false" ht="15" hidden="false" customHeight="false" outlineLevel="0" collapsed="false">
      <c r="A144" s="0" t="str">
        <f aca="false">IFERROR(INDEX(클레임목록!$C$2:$C$2000,MATCH(ROW()-3,클레임목록!$P$2:$P$2000,0)),"")</f>
        <v/>
      </c>
      <c r="B144" s="0" t="str">
        <f aca="false">IF(A144="","",COUNTIFS(데이터_제공인력,A144,데이터_연도,기준연도))</f>
        <v/>
      </c>
      <c r="C144" s="55" t="str">
        <f aca="false">IF(A144="","",B144-ROW()/100000)</f>
        <v/>
      </c>
    </row>
    <row r="145" customFormat="false" ht="15" hidden="false" customHeight="false" outlineLevel="0" collapsed="false">
      <c r="A145" s="0" t="str">
        <f aca="false">IFERROR(INDEX(클레임목록!$C$2:$C$2000,MATCH(ROW()-3,클레임목록!$P$2:$P$2000,0)),"")</f>
        <v/>
      </c>
      <c r="B145" s="0" t="str">
        <f aca="false">IF(A145="","",COUNTIFS(데이터_제공인력,A145,데이터_연도,기준연도))</f>
        <v/>
      </c>
      <c r="C145" s="55" t="str">
        <f aca="false">IF(A145="","",B145-ROW()/100000)</f>
        <v/>
      </c>
    </row>
    <row r="146" customFormat="false" ht="15" hidden="false" customHeight="false" outlineLevel="0" collapsed="false">
      <c r="A146" s="0" t="str">
        <f aca="false">IFERROR(INDEX(클레임목록!$C$2:$C$2000,MATCH(ROW()-3,클레임목록!$P$2:$P$2000,0)),"")</f>
        <v/>
      </c>
      <c r="B146" s="0" t="str">
        <f aca="false">IF(A146="","",COUNTIFS(데이터_제공인력,A146,데이터_연도,기준연도))</f>
        <v/>
      </c>
      <c r="C146" s="55" t="str">
        <f aca="false">IF(A146="","",B146-ROW()/100000)</f>
        <v/>
      </c>
    </row>
    <row r="147" customFormat="false" ht="15" hidden="false" customHeight="false" outlineLevel="0" collapsed="false">
      <c r="A147" s="0" t="str">
        <f aca="false">IFERROR(INDEX(클레임목록!$C$2:$C$2000,MATCH(ROW()-3,클레임목록!$P$2:$P$2000,0)),"")</f>
        <v/>
      </c>
      <c r="B147" s="0" t="str">
        <f aca="false">IF(A147="","",COUNTIFS(데이터_제공인력,A147,데이터_연도,기준연도))</f>
        <v/>
      </c>
      <c r="C147" s="55" t="str">
        <f aca="false">IF(A147="","",B147-ROW()/100000)</f>
        <v/>
      </c>
    </row>
    <row r="148" customFormat="false" ht="15" hidden="false" customHeight="false" outlineLevel="0" collapsed="false">
      <c r="A148" s="0" t="str">
        <f aca="false">IFERROR(INDEX(클레임목록!$C$2:$C$2000,MATCH(ROW()-3,클레임목록!$P$2:$P$2000,0)),"")</f>
        <v/>
      </c>
      <c r="B148" s="0" t="str">
        <f aca="false">IF(A148="","",COUNTIFS(데이터_제공인력,A148,데이터_연도,기준연도))</f>
        <v/>
      </c>
      <c r="C148" s="55" t="str">
        <f aca="false">IF(A148="","",B148-ROW()/100000)</f>
        <v/>
      </c>
    </row>
    <row r="149" customFormat="false" ht="15" hidden="false" customHeight="false" outlineLevel="0" collapsed="false">
      <c r="A149" s="0" t="str">
        <f aca="false">IFERROR(INDEX(클레임목록!$C$2:$C$2000,MATCH(ROW()-3,클레임목록!$P$2:$P$2000,0)),"")</f>
        <v/>
      </c>
      <c r="B149" s="0" t="str">
        <f aca="false">IF(A149="","",COUNTIFS(데이터_제공인력,A149,데이터_연도,기준연도))</f>
        <v/>
      </c>
      <c r="C149" s="55" t="str">
        <f aca="false">IF(A149="","",B149-ROW()/100000)</f>
        <v/>
      </c>
    </row>
    <row r="150" customFormat="false" ht="15" hidden="false" customHeight="false" outlineLevel="0" collapsed="false">
      <c r="A150" s="0" t="str">
        <f aca="false">IFERROR(INDEX(클레임목록!$C$2:$C$2000,MATCH(ROW()-3,클레임목록!$P$2:$P$2000,0)),"")</f>
        <v/>
      </c>
      <c r="B150" s="0" t="str">
        <f aca="false">IF(A150="","",COUNTIFS(데이터_제공인력,A150,데이터_연도,기준연도))</f>
        <v/>
      </c>
      <c r="C150" s="55" t="str">
        <f aca="false">IF(A150="","",B150-ROW()/100000)</f>
        <v/>
      </c>
    </row>
    <row r="151" customFormat="false" ht="15" hidden="false" customHeight="false" outlineLevel="0" collapsed="false">
      <c r="A151" s="0" t="str">
        <f aca="false">IFERROR(INDEX(클레임목록!$C$2:$C$2000,MATCH(ROW()-3,클레임목록!$P$2:$P$2000,0)),"")</f>
        <v/>
      </c>
      <c r="B151" s="0" t="str">
        <f aca="false">IF(A151="","",COUNTIFS(데이터_제공인력,A151,데이터_연도,기준연도))</f>
        <v/>
      </c>
      <c r="C151" s="55" t="str">
        <f aca="false">IF(A151="","",B151-ROW()/100000)</f>
        <v/>
      </c>
    </row>
    <row r="152" customFormat="false" ht="15" hidden="false" customHeight="false" outlineLevel="0" collapsed="false">
      <c r="A152" s="0" t="str">
        <f aca="false">IFERROR(INDEX(클레임목록!$C$2:$C$2000,MATCH(ROW()-3,클레임목록!$P$2:$P$2000,0)),"")</f>
        <v/>
      </c>
      <c r="B152" s="0" t="str">
        <f aca="false">IF(A152="","",COUNTIFS(데이터_제공인력,A152,데이터_연도,기준연도))</f>
        <v/>
      </c>
      <c r="C152" s="55" t="str">
        <f aca="false">IF(A152="","",B152-ROW()/100000)</f>
        <v/>
      </c>
    </row>
    <row r="153" customFormat="false" ht="15" hidden="false" customHeight="false" outlineLevel="0" collapsed="false">
      <c r="A153" s="0" t="str">
        <f aca="false">IFERROR(INDEX(클레임목록!$C$2:$C$2000,MATCH(ROW()-3,클레임목록!$P$2:$P$2000,0)),"")</f>
        <v/>
      </c>
      <c r="B153" s="0" t="str">
        <f aca="false">IF(A153="","",COUNTIFS(데이터_제공인력,A153,데이터_연도,기준연도))</f>
        <v/>
      </c>
      <c r="C153" s="55" t="str">
        <f aca="false">IF(A153="","",B153-ROW()/100000)</f>
        <v/>
      </c>
    </row>
    <row r="154" customFormat="false" ht="15" hidden="false" customHeight="false" outlineLevel="0" collapsed="false">
      <c r="A154" s="0" t="str">
        <f aca="false">IFERROR(INDEX(클레임목록!$C$2:$C$2000,MATCH(ROW()-3,클레임목록!$P$2:$P$2000,0)),"")</f>
        <v/>
      </c>
      <c r="B154" s="0" t="str">
        <f aca="false">IF(A154="","",COUNTIFS(데이터_제공인력,A154,데이터_연도,기준연도))</f>
        <v/>
      </c>
      <c r="C154" s="55" t="str">
        <f aca="false">IF(A154="","",B154-ROW()/100000)</f>
        <v/>
      </c>
    </row>
    <row r="155" customFormat="false" ht="15" hidden="false" customHeight="false" outlineLevel="0" collapsed="false">
      <c r="A155" s="0" t="str">
        <f aca="false">IFERROR(INDEX(클레임목록!$C$2:$C$2000,MATCH(ROW()-3,클레임목록!$P$2:$P$2000,0)),"")</f>
        <v/>
      </c>
      <c r="B155" s="0" t="str">
        <f aca="false">IF(A155="","",COUNTIFS(데이터_제공인력,A155,데이터_연도,기준연도))</f>
        <v/>
      </c>
      <c r="C155" s="55" t="str">
        <f aca="false">IF(A155="","",B155-ROW()/100000)</f>
        <v/>
      </c>
    </row>
    <row r="156" customFormat="false" ht="15" hidden="false" customHeight="false" outlineLevel="0" collapsed="false">
      <c r="A156" s="0" t="str">
        <f aca="false">IFERROR(INDEX(클레임목록!$C$2:$C$2000,MATCH(ROW()-3,클레임목록!$P$2:$P$2000,0)),"")</f>
        <v/>
      </c>
      <c r="B156" s="0" t="str">
        <f aca="false">IF(A156="","",COUNTIFS(데이터_제공인력,A156,데이터_연도,기준연도))</f>
        <v/>
      </c>
      <c r="C156" s="55" t="str">
        <f aca="false">IF(A156="","",B156-ROW()/100000)</f>
        <v/>
      </c>
    </row>
    <row r="157" customFormat="false" ht="15" hidden="false" customHeight="false" outlineLevel="0" collapsed="false">
      <c r="A157" s="0" t="str">
        <f aca="false">IFERROR(INDEX(클레임목록!$C$2:$C$2000,MATCH(ROW()-3,클레임목록!$P$2:$P$2000,0)),"")</f>
        <v/>
      </c>
      <c r="B157" s="0" t="str">
        <f aca="false">IF(A157="","",COUNTIFS(데이터_제공인력,A157,데이터_연도,기준연도))</f>
        <v/>
      </c>
      <c r="C157" s="55" t="str">
        <f aca="false">IF(A157="","",B157-ROW()/100000)</f>
        <v/>
      </c>
    </row>
    <row r="158" customFormat="false" ht="15" hidden="false" customHeight="false" outlineLevel="0" collapsed="false">
      <c r="A158" s="0" t="str">
        <f aca="false">IFERROR(INDEX(클레임목록!$C$2:$C$2000,MATCH(ROW()-3,클레임목록!$P$2:$P$2000,0)),"")</f>
        <v/>
      </c>
      <c r="B158" s="0" t="str">
        <f aca="false">IF(A158="","",COUNTIFS(데이터_제공인력,A158,데이터_연도,기준연도))</f>
        <v/>
      </c>
      <c r="C158" s="55" t="str">
        <f aca="false">IF(A158="","",B158-ROW()/100000)</f>
        <v/>
      </c>
    </row>
    <row r="159" customFormat="false" ht="15" hidden="false" customHeight="false" outlineLevel="0" collapsed="false">
      <c r="A159" s="0" t="str">
        <f aca="false">IFERROR(INDEX(클레임목록!$C$2:$C$2000,MATCH(ROW()-3,클레임목록!$P$2:$P$2000,0)),"")</f>
        <v/>
      </c>
      <c r="B159" s="0" t="str">
        <f aca="false">IF(A159="","",COUNTIFS(데이터_제공인력,A159,데이터_연도,기준연도))</f>
        <v/>
      </c>
      <c r="C159" s="55" t="str">
        <f aca="false">IF(A159="","",B159-ROW()/100000)</f>
        <v/>
      </c>
    </row>
    <row r="160" customFormat="false" ht="15" hidden="false" customHeight="false" outlineLevel="0" collapsed="false">
      <c r="A160" s="0" t="str">
        <f aca="false">IFERROR(INDEX(클레임목록!$C$2:$C$2000,MATCH(ROW()-3,클레임목록!$P$2:$P$2000,0)),"")</f>
        <v/>
      </c>
      <c r="B160" s="0" t="str">
        <f aca="false">IF(A160="","",COUNTIFS(데이터_제공인력,A160,데이터_연도,기준연도))</f>
        <v/>
      </c>
      <c r="C160" s="55" t="str">
        <f aca="false">IF(A160="","",B160-ROW()/100000)</f>
        <v/>
      </c>
    </row>
    <row r="161" customFormat="false" ht="15" hidden="false" customHeight="false" outlineLevel="0" collapsed="false">
      <c r="A161" s="0" t="str">
        <f aca="false">IFERROR(INDEX(클레임목록!$C$2:$C$2000,MATCH(ROW()-3,클레임목록!$P$2:$P$2000,0)),"")</f>
        <v/>
      </c>
      <c r="B161" s="0" t="str">
        <f aca="false">IF(A161="","",COUNTIFS(데이터_제공인력,A161,데이터_연도,기준연도))</f>
        <v/>
      </c>
      <c r="C161" s="55" t="str">
        <f aca="false">IF(A161="","",B161-ROW()/100000)</f>
        <v/>
      </c>
    </row>
    <row r="162" customFormat="false" ht="15" hidden="false" customHeight="false" outlineLevel="0" collapsed="false">
      <c r="A162" s="0" t="str">
        <f aca="false">IFERROR(INDEX(클레임목록!$C$2:$C$2000,MATCH(ROW()-3,클레임목록!$P$2:$P$2000,0)),"")</f>
        <v/>
      </c>
      <c r="B162" s="0" t="str">
        <f aca="false">IF(A162="","",COUNTIFS(데이터_제공인력,A162,데이터_연도,기준연도))</f>
        <v/>
      </c>
      <c r="C162" s="55" t="str">
        <f aca="false">IF(A162="","",B162-ROW()/100000)</f>
        <v/>
      </c>
    </row>
    <row r="163" customFormat="false" ht="15" hidden="false" customHeight="false" outlineLevel="0" collapsed="false">
      <c r="A163" s="0" t="str">
        <f aca="false">IFERROR(INDEX(클레임목록!$C$2:$C$2000,MATCH(ROW()-3,클레임목록!$P$2:$P$2000,0)),"")</f>
        <v/>
      </c>
      <c r="B163" s="0" t="str">
        <f aca="false">IF(A163="","",COUNTIFS(데이터_제공인력,A163,데이터_연도,기준연도))</f>
        <v/>
      </c>
      <c r="C163" s="55" t="str">
        <f aca="false">IF(A163="","",B163-ROW()/100000)</f>
        <v/>
      </c>
    </row>
    <row r="164" customFormat="false" ht="15" hidden="false" customHeight="false" outlineLevel="0" collapsed="false">
      <c r="A164" s="0" t="str">
        <f aca="false">IFERROR(INDEX(클레임목록!$C$2:$C$2000,MATCH(ROW()-3,클레임목록!$P$2:$P$2000,0)),"")</f>
        <v/>
      </c>
      <c r="B164" s="0" t="str">
        <f aca="false">IF(A164="","",COUNTIFS(데이터_제공인력,A164,데이터_연도,기준연도))</f>
        <v/>
      </c>
      <c r="C164" s="55" t="str">
        <f aca="false">IF(A164="","",B164-ROW()/100000)</f>
        <v/>
      </c>
    </row>
    <row r="165" customFormat="false" ht="15" hidden="false" customHeight="false" outlineLevel="0" collapsed="false">
      <c r="A165" s="0" t="str">
        <f aca="false">IFERROR(INDEX(클레임목록!$C$2:$C$2000,MATCH(ROW()-3,클레임목록!$P$2:$P$2000,0)),"")</f>
        <v/>
      </c>
      <c r="B165" s="0" t="str">
        <f aca="false">IF(A165="","",COUNTIFS(데이터_제공인력,A165,데이터_연도,기준연도))</f>
        <v/>
      </c>
      <c r="C165" s="55" t="str">
        <f aca="false">IF(A165="","",B165-ROW()/100000)</f>
        <v/>
      </c>
    </row>
    <row r="166" customFormat="false" ht="15" hidden="false" customHeight="false" outlineLevel="0" collapsed="false">
      <c r="A166" s="0" t="str">
        <f aca="false">IFERROR(INDEX(클레임목록!$C$2:$C$2000,MATCH(ROW()-3,클레임목록!$P$2:$P$2000,0)),"")</f>
        <v/>
      </c>
      <c r="B166" s="0" t="str">
        <f aca="false">IF(A166="","",COUNTIFS(데이터_제공인력,A166,데이터_연도,기준연도))</f>
        <v/>
      </c>
      <c r="C166" s="55" t="str">
        <f aca="false">IF(A166="","",B166-ROW()/100000)</f>
        <v/>
      </c>
    </row>
    <row r="167" customFormat="false" ht="15" hidden="false" customHeight="false" outlineLevel="0" collapsed="false">
      <c r="A167" s="0" t="str">
        <f aca="false">IFERROR(INDEX(클레임목록!$C$2:$C$2000,MATCH(ROW()-3,클레임목록!$P$2:$P$2000,0)),"")</f>
        <v/>
      </c>
      <c r="B167" s="0" t="str">
        <f aca="false">IF(A167="","",COUNTIFS(데이터_제공인력,A167,데이터_연도,기준연도))</f>
        <v/>
      </c>
      <c r="C167" s="55" t="str">
        <f aca="false">IF(A167="","",B167-ROW()/100000)</f>
        <v/>
      </c>
    </row>
    <row r="168" customFormat="false" ht="15" hidden="false" customHeight="false" outlineLevel="0" collapsed="false">
      <c r="A168" s="0" t="str">
        <f aca="false">IFERROR(INDEX(클레임목록!$C$2:$C$2000,MATCH(ROW()-3,클레임목록!$P$2:$P$2000,0)),"")</f>
        <v/>
      </c>
      <c r="B168" s="0" t="str">
        <f aca="false">IF(A168="","",COUNTIFS(데이터_제공인력,A168,데이터_연도,기준연도))</f>
        <v/>
      </c>
      <c r="C168" s="55" t="str">
        <f aca="false">IF(A168="","",B168-ROW()/100000)</f>
        <v/>
      </c>
    </row>
    <row r="169" customFormat="false" ht="15" hidden="false" customHeight="false" outlineLevel="0" collapsed="false">
      <c r="A169" s="0" t="str">
        <f aca="false">IFERROR(INDEX(클레임목록!$C$2:$C$2000,MATCH(ROW()-3,클레임목록!$P$2:$P$2000,0)),"")</f>
        <v/>
      </c>
      <c r="B169" s="0" t="str">
        <f aca="false">IF(A169="","",COUNTIFS(데이터_제공인력,A169,데이터_연도,기준연도))</f>
        <v/>
      </c>
      <c r="C169" s="55" t="str">
        <f aca="false">IF(A169="","",B169-ROW()/100000)</f>
        <v/>
      </c>
    </row>
    <row r="170" customFormat="false" ht="15" hidden="false" customHeight="false" outlineLevel="0" collapsed="false">
      <c r="A170" s="0" t="str">
        <f aca="false">IFERROR(INDEX(클레임목록!$C$2:$C$2000,MATCH(ROW()-3,클레임목록!$P$2:$P$2000,0)),"")</f>
        <v/>
      </c>
      <c r="B170" s="0" t="str">
        <f aca="false">IF(A170="","",COUNTIFS(데이터_제공인력,A170,데이터_연도,기준연도))</f>
        <v/>
      </c>
      <c r="C170" s="55" t="str">
        <f aca="false">IF(A170="","",B170-ROW()/100000)</f>
        <v/>
      </c>
    </row>
    <row r="171" customFormat="false" ht="15" hidden="false" customHeight="false" outlineLevel="0" collapsed="false">
      <c r="A171" s="0" t="str">
        <f aca="false">IFERROR(INDEX(클레임목록!$C$2:$C$2000,MATCH(ROW()-3,클레임목록!$P$2:$P$2000,0)),"")</f>
        <v/>
      </c>
      <c r="B171" s="0" t="str">
        <f aca="false">IF(A171="","",COUNTIFS(데이터_제공인력,A171,데이터_연도,기준연도))</f>
        <v/>
      </c>
      <c r="C171" s="55" t="str">
        <f aca="false">IF(A171="","",B171-ROW()/100000)</f>
        <v/>
      </c>
    </row>
    <row r="172" customFormat="false" ht="15" hidden="false" customHeight="false" outlineLevel="0" collapsed="false">
      <c r="A172" s="0" t="str">
        <f aca="false">IFERROR(INDEX(클레임목록!$C$2:$C$2000,MATCH(ROW()-3,클레임목록!$P$2:$P$2000,0)),"")</f>
        <v/>
      </c>
      <c r="B172" s="0" t="str">
        <f aca="false">IF(A172="","",COUNTIFS(데이터_제공인력,A172,데이터_연도,기준연도))</f>
        <v/>
      </c>
      <c r="C172" s="55" t="str">
        <f aca="false">IF(A172="","",B172-ROW()/100000)</f>
        <v/>
      </c>
    </row>
    <row r="173" customFormat="false" ht="15" hidden="false" customHeight="false" outlineLevel="0" collapsed="false">
      <c r="A173" s="0" t="str">
        <f aca="false">IFERROR(INDEX(클레임목록!$C$2:$C$2000,MATCH(ROW()-3,클레임목록!$P$2:$P$2000,0)),"")</f>
        <v/>
      </c>
      <c r="B173" s="0" t="str">
        <f aca="false">IF(A173="","",COUNTIFS(데이터_제공인력,A173,데이터_연도,기준연도))</f>
        <v/>
      </c>
      <c r="C173" s="55" t="str">
        <f aca="false">IF(A173="","",B173-ROW()/100000)</f>
        <v/>
      </c>
    </row>
    <row r="174" customFormat="false" ht="15" hidden="false" customHeight="false" outlineLevel="0" collapsed="false">
      <c r="A174" s="0" t="str">
        <f aca="false">IFERROR(INDEX(클레임목록!$C$2:$C$2000,MATCH(ROW()-3,클레임목록!$P$2:$P$2000,0)),"")</f>
        <v/>
      </c>
      <c r="B174" s="0" t="str">
        <f aca="false">IF(A174="","",COUNTIFS(데이터_제공인력,A174,데이터_연도,기준연도))</f>
        <v/>
      </c>
      <c r="C174" s="55" t="str">
        <f aca="false">IF(A174="","",B174-ROW()/100000)</f>
        <v/>
      </c>
    </row>
    <row r="175" customFormat="false" ht="15" hidden="false" customHeight="false" outlineLevel="0" collapsed="false">
      <c r="A175" s="0" t="str">
        <f aca="false">IFERROR(INDEX(클레임목록!$C$2:$C$2000,MATCH(ROW()-3,클레임목록!$P$2:$P$2000,0)),"")</f>
        <v/>
      </c>
      <c r="B175" s="0" t="str">
        <f aca="false">IF(A175="","",COUNTIFS(데이터_제공인력,A175,데이터_연도,기준연도))</f>
        <v/>
      </c>
      <c r="C175" s="55" t="str">
        <f aca="false">IF(A175="","",B175-ROW()/100000)</f>
        <v/>
      </c>
    </row>
    <row r="176" customFormat="false" ht="15" hidden="false" customHeight="false" outlineLevel="0" collapsed="false">
      <c r="A176" s="0" t="str">
        <f aca="false">IFERROR(INDEX(클레임목록!$C$2:$C$2000,MATCH(ROW()-3,클레임목록!$P$2:$P$2000,0)),"")</f>
        <v/>
      </c>
      <c r="B176" s="0" t="str">
        <f aca="false">IF(A176="","",COUNTIFS(데이터_제공인력,A176,데이터_연도,기준연도))</f>
        <v/>
      </c>
      <c r="C176" s="55" t="str">
        <f aca="false">IF(A176="","",B176-ROW()/100000)</f>
        <v/>
      </c>
    </row>
    <row r="177" customFormat="false" ht="15" hidden="false" customHeight="false" outlineLevel="0" collapsed="false">
      <c r="A177" s="0" t="str">
        <f aca="false">IFERROR(INDEX(클레임목록!$C$2:$C$2000,MATCH(ROW()-3,클레임목록!$P$2:$P$2000,0)),"")</f>
        <v/>
      </c>
      <c r="B177" s="0" t="str">
        <f aca="false">IF(A177="","",COUNTIFS(데이터_제공인력,A177,데이터_연도,기준연도))</f>
        <v/>
      </c>
      <c r="C177" s="55" t="str">
        <f aca="false">IF(A177="","",B177-ROW()/100000)</f>
        <v/>
      </c>
    </row>
    <row r="178" customFormat="false" ht="15" hidden="false" customHeight="false" outlineLevel="0" collapsed="false">
      <c r="A178" s="0" t="str">
        <f aca="false">IFERROR(INDEX(클레임목록!$C$2:$C$2000,MATCH(ROW()-3,클레임목록!$P$2:$P$2000,0)),"")</f>
        <v/>
      </c>
      <c r="B178" s="0" t="str">
        <f aca="false">IF(A178="","",COUNTIFS(데이터_제공인력,A178,데이터_연도,기준연도))</f>
        <v/>
      </c>
      <c r="C178" s="55" t="str">
        <f aca="false">IF(A178="","",B178-ROW()/100000)</f>
        <v/>
      </c>
    </row>
    <row r="179" customFormat="false" ht="15" hidden="false" customHeight="false" outlineLevel="0" collapsed="false">
      <c r="A179" s="0" t="str">
        <f aca="false">IFERROR(INDEX(클레임목록!$C$2:$C$2000,MATCH(ROW()-3,클레임목록!$P$2:$P$2000,0)),"")</f>
        <v/>
      </c>
      <c r="B179" s="0" t="str">
        <f aca="false">IF(A179="","",COUNTIFS(데이터_제공인력,A179,데이터_연도,기준연도))</f>
        <v/>
      </c>
      <c r="C179" s="55" t="str">
        <f aca="false">IF(A179="","",B179-ROW()/100000)</f>
        <v/>
      </c>
    </row>
    <row r="180" customFormat="false" ht="15" hidden="false" customHeight="false" outlineLevel="0" collapsed="false">
      <c r="A180" s="0" t="str">
        <f aca="false">IFERROR(INDEX(클레임목록!$C$2:$C$2000,MATCH(ROW()-3,클레임목록!$P$2:$P$2000,0)),"")</f>
        <v/>
      </c>
      <c r="B180" s="0" t="str">
        <f aca="false">IF(A180="","",COUNTIFS(데이터_제공인력,A180,데이터_연도,기준연도))</f>
        <v/>
      </c>
      <c r="C180" s="55" t="str">
        <f aca="false">IF(A180="","",B180-ROW()/100000)</f>
        <v/>
      </c>
    </row>
    <row r="181" customFormat="false" ht="15" hidden="false" customHeight="false" outlineLevel="0" collapsed="false">
      <c r="A181" s="0" t="str">
        <f aca="false">IFERROR(INDEX(클레임목록!$C$2:$C$2000,MATCH(ROW()-3,클레임목록!$P$2:$P$2000,0)),"")</f>
        <v/>
      </c>
      <c r="B181" s="0" t="str">
        <f aca="false">IF(A181="","",COUNTIFS(데이터_제공인력,A181,데이터_연도,기준연도))</f>
        <v/>
      </c>
      <c r="C181" s="55" t="str">
        <f aca="false">IF(A181="","",B181-ROW()/100000)</f>
        <v/>
      </c>
    </row>
    <row r="182" customFormat="false" ht="15" hidden="false" customHeight="false" outlineLevel="0" collapsed="false">
      <c r="A182" s="0" t="str">
        <f aca="false">IFERROR(INDEX(클레임목록!$C$2:$C$2000,MATCH(ROW()-3,클레임목록!$P$2:$P$2000,0)),"")</f>
        <v/>
      </c>
      <c r="B182" s="0" t="str">
        <f aca="false">IF(A182="","",COUNTIFS(데이터_제공인력,A182,데이터_연도,기준연도))</f>
        <v/>
      </c>
      <c r="C182" s="55" t="str">
        <f aca="false">IF(A182="","",B182-ROW()/100000)</f>
        <v/>
      </c>
    </row>
    <row r="183" customFormat="false" ht="15" hidden="false" customHeight="false" outlineLevel="0" collapsed="false">
      <c r="A183" s="0" t="str">
        <f aca="false">IFERROR(INDEX(클레임목록!$C$2:$C$2000,MATCH(ROW()-3,클레임목록!$P$2:$P$2000,0)),"")</f>
        <v/>
      </c>
      <c r="B183" s="0" t="str">
        <f aca="false">IF(A183="","",COUNTIFS(데이터_제공인력,A183,데이터_연도,기준연도))</f>
        <v/>
      </c>
      <c r="C183" s="55" t="str">
        <f aca="false">IF(A183="","",B183-ROW()/100000)</f>
        <v/>
      </c>
    </row>
    <row r="184" customFormat="false" ht="15" hidden="false" customHeight="false" outlineLevel="0" collapsed="false">
      <c r="A184" s="0" t="str">
        <f aca="false">IFERROR(INDEX(클레임목록!$C$2:$C$2000,MATCH(ROW()-3,클레임목록!$P$2:$P$2000,0)),"")</f>
        <v/>
      </c>
      <c r="B184" s="0" t="str">
        <f aca="false">IF(A184="","",COUNTIFS(데이터_제공인력,A184,데이터_연도,기준연도))</f>
        <v/>
      </c>
      <c r="C184" s="55" t="str">
        <f aca="false">IF(A184="","",B184-ROW()/100000)</f>
        <v/>
      </c>
    </row>
    <row r="185" customFormat="false" ht="15" hidden="false" customHeight="false" outlineLevel="0" collapsed="false">
      <c r="A185" s="0" t="str">
        <f aca="false">IFERROR(INDEX(클레임목록!$C$2:$C$2000,MATCH(ROW()-3,클레임목록!$P$2:$P$2000,0)),"")</f>
        <v/>
      </c>
      <c r="B185" s="0" t="str">
        <f aca="false">IF(A185="","",COUNTIFS(데이터_제공인력,A185,데이터_연도,기준연도))</f>
        <v/>
      </c>
      <c r="C185" s="55" t="str">
        <f aca="false">IF(A185="","",B185-ROW()/100000)</f>
        <v/>
      </c>
    </row>
    <row r="186" customFormat="false" ht="15" hidden="false" customHeight="false" outlineLevel="0" collapsed="false">
      <c r="A186" s="0" t="str">
        <f aca="false">IFERROR(INDEX(클레임목록!$C$2:$C$2000,MATCH(ROW()-3,클레임목록!$P$2:$P$2000,0)),"")</f>
        <v/>
      </c>
      <c r="B186" s="0" t="str">
        <f aca="false">IF(A186="","",COUNTIFS(데이터_제공인력,A186,데이터_연도,기준연도))</f>
        <v/>
      </c>
      <c r="C186" s="55" t="str">
        <f aca="false">IF(A186="","",B186-ROW()/100000)</f>
        <v/>
      </c>
    </row>
    <row r="187" customFormat="false" ht="15" hidden="false" customHeight="false" outlineLevel="0" collapsed="false">
      <c r="A187" s="0" t="str">
        <f aca="false">IFERROR(INDEX(클레임목록!$C$2:$C$2000,MATCH(ROW()-3,클레임목록!$P$2:$P$2000,0)),"")</f>
        <v/>
      </c>
      <c r="B187" s="0" t="str">
        <f aca="false">IF(A187="","",COUNTIFS(데이터_제공인력,A187,데이터_연도,기준연도))</f>
        <v/>
      </c>
      <c r="C187" s="55" t="str">
        <f aca="false">IF(A187="","",B187-ROW()/100000)</f>
        <v/>
      </c>
    </row>
    <row r="188" customFormat="false" ht="15" hidden="false" customHeight="false" outlineLevel="0" collapsed="false">
      <c r="A188" s="0" t="str">
        <f aca="false">IFERROR(INDEX(클레임목록!$C$2:$C$2000,MATCH(ROW()-3,클레임목록!$P$2:$P$2000,0)),"")</f>
        <v/>
      </c>
      <c r="B188" s="0" t="str">
        <f aca="false">IF(A188="","",COUNTIFS(데이터_제공인력,A188,데이터_연도,기준연도))</f>
        <v/>
      </c>
      <c r="C188" s="55" t="str">
        <f aca="false">IF(A188="","",B188-ROW()/100000)</f>
        <v/>
      </c>
    </row>
    <row r="189" customFormat="false" ht="15" hidden="false" customHeight="false" outlineLevel="0" collapsed="false">
      <c r="A189" s="0" t="str">
        <f aca="false">IFERROR(INDEX(클레임목록!$C$2:$C$2000,MATCH(ROW()-3,클레임목록!$P$2:$P$2000,0)),"")</f>
        <v/>
      </c>
      <c r="B189" s="0" t="str">
        <f aca="false">IF(A189="","",COUNTIFS(데이터_제공인력,A189,데이터_연도,기준연도))</f>
        <v/>
      </c>
      <c r="C189" s="55" t="str">
        <f aca="false">IF(A189="","",B189-ROW()/100000)</f>
        <v/>
      </c>
    </row>
    <row r="190" customFormat="false" ht="15" hidden="false" customHeight="false" outlineLevel="0" collapsed="false">
      <c r="A190" s="0" t="str">
        <f aca="false">IFERROR(INDEX(클레임목록!$C$2:$C$2000,MATCH(ROW()-3,클레임목록!$P$2:$P$2000,0)),"")</f>
        <v/>
      </c>
      <c r="B190" s="0" t="str">
        <f aca="false">IF(A190="","",COUNTIFS(데이터_제공인력,A190,데이터_연도,기준연도))</f>
        <v/>
      </c>
      <c r="C190" s="55" t="str">
        <f aca="false">IF(A190="","",B190-ROW()/100000)</f>
        <v/>
      </c>
    </row>
    <row r="191" customFormat="false" ht="15" hidden="false" customHeight="false" outlineLevel="0" collapsed="false">
      <c r="A191" s="0" t="str">
        <f aca="false">IFERROR(INDEX(클레임목록!$C$2:$C$2000,MATCH(ROW()-3,클레임목록!$P$2:$P$2000,0)),"")</f>
        <v/>
      </c>
      <c r="B191" s="0" t="str">
        <f aca="false">IF(A191="","",COUNTIFS(데이터_제공인력,A191,데이터_연도,기준연도))</f>
        <v/>
      </c>
      <c r="C191" s="55" t="str">
        <f aca="false">IF(A191="","",B191-ROW()/100000)</f>
        <v/>
      </c>
    </row>
    <row r="192" customFormat="false" ht="15" hidden="false" customHeight="false" outlineLevel="0" collapsed="false">
      <c r="A192" s="0" t="str">
        <f aca="false">IFERROR(INDEX(클레임목록!$C$2:$C$2000,MATCH(ROW()-3,클레임목록!$P$2:$P$2000,0)),"")</f>
        <v/>
      </c>
      <c r="B192" s="0" t="str">
        <f aca="false">IF(A192="","",COUNTIFS(데이터_제공인력,A192,데이터_연도,기준연도))</f>
        <v/>
      </c>
      <c r="C192" s="55" t="str">
        <f aca="false">IF(A192="","",B192-ROW()/100000)</f>
        <v/>
      </c>
    </row>
    <row r="193" customFormat="false" ht="15" hidden="false" customHeight="false" outlineLevel="0" collapsed="false">
      <c r="A193" s="0" t="str">
        <f aca="false">IFERROR(INDEX(클레임목록!$C$2:$C$2000,MATCH(ROW()-3,클레임목록!$P$2:$P$2000,0)),"")</f>
        <v/>
      </c>
      <c r="B193" s="0" t="str">
        <f aca="false">IF(A193="","",COUNTIFS(데이터_제공인력,A193,데이터_연도,기준연도))</f>
        <v/>
      </c>
      <c r="C193" s="55" t="str">
        <f aca="false">IF(A193="","",B193-ROW()/100000)</f>
        <v/>
      </c>
    </row>
    <row r="194" customFormat="false" ht="15" hidden="false" customHeight="false" outlineLevel="0" collapsed="false">
      <c r="A194" s="0" t="str">
        <f aca="false">IFERROR(INDEX(클레임목록!$C$2:$C$2000,MATCH(ROW()-3,클레임목록!$P$2:$P$2000,0)),"")</f>
        <v/>
      </c>
      <c r="B194" s="0" t="str">
        <f aca="false">IF(A194="","",COUNTIFS(데이터_제공인력,A194,데이터_연도,기준연도))</f>
        <v/>
      </c>
      <c r="C194" s="55" t="str">
        <f aca="false">IF(A194="","",B194-ROW()/100000)</f>
        <v/>
      </c>
    </row>
    <row r="195" customFormat="false" ht="15" hidden="false" customHeight="false" outlineLevel="0" collapsed="false">
      <c r="A195" s="0" t="str">
        <f aca="false">IFERROR(INDEX(클레임목록!$C$2:$C$2000,MATCH(ROW()-3,클레임목록!$P$2:$P$2000,0)),"")</f>
        <v/>
      </c>
      <c r="B195" s="0" t="str">
        <f aca="false">IF(A195="","",COUNTIFS(데이터_제공인력,A195,데이터_연도,기준연도))</f>
        <v/>
      </c>
      <c r="C195" s="55" t="str">
        <f aca="false">IF(A195="","",B195-ROW()/100000)</f>
        <v/>
      </c>
    </row>
    <row r="196" customFormat="false" ht="15" hidden="false" customHeight="false" outlineLevel="0" collapsed="false">
      <c r="A196" s="0" t="str">
        <f aca="false">IFERROR(INDEX(클레임목록!$C$2:$C$2000,MATCH(ROW()-3,클레임목록!$P$2:$P$2000,0)),"")</f>
        <v/>
      </c>
      <c r="B196" s="0" t="str">
        <f aca="false">IF(A196="","",COUNTIFS(데이터_제공인력,A196,데이터_연도,기준연도))</f>
        <v/>
      </c>
      <c r="C196" s="55" t="str">
        <f aca="false">IF(A196="","",B196-ROW()/100000)</f>
        <v/>
      </c>
    </row>
    <row r="197" customFormat="false" ht="15" hidden="false" customHeight="false" outlineLevel="0" collapsed="false">
      <c r="A197" s="0" t="str">
        <f aca="false">IFERROR(INDEX(클레임목록!$C$2:$C$2000,MATCH(ROW()-3,클레임목록!$P$2:$P$2000,0)),"")</f>
        <v/>
      </c>
      <c r="B197" s="0" t="str">
        <f aca="false">IF(A197="","",COUNTIFS(데이터_제공인력,A197,데이터_연도,기준연도))</f>
        <v/>
      </c>
      <c r="C197" s="55" t="str">
        <f aca="false">IF(A197="","",B197-ROW()/100000)</f>
        <v/>
      </c>
    </row>
    <row r="198" customFormat="false" ht="15" hidden="false" customHeight="false" outlineLevel="0" collapsed="false">
      <c r="A198" s="0" t="str">
        <f aca="false">IFERROR(INDEX(클레임목록!$C$2:$C$2000,MATCH(ROW()-3,클레임목록!$P$2:$P$2000,0)),"")</f>
        <v/>
      </c>
      <c r="B198" s="0" t="str">
        <f aca="false">IF(A198="","",COUNTIFS(데이터_제공인력,A198,데이터_연도,기준연도))</f>
        <v/>
      </c>
      <c r="C198" s="55" t="str">
        <f aca="false">IF(A198="","",B198-ROW()/100000)</f>
        <v/>
      </c>
    </row>
    <row r="199" customFormat="false" ht="15" hidden="false" customHeight="false" outlineLevel="0" collapsed="false">
      <c r="A199" s="0" t="str">
        <f aca="false">IFERROR(INDEX(클레임목록!$C$2:$C$2000,MATCH(ROW()-3,클레임목록!$P$2:$P$2000,0)),"")</f>
        <v/>
      </c>
      <c r="B199" s="0" t="str">
        <f aca="false">IF(A199="","",COUNTIFS(데이터_제공인력,A199,데이터_연도,기준연도))</f>
        <v/>
      </c>
      <c r="C199" s="55" t="str">
        <f aca="false">IF(A199="","",B199-ROW()/100000)</f>
        <v/>
      </c>
    </row>
    <row r="200" customFormat="false" ht="15" hidden="false" customHeight="false" outlineLevel="0" collapsed="false">
      <c r="A200" s="0" t="str">
        <f aca="false">IFERROR(INDEX(클레임목록!$C$2:$C$2000,MATCH(ROW()-3,클레임목록!$P$2:$P$2000,0)),"")</f>
        <v/>
      </c>
      <c r="B200" s="0" t="str">
        <f aca="false">IF(A200="","",COUNTIFS(데이터_제공인력,A200,데이터_연도,기준연도))</f>
        <v/>
      </c>
      <c r="C200" s="55" t="str">
        <f aca="false">IF(A200="","",B200-ROW()/100000)</f>
        <v/>
      </c>
    </row>
    <row r="201" customFormat="false" ht="15" hidden="false" customHeight="false" outlineLevel="0" collapsed="false">
      <c r="A201" s="0" t="str">
        <f aca="false">IFERROR(INDEX(클레임목록!$C$2:$C$2000,MATCH(ROW()-3,클레임목록!$P$2:$P$2000,0)),"")</f>
        <v/>
      </c>
      <c r="B201" s="0" t="str">
        <f aca="false">IF(A201="","",COUNTIFS(데이터_제공인력,A201,데이터_연도,기준연도))</f>
        <v/>
      </c>
      <c r="C201" s="55" t="str">
        <f aca="false">IF(A201="","",B201-ROW()/100000)</f>
        <v/>
      </c>
    </row>
    <row r="202" customFormat="false" ht="15" hidden="false" customHeight="false" outlineLevel="0" collapsed="false">
      <c r="A202" s="0" t="str">
        <f aca="false">IFERROR(INDEX(클레임목록!$C$2:$C$2000,MATCH(ROW()-3,클레임목록!$P$2:$P$2000,0)),"")</f>
        <v/>
      </c>
      <c r="B202" s="0" t="str">
        <f aca="false">IF(A202="","",COUNTIFS(데이터_제공인력,A202,데이터_연도,기준연도))</f>
        <v/>
      </c>
      <c r="C202" s="55" t="str">
        <f aca="false">IF(A202="","",B202-ROW()/100000)</f>
        <v/>
      </c>
    </row>
    <row r="203" customFormat="false" ht="15" hidden="false" customHeight="false" outlineLevel="0" collapsed="false">
      <c r="A203" s="0" t="str">
        <f aca="false">IFERROR(INDEX(클레임목록!$C$2:$C$2000,MATCH(ROW()-3,클레임목록!$P$2:$P$2000,0)),"")</f>
        <v/>
      </c>
      <c r="B203" s="0" t="str">
        <f aca="false">IF(A203="","",COUNTIFS(데이터_제공인력,A203,데이터_연도,기준연도))</f>
        <v/>
      </c>
      <c r="C203" s="55" t="str">
        <f aca="false">IF(A203="","",B203-ROW()/100000)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2026-09-30T10:47:17Z</dcterms:created>
  <dc:creator>openpyxl</dc:creator>
  <dc:description/>
  <dc:language>en-US</dc:language>
  <cp:lastModifiedBy/>
  <dcterms:modified xsi:type="dcterms:W3CDTF">2026-09-30T10:47:55Z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